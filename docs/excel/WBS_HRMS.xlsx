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BOOK\erp-tests\docs\excel\"/>
    </mc:Choice>
  </mc:AlternateContent>
  <bookViews>
    <workbookView xWindow="0" yWindow="0" windowWidth="21570" windowHeight="7350"/>
  </bookViews>
  <sheets>
    <sheet name="WBS Tracker" sheetId="1" r:id="rId1"/>
    <sheet name="Daily Hours Log" sheetId="2" r:id="rId2"/>
    <sheet name="Dashboard" sheetId="3" r:id="rId3"/>
  </sheets>
  <calcPr calcId="152511"/>
</workbook>
</file>

<file path=xl/calcChain.xml><?xml version="1.0" encoding="utf-8"?>
<calcChain xmlns="http://schemas.openxmlformats.org/spreadsheetml/2006/main">
  <c r="B15" i="3" l="1"/>
  <c r="B14" i="3"/>
  <c r="F10" i="3"/>
  <c r="E10" i="3"/>
  <c r="G10" i="3" s="1"/>
  <c r="C10" i="3"/>
  <c r="H10" i="3" s="1"/>
  <c r="B10" i="3"/>
  <c r="F9" i="3"/>
  <c r="G9" i="3" s="1"/>
  <c r="E9" i="3"/>
  <c r="C9" i="3"/>
  <c r="B9" i="3"/>
  <c r="H9" i="3" s="1"/>
  <c r="F8" i="3"/>
  <c r="E8" i="3"/>
  <c r="G8" i="3" s="1"/>
  <c r="C8" i="3"/>
  <c r="B8" i="3"/>
  <c r="H8" i="3" s="1"/>
  <c r="F7" i="3"/>
  <c r="E7" i="3"/>
  <c r="G7" i="3" s="1"/>
  <c r="C7" i="3"/>
  <c r="B7" i="3"/>
  <c r="H7" i="3" s="1"/>
  <c r="F6" i="3"/>
  <c r="E6" i="3"/>
  <c r="G6" i="3" s="1"/>
  <c r="C6" i="3"/>
  <c r="H6" i="3" s="1"/>
  <c r="B6" i="3"/>
  <c r="F5" i="3"/>
  <c r="F11" i="3" s="1"/>
  <c r="E5" i="3"/>
  <c r="E11" i="3" s="1"/>
  <c r="C5" i="3"/>
  <c r="C11" i="3" s="1"/>
  <c r="B5" i="3"/>
  <c r="B11" i="3" s="1"/>
  <c r="H11" i="3" s="1"/>
  <c r="H85" i="1"/>
  <c r="G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G5" i="3" l="1"/>
  <c r="G11" i="3" s="1"/>
  <c r="D6" i="3"/>
  <c r="D5" i="3"/>
  <c r="H5" i="3"/>
  <c r="D8" i="3"/>
  <c r="D7" i="3"/>
  <c r="D10" i="3"/>
  <c r="D9" i="3"/>
  <c r="D11" i="3" l="1"/>
</calcChain>
</file>

<file path=xl/sharedStrings.xml><?xml version="1.0" encoding="utf-8"?>
<sst xmlns="http://schemas.openxmlformats.org/spreadsheetml/2006/main" count="629" uniqueCount="294">
  <si>
    <t>Project</t>
  </si>
  <si>
    <t>Module</t>
  </si>
  <si>
    <t>Sub-Module</t>
  </si>
  <si>
    <t>Page / Functionality Check</t>
  </si>
  <si>
    <t>Scope of Check</t>
  </si>
  <si>
    <t>Estimation Rationale</t>
  </si>
  <si>
    <t>Estimated Hours</t>
  </si>
  <si>
    <t>Actual Hours</t>
  </si>
  <si>
    <t>Date Worked</t>
  </si>
  <si>
    <t>Status</t>
  </si>
  <si>
    <t>Variance (h)</t>
  </si>
  <si>
    <t>Remarks</t>
  </si>
  <si>
    <t>Progbiz ERP</t>
  </si>
  <si>
    <t>HRMS</t>
  </si>
  <si>
    <t>Core HR</t>
  </si>
  <si>
    <t>Employee listing (/employees)</t>
  </si>
  <si>
    <t>List load, Filter panel, incl-archived toggle, columns (Code/Name/Dept/Designation/Status), row actions, drill-down</t>
  </si>
  <si>
    <t>List + filter matrix; grid starts empty until filtered</t>
  </si>
  <si>
    <t>Pending</t>
  </si>
  <si>
    <t>Employee create / edit form</t>
  </si>
  <si>
    <t>New Employee form: personal, branch/department/designation, contact, joining, mandatory-field negatives, save/cancel</t>
  </si>
  <si>
    <t>Largest master form in the module; full field matrix + negative paths</t>
  </si>
  <si>
    <t>Sections (/sections)</t>
  </si>
  <si>
    <t>Department-linked section create, inline form + grid, edit, delete, duplicate rejection</t>
  </si>
  <si>
    <t>Simple inline-form CRUD master</t>
  </si>
  <si>
    <t>Worker Directory (/worker-directory)</t>
  </si>
  <si>
    <t>Cards view, Org Chart view, department filter, name/designation search</t>
  </si>
  <si>
    <t>Two non-grid visualisations; org chart needs hierarchy data</t>
  </si>
  <si>
    <t>Salary Revisions (/salary-revisions)</t>
  </si>
  <si>
    <t>Raise Revision form (employee, effective date, new salary, reason), revision history grid, %-change, approval status</t>
  </si>
  <si>
    <t>Form + history + routes into the approval chain</t>
  </si>
  <si>
    <t>Employee Salary Process (/employee-salary-process)</t>
  </si>
  <si>
    <t>Branch selection, staff list, Basic/leave/payable computation, narration fields, save</t>
  </si>
  <si>
    <t>Arithmetic verification per employee; consumes attendance + deductions</t>
  </si>
  <si>
    <t>Employee Deductions (/employee-deduction)</t>
  </si>
  <si>
    <t>Branch/staff/date/deduction-type typeahead/amount/details, save, Cancel discards</t>
  </si>
  <si>
    <t>Duplicate element ids (#employee x2) + swal2 validation dialog</t>
  </si>
  <si>
    <t>Employee Remarks (/employee-remark)</t>
  </si>
  <si>
    <t>Reduced form (branch/employee/date/details), save, cancel</t>
  </si>
  <si>
    <t>Small form; header falsely reads 'Employee Deduction' (build bug to log)</t>
  </si>
  <si>
    <t>Probation Dashboard (/hrms/probation)</t>
  </si>
  <si>
    <t>Employees-on-probation grid, Start Probation, review checkpoints, days-left, decision actions</t>
  </si>
  <si>
    <t>State-dependent; needs employees seeded on probation</t>
  </si>
  <si>
    <t>Probation Templates (/hrms/probation-templates)</t>
  </si>
  <si>
    <t>New Template (duration, checkpoint days, criteria), default/active flags, edit, delete</t>
  </si>
  <si>
    <t>CRUD master feeding the probation flow</t>
  </si>
  <si>
    <t>Probation Report (/hrms/probation-report)</t>
  </si>
  <si>
    <t>Date-range + outcome filter, Run Report, Export Excel, overdue/decision columns</t>
  </si>
  <si>
    <t>Filter-first report; export not downloaded, only triggered</t>
  </si>
  <si>
    <t>Resigned Employees (/resigned-employees)</t>
  </si>
  <si>
    <t>List, name filter, columns (date/name/phone/designation/nationality)</t>
  </si>
  <si>
    <t>Read-only list</t>
  </si>
  <si>
    <t>Employee Excel Import (/upload-employee)</t>
  </si>
  <si>
    <t>Download sample, Excel Rules dialog, valid upload, malformed-file rejection, row-level errors</t>
  </si>
  <si>
    <t>File-upload path + negative fixtures; slowest to set up</t>
  </si>
  <si>
    <t>Letter Templates (/letters/templates)</t>
  </si>
  <si>
    <t>New Template, merge-fields reference, owner/type/subject, active toggle, edit, delete</t>
  </si>
  <si>
    <t>CRUD + merge-field token verification</t>
  </si>
  <si>
    <t>Generate Letter (/letters/generate)</t>
  </si>
  <si>
    <t>Template/employee pick, Preview render, Generate, send-mail option, lands in ESS letters</t>
  </si>
  <si>
    <t>Cross-module verification into /ess/letters</t>
  </si>
  <si>
    <t>My Approvals (/approvals)</t>
  </si>
  <si>
    <t>Tabs: Awaiting my decision / My requests / History; counts, approve &amp; reject, level/raised-by columns</t>
  </si>
  <si>
    <t>3 tabs; needs pending items raised from other sub-modules</t>
  </si>
  <si>
    <t>Approval Config (/approval/config)</t>
  </si>
  <si>
    <t>New workflow (type, name), + Add level chain builder, default flag, Save Workflow, configured list</t>
  </si>
  <si>
    <t>Chain builder with variable levels; drives every approval path</t>
  </si>
  <si>
    <t>Deduction &amp; Remark Reports</t>
  </si>
  <si>
    <t>/employee-deduction-report + /employee-remark-report: assignee &amp; period filters, View Report</t>
  </si>
  <si>
    <t>2 filter-first report pages; empty until queried</t>
  </si>
  <si>
    <t>Recruitment &amp; Onboarding</t>
  </si>
  <si>
    <t>Job Requisitions (/requisition-list)</t>
  </si>
  <si>
    <t>New Requisition (designation, department, positions, type, work type, branch), status, designation search</t>
  </si>
  <si>
    <t>Create form + list filters; feeds the whole hiring funnel</t>
  </si>
  <si>
    <t>Job Board / Hiring (/vacancy-list)</t>
  </si>
  <si>
    <t>Add Job Opening, status filter, published/total counters, tab strip to Candidates &amp; Talent Pools</t>
  </si>
  <si>
    <t>Tabs are router links (leave the page) — verified navigation targets</t>
  </si>
  <si>
    <t>Public careers page (/current-openings)</t>
  </si>
  <si>
    <t>'Join Our Team' listing, opening selector, apply entry point, unauthenticated access check</t>
  </si>
  <si>
    <t>Public page; needs a published opening seeded to exercise apply</t>
  </si>
  <si>
    <t>Job Applications (/job-applications-list)</t>
  </si>
  <si>
    <t>Applicant grid, details view, Schedule Interview action, Reject action, status transitions</t>
  </si>
  <si>
    <t>Row actions mutate candidate state; needs applications seeded</t>
  </si>
  <si>
    <t>Candidates register (/candidates)</t>
  </si>
  <si>
    <t>Status buckets New/In Progress/Shortlisted/Selected/Rejected with live counts, search, branch/designation filters</t>
  </si>
  <si>
    <t>5 buckets x count integrity vs grid</t>
  </si>
  <si>
    <t>Candidate create form (/candidate/0)</t>
  </si>
  <si>
    <t>Routed form: name/email/phone (+country code)/WhatsApp, branch, user type, status, skills multi-select, résumé upload</t>
  </si>
  <si>
    <t>Routed page (not a modal); file upload + multi-select</t>
  </si>
  <si>
    <t>Assessments (/assessment-list)</t>
  </si>
  <si>
    <t>New Assessment (title, type, description, max score, attachment), library list, edit, delete</t>
  </si>
  <si>
    <t>CRUD + attachment</t>
  </si>
  <si>
    <t>Interview Schedules (/interview-schedules)</t>
  </si>
  <si>
    <t>Schedule Interview (candidate, round, datetime, mode), status, reschedule, cancel</t>
  </si>
  <si>
    <t>Depends on interview-round master + candidates</t>
  </si>
  <si>
    <t>Offers (/offer-list)</t>
  </si>
  <si>
    <t>New Offer (candidate, total CTC, joining date), status lifecycle, accept/decline</t>
  </si>
  <si>
    <t>Gateway from selection to onboarding</t>
  </si>
  <si>
    <t>Recruitment Pipeline (/recruitment-pipeline)</t>
  </si>
  <si>
    <t>Kanban board, mandatory vacancy filter, Configure Stages inline editor, Score, auto-sync toggle, card drag between stages</t>
  </si>
  <si>
    <t>Kanban drag-drop + inline stage editor; heaviest UI in the module</t>
  </si>
  <si>
    <t>Communication Templates (/communication-templates)</t>
  </si>
  <si>
    <t>New Template (name, type, subject, body), list, edit, delete, use in candidate comms</t>
  </si>
  <si>
    <t>CRUD master</t>
  </si>
  <si>
    <t>Talent Pool (/talent-pool)</t>
  </si>
  <si>
    <t>Name/email search, skill &amp; pool filters, tags, score, archive/restore actions</t>
  </si>
  <si>
    <t>Search-driven list; archive path from rejected candidates</t>
  </si>
  <si>
    <t>Recruitment settings</t>
  </si>
  <si>
    <t>/candidate-status (status + nature) and /interview-rounds (round + order): create, reorder, edit, delete</t>
  </si>
  <si>
    <t>2 small masters that drive the funnel stages</t>
  </si>
  <si>
    <t>Onboarding Templates (/onboarding-templates)</t>
  </si>
  <si>
    <t>New Template, joining checklist items, defaults, edit, delete</t>
  </si>
  <si>
    <t>CRUD master feeding onboarding runs</t>
  </si>
  <si>
    <t>Onboarding Pipeline (/onboarding-pipeline)</t>
  </si>
  <si>
    <t>Start Onboarding wizard from an accepted offer, checklist progress, completion -&gt; employee record</t>
  </si>
  <si>
    <t>Cross-module: ends by creating an employee</t>
  </si>
  <si>
    <t>Attendance &amp; Time</t>
  </si>
  <si>
    <t>Shifts &amp; Rules (/shifts)</t>
  </si>
  <si>
    <t>New Shift (name, type, timing, night-shift flag), active toggle, shift-name search, edit, delete</t>
  </si>
  <si>
    <t>Master that every attendance calculation depends on</t>
  </si>
  <si>
    <t>Shift Roster (/shift-roster)</t>
  </si>
  <si>
    <t>Assign shift by scope (Branch/Department/Employee/Company), date range, current assignments grid, active-only filter</t>
  </si>
  <si>
    <t>Scope cascade x4; filters live in the offcanvas panel</t>
  </si>
  <si>
    <t>Attendance Log (/attendance-log)</t>
  </si>
  <si>
    <t>Filter-first report: worked/OT/balance/must-work hours, entry-exit, session details, employee status</t>
  </si>
  <si>
    <t>15 columns; grid empty until filters applied</t>
  </si>
  <si>
    <t>Data from Device (/data-from-device)</t>
  </si>
  <si>
    <t>Biometric punch feed: punch type, recognition type, registered-in-system flag, device, sync time, image</t>
  </si>
  <si>
    <t>Device-fed data; needs punches seeded to assert</t>
  </si>
  <si>
    <t>Add Visit Report (/add-visit-report)</t>
  </si>
  <si>
    <t>Field-visit punches: check-in/out, purpose, site name, site image, mobile location</t>
  </si>
  <si>
    <t>Geo + image columns; header misspelt 'Add Vist Report' (bug to log)</t>
  </si>
  <si>
    <t>Regularization (/regularization)</t>
  </si>
  <si>
    <t>Raise correction (employee, date, type, in/out datetime, reason, attachment), request queue, approve/reject</t>
  </si>
  <si>
    <t>Create + approval queue + file attach; ESS raises into the same queue</t>
  </si>
  <si>
    <t>Overtime Approval (/overtime-approval)</t>
  </si>
  <si>
    <t>OT queue: minutes, eligibility, payout, exported flag, approve/reject, search + date range</t>
  </si>
  <si>
    <t>Approval path feeding payroll; offcanvas filters</t>
  </si>
  <si>
    <t>Attendance Finalization (/attendance-finalization)</t>
  </si>
  <si>
    <t>Start/refresh pay-cycle run, period/scope/target/cut-off, pending count, Finalize, run history</t>
  </si>
  <si>
    <t>State-mutating pay-cycle gate; must not finalize real periods in tests</t>
  </si>
  <si>
    <t>Geofences (/geofences)</t>
  </si>
  <si>
    <t>Add Location (scope, applies-to, lat/long, radius), status, activate/deactivate, search</t>
  </si>
  <si>
    <t>Map-backed coordinates; receives approved ESS locations</t>
  </si>
  <si>
    <t>Timesheet (/timesheet)</t>
  </si>
  <si>
    <t>Attendance hours vs task hours comparison, employee search, date range, shift/status filters</t>
  </si>
  <si>
    <t>Cross-module reconciliation vs Task Management</t>
  </si>
  <si>
    <t>Attendance Report Pack (/attendance-report-pack)</t>
  </si>
  <si>
    <t>Daily register, report-type/branch/department/employee filters, date range, Export, Previous/Next paging</t>
  </si>
  <si>
    <t>Multi-report pack with paging; export triggered not downloaded</t>
  </si>
  <si>
    <t>Operation approval (+report)</t>
  </si>
  <si>
    <t>/approval-operation and /approval-operation-report: worked/OT/balance hours approval, late/early minutes, fixed hours, remarks</t>
  </si>
  <si>
    <t>2 pages; hour-arithmetic verification</t>
  </si>
  <si>
    <t>Absent approval (+report)</t>
  </si>
  <si>
    <t>/approval-absent and /approval-absent-report: absence approval by period, must-work hours, fixed hours, remarks, delete</t>
  </si>
  <si>
    <t>2 pages; mirrors the operation pair</t>
  </si>
  <si>
    <t>Leave Management</t>
  </si>
  <si>
    <t>Leave Types (/leave-types)</t>
  </si>
  <si>
    <t>Create type, half-day support flag, document-required flag, edit, delete, duplicate rejection</t>
  </si>
  <si>
    <t>Root master of the leave chain</t>
  </si>
  <si>
    <t>Leave Patterns (/leave-patterns)</t>
  </si>
  <si>
    <t>New pattern, per-type entitlement details, edit, delete</t>
  </si>
  <si>
    <t>Depends on leave types</t>
  </si>
  <si>
    <t>Leave Policy (/leave-policy)</t>
  </si>
  <si>
    <t>Choose a leave pattern, policy configuration, save, effect on assignments</t>
  </si>
  <si>
    <t>Config page linking pattern -&gt; policy</t>
  </si>
  <si>
    <t>Leave Assignment (/leave-assignment-list)</t>
  </si>
  <si>
    <t>New assignment (type: branch/department/employee), target, pattern, Filter, edit, delete</t>
  </si>
  <si>
    <t>Assignment matrix drives every employee's entitlement</t>
  </si>
  <si>
    <t>Leave Request (/leave-request-list)</t>
  </si>
  <si>
    <t>New Leave Request (type, start/end, half-day, remarks), list, approval status, edit/cancel rules</t>
  </si>
  <si>
    <t>Admin-side request creation; mirrors ESS apply</t>
  </si>
  <si>
    <t>Leave Approval (/leave-approval)</t>
  </si>
  <si>
    <t>Worklist, 3 filter selects, row select + Approve/Reject Selected (bulk), Clear, Delegate approvals modal</t>
  </si>
  <si>
    <t>Bulk decisions + delegation modal; posts to ledger &amp; balances</t>
  </si>
  <si>
    <t>My Leave Policy (/my-leave-policy)</t>
  </si>
  <si>
    <t>Year selector, Show, policy entitlement display for the logged-in user</t>
  </si>
  <si>
    <t>Read-only personal view</t>
  </si>
  <si>
    <t>Leave Balances (/leave-balances)</t>
  </si>
  <si>
    <t>Year, Show, Run Accrual, columns Opening/Accrued/Carried-Fwd/Used/Encashed/Reserved/Available/Liability</t>
  </si>
  <si>
    <t>Accrual engine trigger + 10-column arithmetic</t>
  </si>
  <si>
    <t>Leave Ledger (/leave-ledger)</t>
  </si>
  <si>
    <t>Append-only txn history, employee/type/date filters (offcanvas), balance-after integrity, Export</t>
  </si>
  <si>
    <t>Append-only guarantee + running-balance verification</t>
  </si>
  <si>
    <t>Leave / Attendance Sync (/leave-attendance-sync)</t>
  </si>
  <si>
    <t>Year &amp; period filters, sync status, LOP flags, attendance rows touched, Recalculate period</t>
  </si>
  <si>
    <t>Recalculation is state-mutating — assert read-only paths only</t>
  </si>
  <si>
    <t>Leave Encashment (/leave-encashment)</t>
  </si>
  <si>
    <t>Request encashment (type, days, amount), my-requests list, status</t>
  </si>
  <si>
    <t>Request side; feeds payroll</t>
  </si>
  <si>
    <t>Encashment Approval (/leave-encashment-approval)</t>
  </si>
  <si>
    <t>5 filter selects, request grid, approve/reject, amount verification</t>
  </si>
  <si>
    <t>Approval side of encashment</t>
  </si>
  <si>
    <t>Leave Delegation (/leave-delegation)</t>
  </si>
  <si>
    <t>Active &amp; past delegations registry, from/to, date range, active flag</t>
  </si>
  <si>
    <t>Created from Leave Approval; read-heavy registry</t>
  </si>
  <si>
    <t>Employee Handover (/employee-handover)</t>
  </si>
  <si>
    <t>Set up handover (from/to employee, dates, covers), active flag, all-handovers grid, edit, delete</t>
  </si>
  <si>
    <t>Admin twin of the ESS handover page</t>
  </si>
  <si>
    <t>Comp-Offs (/comp-offs)</t>
  </si>
  <si>
    <t>Request Comp-Off, earned/source/days/expiry, my credits grid, status</t>
  </si>
  <si>
    <t>Employee-facing credit request</t>
  </si>
  <si>
    <t>Comp-Off Management (/comp-off-management)</t>
  </si>
  <si>
    <t>All-employee credits, pending-only toggle, Grant / Reject per row, expiry handling</t>
  </si>
  <si>
    <t>Per-row grant/reject; only present when rows exist</t>
  </si>
  <si>
    <t>Holidays (/holiday-list)</t>
  </si>
  <si>
    <t>New Holiday (name, dates, calendar), search, Export, Calendar view at /holiday-calendar</t>
  </si>
  <si>
    <t>CRUD + separate calendar route</t>
  </si>
  <si>
    <t>Holiday Assignment (/holiday-assignment-list)</t>
  </si>
  <si>
    <t>New assignment (type, target), Filter, list, edit, delete</t>
  </si>
  <si>
    <t>Assignment matrix for holiday calendars</t>
  </si>
  <si>
    <t>Leave Reports (/leave-reports)</t>
  </si>
  <si>
    <t>Register / Balance / Utilization report switch, year &amp; branch &amp; department filters, Filter</t>
  </si>
  <si>
    <t>3 report modes behind one page</t>
  </si>
  <si>
    <t>Absence Analytics (/absence-analytics)</t>
  </si>
  <si>
    <t>Monthly trend, absence rate by department, Bradford Factor risk table (Spells/Days/Score/Signal), filters</t>
  </si>
  <si>
    <t>Charts + Bradford scoring; collapses to 'No analytics available' with no data</t>
  </si>
  <si>
    <t>Leave Calendar (/leave-calendar)</t>
  </si>
  <si>
    <t>Month/branch/department view, employee-name filter, Show, leave markers on calendar</t>
  </si>
  <si>
    <t>Calendar visualisation, not a grid</t>
  </si>
  <si>
    <t>My Workspace (ESS)</t>
  </si>
  <si>
    <t>ESS Dashboard (/ess)</t>
  </si>
  <si>
    <t>KPI tiles (Leave Available / Today's Attendance / Pending Requests / Letters to Acknowledge), profile card, Quick Actions, Upcoming Holidays, Birthdays</t>
  </si>
  <si>
    <t>Async-loading widgets; KPI values must reconcile with source pages</t>
  </si>
  <si>
    <t>My Profile (/ess/profile)</t>
  </si>
  <si>
    <t>Read-only overview (code/branch/department/designation/reports-to/joined), Request A Change form (name/email/ID/passport/blood group + reason), Submit Change Request</t>
  </si>
  <si>
    <t>Write path is an approval request, not a direct edit</t>
  </si>
  <si>
    <t>My Requests (/ess/requests)</t>
  </si>
  <si>
    <t>Profile change request list, status tracking, documented empty state</t>
  </si>
  <si>
    <t>Round-trip verification target for /ess/profile</t>
  </si>
  <si>
    <t>My Leave (/ess/leave)</t>
  </si>
  <si>
    <t>Balances table (Balance/Reserved/Available), Apply For Leave (type, from/to, half-day, reason), my requests, year Show</t>
  </si>
  <si>
    <t>Primary ESS-&gt;admin E2E: apply -&gt; approve -&gt; ledger/balance</t>
  </si>
  <si>
    <t>My Handover (/my-handover)</t>
  </si>
  <si>
    <t>Set Up Handover (assignee, dates, covers, reason), Save, Clear, my-handovers grid</t>
  </si>
  <si>
    <t>Self-service twin of admin handover</t>
  </si>
  <si>
    <t>My Attendance (/ess/attendance)</t>
  </si>
  <si>
    <t>Date-range Show, history grid (entry/exit/worked/OT/status), Regularize, Raise OT</t>
  </si>
  <si>
    <t>Raises into admin regularization &amp; OT queues</t>
  </si>
  <si>
    <t>My Locations (/ess/locations)</t>
  </si>
  <si>
    <t>Add work location (name, radius; lat/long are map-set read-only), address search, Use my location, Submit for approval, my-locations grid</t>
  </si>
  <si>
    <t>Google-Maps widget; geolocation not grantable headless; grid paints below the map</t>
  </si>
  <si>
    <t>My Documents (/ess/documents)</t>
  </si>
  <si>
    <t>Upload A Document (type, number, category, expiry, file), documents grid, expiry status</t>
  </si>
  <si>
    <t>File-upload path with expiry tracking</t>
  </si>
  <si>
    <t>My Letters (/ess/letters)</t>
  </si>
  <si>
    <t>Request a letter/certificate, published letters grid, acknowledge action, KPI decrement</t>
  </si>
  <si>
    <t>Acknowledge flips state and the dashboard KPI</t>
  </si>
  <si>
    <t>My Pay (/ess/payslips)</t>
  </si>
  <si>
    <t>Year Show, payslip grid (Period/Basic/Deductions/Net/Payable/Paid), PDF-unavailable footnote</t>
  </si>
  <si>
    <t>Terminal assertion of the payroll chain</t>
  </si>
  <si>
    <t>My Probation (/ess/probation)</t>
  </si>
  <si>
    <t>Probation status panel, review checkpoints, documented not-on-probation state</t>
  </si>
  <si>
    <t>Read-only mirror of admin probation</t>
  </si>
  <si>
    <t>Cross-Cutting</t>
  </si>
  <si>
    <t>Login &amp; session</t>
  </si>
  <si>
    <t>Company-code/username/password form, invalid-credential negatives, session persistence, logout, redirect-to-login on expiry</t>
  </si>
  <si>
    <t>Gate for every other check; 3-field tenant login</t>
  </si>
  <si>
    <t>Navigation &amp; menu integrity</t>
  </si>
  <si>
    <t>HRMS menu tree (Core HR / Recruitment / Attendance / Leave / ESS groups), every route reachable, breadcrumb correctness</t>
  </si>
  <si>
    <t>80 routes to walk; catches broken/removed menu entries</t>
  </si>
  <si>
    <t>Approval workflow E2E</t>
  </si>
  <si>
    <t>Config a chain then drive leave, salary revision, regularization, encashment and ESS profile-change through /approvals to completion</t>
  </si>
  <si>
    <t>Multi-module chain; the highest-value regression path</t>
  </si>
  <si>
    <t>Test data seeding &amp; environment</t>
  </si>
  <si>
    <t>Employees, shifts+roster, leave types/patterns/policy/assignment, holidays, requisition-&gt;opening-&gt;candidate, probation records</t>
  </si>
  <si>
    <t>Prerequisite for most state-dependent checks; done once per environment</t>
  </si>
  <si>
    <t>Defect logging &amp; retest</t>
  </si>
  <si>
    <t>Log build bugs found (remark header, 'Add Vist Report' typo, upload-employee stray card title), retest after fixes</t>
  </si>
  <si>
    <t>Known issues already observed during the study</t>
  </si>
  <si>
    <t>TOTAL</t>
  </si>
  <si>
    <t>Date</t>
  </si>
  <si>
    <t>Hours Spent</t>
  </si>
  <si>
    <t>What was done</t>
  </si>
  <si>
    <t>Status Update</t>
  </si>
  <si>
    <t>WBS DASHBOARD — HRMS (Core HR · Recruitment · Attendance · Leave · ESS)</t>
  </si>
  <si>
    <t>By Sub-Module</t>
  </si>
  <si>
    <t>Checks</t>
  </si>
  <si>
    <t>Completed</t>
  </si>
  <si>
    <t>Pending/In-Prog</t>
  </si>
  <si>
    <t>Est Hours</t>
  </si>
  <si>
    <t>% Complete</t>
  </si>
  <si>
    <t>Daily hours (from Daily Hours Log)</t>
  </si>
  <si>
    <t>Today's logged hours:</t>
  </si>
  <si>
    <t>Total logged hours:</t>
  </si>
  <si>
    <t>HOW TO USE (daily routine)</t>
  </si>
  <si>
    <t>1. Each day, add a row in 'Daily Hours Log' per sub-module you worked on (Date, Module, Sub-Module, Hours).</t>
  </si>
  <si>
    <t>2. Update 'Actual Hours' + 'Date Worked' + 'Status' on the matching WBS Tracker row (add hours cumulatively).</t>
  </si>
  <si>
    <t>3. Variance auto-calculates (Estimated - Actual); negative = over-estimate risk, raise early.</t>
  </si>
  <si>
    <t>4. Filter the WBS Tracker Status column for Completed vs Pending (it is an Excel Table - use the header filters).</t>
  </si>
  <si>
    <t>5. Pivot: Insert &gt; PivotTable &gt; table 'WBS_HRMS' &gt; Rows: Sub-Module, Page; Values: Sum of Estimated/Actual Hours.</t>
  </si>
  <si>
    <t>6. Burndown by day: Insert &gt; PivotTable on table 'DailyLogHRMS' &gt; Rows: Date; Values: Sum of Hours Spent.</t>
  </si>
  <si>
    <t>7. Estimates assume the config chain is seeded first (shifts+roster, leave types-&gt;pattern-&gt;policy-&gt;assignment,</t>
  </si>
  <si>
    <t xml:space="preserve">   holidays, requisition-&gt;opening-&gt;candidate) - see the 'Test data seeding' row under Cross-Cutting.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</si>
</sst>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1"/>
      <color rgb="FF9C6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/>
    <xf numFmtId="9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WBS_HRMS" displayName="WBS_HRMS" ref="A1:L84">
  <autoFilter ref="A1:L84"/>
  <tableColumns count="12">
    <tableColumn id="1" name="Project"/>
    <tableColumn id="2" name="Module"/>
    <tableColumn id="3" name="Sub-Module"/>
    <tableColumn id="4" name="Page / Functionality Check"/>
    <tableColumn id="5" name="Scope of Check"/>
    <tableColumn id="6" name="Estimation Rationale"/>
    <tableColumn id="7" name="Estimated Hours"/>
    <tableColumn id="8" name="Actual Hours"/>
    <tableColumn id="9" name="Date Worked"/>
    <tableColumn id="10" name="Status"/>
    <tableColumn id="11" name="Variance (h)"/>
    <tableColumn id="12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LogHRMS" displayName="DailyLogHRMS" ref="A1:F2">
  <autoFilter ref="A1:F2"/>
  <tableColumns count="6">
    <tableColumn id="1" name="Date"/>
    <tableColumn id="2" name="Module"/>
    <tableColumn id="3" name="Sub-Module"/>
    <tableColumn id="4" name="Hours Spent"/>
    <tableColumn id="5" name="What was done"/>
    <tableColumn id="6" name="Status Up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pane ySplit="1" topLeftCell="A50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24" customWidth="1"/>
    <col min="4" max="4" width="34" customWidth="1"/>
    <col min="5" max="5" width="52" customWidth="1"/>
    <col min="6" max="6" width="42" customWidth="1"/>
    <col min="7" max="7" width="11" customWidth="1"/>
    <col min="8" max="8" width="10" customWidth="1"/>
    <col min="9" max="10" width="12" customWidth="1"/>
    <col min="11" max="11" width="11" customWidth="1"/>
    <col min="12" max="12" width="24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</v>
      </c>
      <c r="H2" s="3"/>
      <c r="I2" s="2"/>
      <c r="J2" s="2" t="s">
        <v>18</v>
      </c>
      <c r="K2" s="3">
        <f t="shared" ref="K2:K33" si="0">G2-H2</f>
        <v>3</v>
      </c>
      <c r="L2" s="2"/>
    </row>
    <row r="3" spans="1:12" ht="45" x14ac:dyDescent="0.25">
      <c r="A3" s="2" t="s">
        <v>12</v>
      </c>
      <c r="B3" s="2" t="s">
        <v>13</v>
      </c>
      <c r="C3" s="2" t="s">
        <v>14</v>
      </c>
      <c r="D3" s="2" t="s">
        <v>19</v>
      </c>
      <c r="E3" s="2" t="s">
        <v>20</v>
      </c>
      <c r="F3" s="2" t="s">
        <v>21</v>
      </c>
      <c r="G3" s="3">
        <v>4</v>
      </c>
      <c r="H3" s="3"/>
      <c r="I3" s="2"/>
      <c r="J3" s="2" t="s">
        <v>18</v>
      </c>
      <c r="K3" s="3">
        <f t="shared" si="0"/>
        <v>4</v>
      </c>
      <c r="L3" s="2"/>
    </row>
    <row r="4" spans="1:12" ht="30" x14ac:dyDescent="0.25">
      <c r="A4" s="2" t="s">
        <v>12</v>
      </c>
      <c r="B4" s="2" t="s">
        <v>13</v>
      </c>
      <c r="C4" s="2" t="s">
        <v>14</v>
      </c>
      <c r="D4" s="2" t="s">
        <v>22</v>
      </c>
      <c r="E4" s="2" t="s">
        <v>23</v>
      </c>
      <c r="F4" s="2" t="s">
        <v>24</v>
      </c>
      <c r="G4" s="3">
        <v>1.5</v>
      </c>
      <c r="H4" s="3"/>
      <c r="I4" s="2"/>
      <c r="J4" s="2" t="s">
        <v>18</v>
      </c>
      <c r="K4" s="3">
        <f t="shared" si="0"/>
        <v>1.5</v>
      </c>
      <c r="L4" s="2"/>
    </row>
    <row r="5" spans="1:12" ht="30" x14ac:dyDescent="0.25">
      <c r="A5" s="2" t="s">
        <v>12</v>
      </c>
      <c r="B5" s="2" t="s">
        <v>13</v>
      </c>
      <c r="C5" s="2" t="s">
        <v>14</v>
      </c>
      <c r="D5" s="2" t="s">
        <v>25</v>
      </c>
      <c r="E5" s="2" t="s">
        <v>26</v>
      </c>
      <c r="F5" s="2" t="s">
        <v>27</v>
      </c>
      <c r="G5" s="3">
        <v>2.5</v>
      </c>
      <c r="H5" s="3"/>
      <c r="I5" s="2"/>
      <c r="J5" s="2" t="s">
        <v>18</v>
      </c>
      <c r="K5" s="3">
        <f t="shared" si="0"/>
        <v>2.5</v>
      </c>
      <c r="L5" s="2"/>
    </row>
    <row r="6" spans="1:12" ht="45" x14ac:dyDescent="0.25">
      <c r="A6" s="2" t="s">
        <v>12</v>
      </c>
      <c r="B6" s="2" t="s">
        <v>13</v>
      </c>
      <c r="C6" s="2" t="s">
        <v>14</v>
      </c>
      <c r="D6" s="2" t="s">
        <v>28</v>
      </c>
      <c r="E6" s="2" t="s">
        <v>29</v>
      </c>
      <c r="F6" s="2" t="s">
        <v>30</v>
      </c>
      <c r="G6" s="3">
        <v>3</v>
      </c>
      <c r="H6" s="3"/>
      <c r="I6" s="2"/>
      <c r="J6" s="2" t="s">
        <v>18</v>
      </c>
      <c r="K6" s="3">
        <f t="shared" si="0"/>
        <v>3</v>
      </c>
      <c r="L6" s="2"/>
    </row>
    <row r="7" spans="1:12" ht="30" x14ac:dyDescent="0.25">
      <c r="A7" s="2" t="s">
        <v>12</v>
      </c>
      <c r="B7" s="2" t="s">
        <v>13</v>
      </c>
      <c r="C7" s="2" t="s">
        <v>14</v>
      </c>
      <c r="D7" s="2" t="s">
        <v>31</v>
      </c>
      <c r="E7" s="2" t="s">
        <v>32</v>
      </c>
      <c r="F7" s="2" t="s">
        <v>33</v>
      </c>
      <c r="G7" s="3">
        <v>3.5</v>
      </c>
      <c r="H7" s="3"/>
      <c r="I7" s="2"/>
      <c r="J7" s="2" t="s">
        <v>18</v>
      </c>
      <c r="K7" s="3">
        <f t="shared" si="0"/>
        <v>3.5</v>
      </c>
      <c r="L7" s="2"/>
    </row>
    <row r="8" spans="1:12" ht="30" x14ac:dyDescent="0.25">
      <c r="A8" s="2" t="s">
        <v>12</v>
      </c>
      <c r="B8" s="2" t="s">
        <v>13</v>
      </c>
      <c r="C8" s="2" t="s">
        <v>14</v>
      </c>
      <c r="D8" s="2" t="s">
        <v>34</v>
      </c>
      <c r="E8" s="2" t="s">
        <v>35</v>
      </c>
      <c r="F8" s="2" t="s">
        <v>36</v>
      </c>
      <c r="G8" s="3">
        <v>2.5</v>
      </c>
      <c r="H8" s="3"/>
      <c r="I8" s="2"/>
      <c r="J8" s="2" t="s">
        <v>18</v>
      </c>
      <c r="K8" s="3">
        <f t="shared" si="0"/>
        <v>2.5</v>
      </c>
      <c r="L8" s="2"/>
    </row>
    <row r="9" spans="1:12" ht="30" x14ac:dyDescent="0.25">
      <c r="A9" s="2" t="s">
        <v>12</v>
      </c>
      <c r="B9" s="2" t="s">
        <v>13</v>
      </c>
      <c r="C9" s="2" t="s">
        <v>14</v>
      </c>
      <c r="D9" s="2" t="s">
        <v>37</v>
      </c>
      <c r="E9" s="2" t="s">
        <v>38</v>
      </c>
      <c r="F9" s="2" t="s">
        <v>39</v>
      </c>
      <c r="G9" s="3">
        <v>1.5</v>
      </c>
      <c r="H9" s="3"/>
      <c r="I9" s="2"/>
      <c r="J9" s="2" t="s">
        <v>18</v>
      </c>
      <c r="K9" s="3">
        <f t="shared" si="0"/>
        <v>1.5</v>
      </c>
      <c r="L9" s="2"/>
    </row>
    <row r="10" spans="1:12" ht="30" x14ac:dyDescent="0.25">
      <c r="A10" s="2" t="s">
        <v>12</v>
      </c>
      <c r="B10" s="2" t="s">
        <v>13</v>
      </c>
      <c r="C10" s="2" t="s">
        <v>14</v>
      </c>
      <c r="D10" s="2" t="s">
        <v>40</v>
      </c>
      <c r="E10" s="2" t="s">
        <v>41</v>
      </c>
      <c r="F10" s="2" t="s">
        <v>42</v>
      </c>
      <c r="G10" s="3">
        <v>3</v>
      </c>
      <c r="H10" s="3"/>
      <c r="I10" s="2"/>
      <c r="J10" s="2" t="s">
        <v>18</v>
      </c>
      <c r="K10" s="3">
        <f t="shared" si="0"/>
        <v>3</v>
      </c>
      <c r="L10" s="2"/>
    </row>
    <row r="11" spans="1:12" ht="30" x14ac:dyDescent="0.25">
      <c r="A11" s="2" t="s">
        <v>12</v>
      </c>
      <c r="B11" s="2" t="s">
        <v>13</v>
      </c>
      <c r="C11" s="2" t="s">
        <v>14</v>
      </c>
      <c r="D11" s="2" t="s">
        <v>43</v>
      </c>
      <c r="E11" s="2" t="s">
        <v>44</v>
      </c>
      <c r="F11" s="2" t="s">
        <v>45</v>
      </c>
      <c r="G11" s="3">
        <v>2</v>
      </c>
      <c r="H11" s="3"/>
      <c r="I11" s="2"/>
      <c r="J11" s="2" t="s">
        <v>18</v>
      </c>
      <c r="K11" s="3">
        <f t="shared" si="0"/>
        <v>2</v>
      </c>
      <c r="L11" s="2"/>
    </row>
    <row r="12" spans="1:12" ht="30" x14ac:dyDescent="0.25">
      <c r="A12" s="2" t="s">
        <v>12</v>
      </c>
      <c r="B12" s="2" t="s">
        <v>13</v>
      </c>
      <c r="C12" s="2" t="s">
        <v>14</v>
      </c>
      <c r="D12" s="2" t="s">
        <v>46</v>
      </c>
      <c r="E12" s="2" t="s">
        <v>47</v>
      </c>
      <c r="F12" s="2" t="s">
        <v>48</v>
      </c>
      <c r="G12" s="3">
        <v>2</v>
      </c>
      <c r="H12" s="3"/>
      <c r="I12" s="2"/>
      <c r="J12" s="2" t="s">
        <v>18</v>
      </c>
      <c r="K12" s="3">
        <f t="shared" si="0"/>
        <v>2</v>
      </c>
      <c r="L12" s="2"/>
    </row>
    <row r="13" spans="1:12" ht="30" x14ac:dyDescent="0.25">
      <c r="A13" s="2" t="s">
        <v>12</v>
      </c>
      <c r="B13" s="2" t="s">
        <v>13</v>
      </c>
      <c r="C13" s="2" t="s">
        <v>14</v>
      </c>
      <c r="D13" s="2" t="s">
        <v>49</v>
      </c>
      <c r="E13" s="2" t="s">
        <v>50</v>
      </c>
      <c r="F13" s="2" t="s">
        <v>51</v>
      </c>
      <c r="G13" s="3">
        <v>1</v>
      </c>
      <c r="H13" s="3"/>
      <c r="I13" s="2"/>
      <c r="J13" s="2" t="s">
        <v>18</v>
      </c>
      <c r="K13" s="3">
        <f t="shared" si="0"/>
        <v>1</v>
      </c>
      <c r="L13" s="2"/>
    </row>
    <row r="14" spans="1:12" ht="30" x14ac:dyDescent="0.25">
      <c r="A14" s="2" t="s">
        <v>12</v>
      </c>
      <c r="B14" s="2" t="s">
        <v>13</v>
      </c>
      <c r="C14" s="2" t="s">
        <v>14</v>
      </c>
      <c r="D14" s="2" t="s">
        <v>52</v>
      </c>
      <c r="E14" s="2" t="s">
        <v>53</v>
      </c>
      <c r="F14" s="2" t="s">
        <v>54</v>
      </c>
      <c r="G14" s="3">
        <v>3</v>
      </c>
      <c r="H14" s="3"/>
      <c r="I14" s="2"/>
      <c r="J14" s="2" t="s">
        <v>18</v>
      </c>
      <c r="K14" s="3">
        <f t="shared" si="0"/>
        <v>3</v>
      </c>
      <c r="L14" s="2"/>
    </row>
    <row r="15" spans="1:12" ht="30" x14ac:dyDescent="0.25">
      <c r="A15" s="2" t="s">
        <v>12</v>
      </c>
      <c r="B15" s="2" t="s">
        <v>13</v>
      </c>
      <c r="C15" s="2" t="s">
        <v>14</v>
      </c>
      <c r="D15" s="2" t="s">
        <v>55</v>
      </c>
      <c r="E15" s="2" t="s">
        <v>56</v>
      </c>
      <c r="F15" s="2" t="s">
        <v>57</v>
      </c>
      <c r="G15" s="3">
        <v>2.5</v>
      </c>
      <c r="H15" s="3"/>
      <c r="I15" s="2"/>
      <c r="J15" s="2" t="s">
        <v>18</v>
      </c>
      <c r="K15" s="3">
        <f t="shared" si="0"/>
        <v>2.5</v>
      </c>
      <c r="L15" s="2"/>
    </row>
    <row r="16" spans="1:12" ht="30" x14ac:dyDescent="0.25">
      <c r="A16" s="2" t="s">
        <v>12</v>
      </c>
      <c r="B16" s="2" t="s">
        <v>13</v>
      </c>
      <c r="C16" s="2" t="s">
        <v>14</v>
      </c>
      <c r="D16" s="2" t="s">
        <v>58</v>
      </c>
      <c r="E16" s="2" t="s">
        <v>59</v>
      </c>
      <c r="F16" s="2" t="s">
        <v>60</v>
      </c>
      <c r="G16" s="3">
        <v>3</v>
      </c>
      <c r="H16" s="3"/>
      <c r="I16" s="2"/>
      <c r="J16" s="2" t="s">
        <v>18</v>
      </c>
      <c r="K16" s="3">
        <f t="shared" si="0"/>
        <v>3</v>
      </c>
      <c r="L16" s="2"/>
    </row>
    <row r="17" spans="1:12" ht="30" x14ac:dyDescent="0.25">
      <c r="A17" s="2" t="s">
        <v>12</v>
      </c>
      <c r="B17" s="2" t="s">
        <v>13</v>
      </c>
      <c r="C17" s="2" t="s">
        <v>14</v>
      </c>
      <c r="D17" s="2" t="s">
        <v>61</v>
      </c>
      <c r="E17" s="2" t="s">
        <v>62</v>
      </c>
      <c r="F17" s="2" t="s">
        <v>63</v>
      </c>
      <c r="G17" s="3">
        <v>3</v>
      </c>
      <c r="H17" s="3"/>
      <c r="I17" s="2"/>
      <c r="J17" s="2" t="s">
        <v>18</v>
      </c>
      <c r="K17" s="3">
        <f t="shared" si="0"/>
        <v>3</v>
      </c>
      <c r="L17" s="2"/>
    </row>
    <row r="18" spans="1:12" ht="30" x14ac:dyDescent="0.25">
      <c r="A18" s="2" t="s">
        <v>12</v>
      </c>
      <c r="B18" s="2" t="s">
        <v>13</v>
      </c>
      <c r="C18" s="2" t="s">
        <v>14</v>
      </c>
      <c r="D18" s="2" t="s">
        <v>64</v>
      </c>
      <c r="E18" s="2" t="s">
        <v>65</v>
      </c>
      <c r="F18" s="2" t="s">
        <v>66</v>
      </c>
      <c r="G18" s="3">
        <v>3.5</v>
      </c>
      <c r="H18" s="3"/>
      <c r="I18" s="2"/>
      <c r="J18" s="2" t="s">
        <v>18</v>
      </c>
      <c r="K18" s="3">
        <f t="shared" si="0"/>
        <v>3.5</v>
      </c>
      <c r="L18" s="2"/>
    </row>
    <row r="19" spans="1:12" ht="30" x14ac:dyDescent="0.25">
      <c r="A19" s="2" t="s">
        <v>12</v>
      </c>
      <c r="B19" s="2" t="s">
        <v>13</v>
      </c>
      <c r="C19" s="2" t="s">
        <v>14</v>
      </c>
      <c r="D19" s="2" t="s">
        <v>67</v>
      </c>
      <c r="E19" s="2" t="s">
        <v>68</v>
      </c>
      <c r="F19" s="2" t="s">
        <v>69</v>
      </c>
      <c r="G19" s="3">
        <v>2</v>
      </c>
      <c r="H19" s="3"/>
      <c r="I19" s="2"/>
      <c r="J19" s="2" t="s">
        <v>18</v>
      </c>
      <c r="K19" s="3">
        <f t="shared" si="0"/>
        <v>2</v>
      </c>
      <c r="L19" s="2"/>
    </row>
    <row r="20" spans="1:12" ht="30" x14ac:dyDescent="0.25">
      <c r="A20" s="2" t="s">
        <v>12</v>
      </c>
      <c r="B20" s="2" t="s">
        <v>13</v>
      </c>
      <c r="C20" s="2" t="s">
        <v>70</v>
      </c>
      <c r="D20" s="2" t="s">
        <v>71</v>
      </c>
      <c r="E20" s="2" t="s">
        <v>72</v>
      </c>
      <c r="F20" s="2" t="s">
        <v>73</v>
      </c>
      <c r="G20" s="3">
        <v>2.5</v>
      </c>
      <c r="H20" s="3"/>
      <c r="I20" s="2"/>
      <c r="J20" s="2" t="s">
        <v>18</v>
      </c>
      <c r="K20" s="3">
        <f t="shared" si="0"/>
        <v>2.5</v>
      </c>
      <c r="L20" s="2"/>
    </row>
    <row r="21" spans="1:12" ht="30" x14ac:dyDescent="0.25">
      <c r="A21" s="2" t="s">
        <v>12</v>
      </c>
      <c r="B21" s="2" t="s">
        <v>13</v>
      </c>
      <c r="C21" s="2" t="s">
        <v>70</v>
      </c>
      <c r="D21" s="2" t="s">
        <v>74</v>
      </c>
      <c r="E21" s="2" t="s">
        <v>75</v>
      </c>
      <c r="F21" s="2" t="s">
        <v>76</v>
      </c>
      <c r="G21" s="3">
        <v>3</v>
      </c>
      <c r="H21" s="3"/>
      <c r="I21" s="2"/>
      <c r="J21" s="2" t="s">
        <v>18</v>
      </c>
      <c r="K21" s="3">
        <f t="shared" si="0"/>
        <v>3</v>
      </c>
      <c r="L21" s="2"/>
    </row>
    <row r="22" spans="1:12" ht="30" x14ac:dyDescent="0.25">
      <c r="A22" s="2" t="s">
        <v>12</v>
      </c>
      <c r="B22" s="2" t="s">
        <v>13</v>
      </c>
      <c r="C22" s="2" t="s">
        <v>70</v>
      </c>
      <c r="D22" s="2" t="s">
        <v>77</v>
      </c>
      <c r="E22" s="2" t="s">
        <v>78</v>
      </c>
      <c r="F22" s="2" t="s">
        <v>79</v>
      </c>
      <c r="G22" s="3">
        <v>2</v>
      </c>
      <c r="H22" s="3"/>
      <c r="I22" s="2"/>
      <c r="J22" s="2" t="s">
        <v>18</v>
      </c>
      <c r="K22" s="3">
        <f t="shared" si="0"/>
        <v>2</v>
      </c>
      <c r="L22" s="2"/>
    </row>
    <row r="23" spans="1:12" ht="30" x14ac:dyDescent="0.25">
      <c r="A23" s="2" t="s">
        <v>12</v>
      </c>
      <c r="B23" s="2" t="s">
        <v>13</v>
      </c>
      <c r="C23" s="2" t="s">
        <v>70</v>
      </c>
      <c r="D23" s="2" t="s">
        <v>80</v>
      </c>
      <c r="E23" s="2" t="s">
        <v>81</v>
      </c>
      <c r="F23" s="2" t="s">
        <v>82</v>
      </c>
      <c r="G23" s="3">
        <v>2.5</v>
      </c>
      <c r="H23" s="3"/>
      <c r="I23" s="2"/>
      <c r="J23" s="2" t="s">
        <v>18</v>
      </c>
      <c r="K23" s="3">
        <f t="shared" si="0"/>
        <v>2.5</v>
      </c>
      <c r="L23" s="2"/>
    </row>
    <row r="24" spans="1:12" ht="45" x14ac:dyDescent="0.25">
      <c r="A24" s="2" t="s">
        <v>12</v>
      </c>
      <c r="B24" s="2" t="s">
        <v>13</v>
      </c>
      <c r="C24" s="2" t="s">
        <v>70</v>
      </c>
      <c r="D24" s="2" t="s">
        <v>83</v>
      </c>
      <c r="E24" s="2" t="s">
        <v>84</v>
      </c>
      <c r="F24" s="2" t="s">
        <v>85</v>
      </c>
      <c r="G24" s="3">
        <v>3</v>
      </c>
      <c r="H24" s="3"/>
      <c r="I24" s="2"/>
      <c r="J24" s="2" t="s">
        <v>18</v>
      </c>
      <c r="K24" s="3">
        <f t="shared" si="0"/>
        <v>3</v>
      </c>
      <c r="L24" s="2"/>
    </row>
    <row r="25" spans="1:12" ht="45" x14ac:dyDescent="0.25">
      <c r="A25" s="2" t="s">
        <v>12</v>
      </c>
      <c r="B25" s="2" t="s">
        <v>13</v>
      </c>
      <c r="C25" s="2" t="s">
        <v>70</v>
      </c>
      <c r="D25" s="2" t="s">
        <v>86</v>
      </c>
      <c r="E25" s="2" t="s">
        <v>87</v>
      </c>
      <c r="F25" s="2" t="s">
        <v>88</v>
      </c>
      <c r="G25" s="3">
        <v>3.5</v>
      </c>
      <c r="H25" s="3"/>
      <c r="I25" s="2"/>
      <c r="J25" s="2" t="s">
        <v>18</v>
      </c>
      <c r="K25" s="3">
        <f t="shared" si="0"/>
        <v>3.5</v>
      </c>
      <c r="L25" s="2"/>
    </row>
    <row r="26" spans="1:12" ht="30" x14ac:dyDescent="0.25">
      <c r="A26" s="2" t="s">
        <v>12</v>
      </c>
      <c r="B26" s="2" t="s">
        <v>13</v>
      </c>
      <c r="C26" s="2" t="s">
        <v>70</v>
      </c>
      <c r="D26" s="2" t="s">
        <v>89</v>
      </c>
      <c r="E26" s="2" t="s">
        <v>90</v>
      </c>
      <c r="F26" s="2" t="s">
        <v>91</v>
      </c>
      <c r="G26" s="3">
        <v>2</v>
      </c>
      <c r="H26" s="3"/>
      <c r="I26" s="2"/>
      <c r="J26" s="2" t="s">
        <v>18</v>
      </c>
      <c r="K26" s="3">
        <f t="shared" si="0"/>
        <v>2</v>
      </c>
      <c r="L26" s="2"/>
    </row>
    <row r="27" spans="1:12" ht="30" x14ac:dyDescent="0.25">
      <c r="A27" s="2" t="s">
        <v>12</v>
      </c>
      <c r="B27" s="2" t="s">
        <v>13</v>
      </c>
      <c r="C27" s="2" t="s">
        <v>70</v>
      </c>
      <c r="D27" s="2" t="s">
        <v>92</v>
      </c>
      <c r="E27" s="2" t="s">
        <v>93</v>
      </c>
      <c r="F27" s="2" t="s">
        <v>94</v>
      </c>
      <c r="G27" s="3">
        <v>2.5</v>
      </c>
      <c r="H27" s="3"/>
      <c r="I27" s="2"/>
      <c r="J27" s="2" t="s">
        <v>18</v>
      </c>
      <c r="K27" s="3">
        <f t="shared" si="0"/>
        <v>2.5</v>
      </c>
      <c r="L27" s="2"/>
    </row>
    <row r="28" spans="1:12" ht="30" x14ac:dyDescent="0.25">
      <c r="A28" s="2" t="s">
        <v>12</v>
      </c>
      <c r="B28" s="2" t="s">
        <v>13</v>
      </c>
      <c r="C28" s="2" t="s">
        <v>70</v>
      </c>
      <c r="D28" s="2" t="s">
        <v>95</v>
      </c>
      <c r="E28" s="2" t="s">
        <v>96</v>
      </c>
      <c r="F28" s="2" t="s">
        <v>97</v>
      </c>
      <c r="G28" s="3">
        <v>2.5</v>
      </c>
      <c r="H28" s="3"/>
      <c r="I28" s="2"/>
      <c r="J28" s="2" t="s">
        <v>18</v>
      </c>
      <c r="K28" s="3">
        <f t="shared" si="0"/>
        <v>2.5</v>
      </c>
      <c r="L28" s="2"/>
    </row>
    <row r="29" spans="1:12" ht="45" x14ac:dyDescent="0.25">
      <c r="A29" s="2" t="s">
        <v>12</v>
      </c>
      <c r="B29" s="2" t="s">
        <v>13</v>
      </c>
      <c r="C29" s="2" t="s">
        <v>70</v>
      </c>
      <c r="D29" s="2" t="s">
        <v>98</v>
      </c>
      <c r="E29" s="2" t="s">
        <v>99</v>
      </c>
      <c r="F29" s="2" t="s">
        <v>100</v>
      </c>
      <c r="G29" s="3">
        <v>4.5</v>
      </c>
      <c r="H29" s="3"/>
      <c r="I29" s="2"/>
      <c r="J29" s="2" t="s">
        <v>18</v>
      </c>
      <c r="K29" s="3">
        <f t="shared" si="0"/>
        <v>4.5</v>
      </c>
      <c r="L29" s="2"/>
    </row>
    <row r="30" spans="1:12" ht="30" x14ac:dyDescent="0.25">
      <c r="A30" s="2" t="s">
        <v>12</v>
      </c>
      <c r="B30" s="2" t="s">
        <v>13</v>
      </c>
      <c r="C30" s="2" t="s">
        <v>70</v>
      </c>
      <c r="D30" s="2" t="s">
        <v>101</v>
      </c>
      <c r="E30" s="2" t="s">
        <v>102</v>
      </c>
      <c r="F30" s="2" t="s">
        <v>103</v>
      </c>
      <c r="G30" s="3">
        <v>2</v>
      </c>
      <c r="H30" s="3"/>
      <c r="I30" s="2"/>
      <c r="J30" s="2" t="s">
        <v>18</v>
      </c>
      <c r="K30" s="3">
        <f t="shared" si="0"/>
        <v>2</v>
      </c>
      <c r="L30" s="2"/>
    </row>
    <row r="31" spans="1:12" ht="30" x14ac:dyDescent="0.25">
      <c r="A31" s="2" t="s">
        <v>12</v>
      </c>
      <c r="B31" s="2" t="s">
        <v>13</v>
      </c>
      <c r="C31" s="2" t="s">
        <v>70</v>
      </c>
      <c r="D31" s="2" t="s">
        <v>104</v>
      </c>
      <c r="E31" s="2" t="s">
        <v>105</v>
      </c>
      <c r="F31" s="2" t="s">
        <v>106</v>
      </c>
      <c r="G31" s="3">
        <v>2</v>
      </c>
      <c r="H31" s="3"/>
      <c r="I31" s="2"/>
      <c r="J31" s="2" t="s">
        <v>18</v>
      </c>
      <c r="K31" s="3">
        <f t="shared" si="0"/>
        <v>2</v>
      </c>
      <c r="L31" s="2"/>
    </row>
    <row r="32" spans="1:12" ht="30" x14ac:dyDescent="0.25">
      <c r="A32" s="2" t="s">
        <v>12</v>
      </c>
      <c r="B32" s="2" t="s">
        <v>13</v>
      </c>
      <c r="C32" s="2" t="s">
        <v>70</v>
      </c>
      <c r="D32" s="2" t="s">
        <v>107</v>
      </c>
      <c r="E32" s="2" t="s">
        <v>108</v>
      </c>
      <c r="F32" s="2" t="s">
        <v>109</v>
      </c>
      <c r="G32" s="3">
        <v>2</v>
      </c>
      <c r="H32" s="3"/>
      <c r="I32" s="2"/>
      <c r="J32" s="2" t="s">
        <v>18</v>
      </c>
      <c r="K32" s="3">
        <f t="shared" si="0"/>
        <v>2</v>
      </c>
      <c r="L32" s="2"/>
    </row>
    <row r="33" spans="1:12" ht="30" x14ac:dyDescent="0.25">
      <c r="A33" s="2" t="s">
        <v>12</v>
      </c>
      <c r="B33" s="2" t="s">
        <v>13</v>
      </c>
      <c r="C33" s="2" t="s">
        <v>70</v>
      </c>
      <c r="D33" s="2" t="s">
        <v>110</v>
      </c>
      <c r="E33" s="2" t="s">
        <v>111</v>
      </c>
      <c r="F33" s="2" t="s">
        <v>112</v>
      </c>
      <c r="G33" s="3">
        <v>2</v>
      </c>
      <c r="H33" s="3"/>
      <c r="I33" s="2"/>
      <c r="J33" s="2" t="s">
        <v>18</v>
      </c>
      <c r="K33" s="3">
        <f t="shared" si="0"/>
        <v>2</v>
      </c>
      <c r="L33" s="2"/>
    </row>
    <row r="34" spans="1:12" ht="30" x14ac:dyDescent="0.25">
      <c r="A34" s="2" t="s">
        <v>12</v>
      </c>
      <c r="B34" s="2" t="s">
        <v>13</v>
      </c>
      <c r="C34" s="2" t="s">
        <v>70</v>
      </c>
      <c r="D34" s="2" t="s">
        <v>113</v>
      </c>
      <c r="E34" s="2" t="s">
        <v>114</v>
      </c>
      <c r="F34" s="2" t="s">
        <v>115</v>
      </c>
      <c r="G34" s="3">
        <v>2.5</v>
      </c>
      <c r="H34" s="3"/>
      <c r="I34" s="2"/>
      <c r="J34" s="2" t="s">
        <v>18</v>
      </c>
      <c r="K34" s="3">
        <f t="shared" ref="K34:K65" si="1">G34-H34</f>
        <v>2.5</v>
      </c>
      <c r="L34" s="2"/>
    </row>
    <row r="35" spans="1:12" ht="30" x14ac:dyDescent="0.25">
      <c r="A35" s="2" t="s">
        <v>12</v>
      </c>
      <c r="B35" s="2" t="s">
        <v>13</v>
      </c>
      <c r="C35" s="2" t="s">
        <v>116</v>
      </c>
      <c r="D35" s="2" t="s">
        <v>117</v>
      </c>
      <c r="E35" s="2" t="s">
        <v>118</v>
      </c>
      <c r="F35" s="2" t="s">
        <v>119</v>
      </c>
      <c r="G35" s="3">
        <v>3</v>
      </c>
      <c r="H35" s="3"/>
      <c r="I35" s="2"/>
      <c r="J35" s="2" t="s">
        <v>18</v>
      </c>
      <c r="K35" s="3">
        <f t="shared" si="1"/>
        <v>3</v>
      </c>
      <c r="L35" s="2"/>
    </row>
    <row r="36" spans="1:12" ht="45" x14ac:dyDescent="0.25">
      <c r="A36" s="2" t="s">
        <v>12</v>
      </c>
      <c r="B36" s="2" t="s">
        <v>13</v>
      </c>
      <c r="C36" s="2" t="s">
        <v>116</v>
      </c>
      <c r="D36" s="2" t="s">
        <v>120</v>
      </c>
      <c r="E36" s="2" t="s">
        <v>121</v>
      </c>
      <c r="F36" s="2" t="s">
        <v>122</v>
      </c>
      <c r="G36" s="3">
        <v>3.5</v>
      </c>
      <c r="H36" s="3"/>
      <c r="I36" s="2"/>
      <c r="J36" s="2" t="s">
        <v>18</v>
      </c>
      <c r="K36" s="3">
        <f t="shared" si="1"/>
        <v>3.5</v>
      </c>
      <c r="L36" s="2"/>
    </row>
    <row r="37" spans="1:12" ht="30" x14ac:dyDescent="0.25">
      <c r="A37" s="2" t="s">
        <v>12</v>
      </c>
      <c r="B37" s="2" t="s">
        <v>13</v>
      </c>
      <c r="C37" s="2" t="s">
        <v>116</v>
      </c>
      <c r="D37" s="2" t="s">
        <v>123</v>
      </c>
      <c r="E37" s="2" t="s">
        <v>124</v>
      </c>
      <c r="F37" s="2" t="s">
        <v>125</v>
      </c>
      <c r="G37" s="3">
        <v>3</v>
      </c>
      <c r="H37" s="3"/>
      <c r="I37" s="2"/>
      <c r="J37" s="2" t="s">
        <v>18</v>
      </c>
      <c r="K37" s="3">
        <f t="shared" si="1"/>
        <v>3</v>
      </c>
      <c r="L37" s="2"/>
    </row>
    <row r="38" spans="1:12" ht="30" x14ac:dyDescent="0.25">
      <c r="A38" s="2" t="s">
        <v>12</v>
      </c>
      <c r="B38" s="2" t="s">
        <v>13</v>
      </c>
      <c r="C38" s="2" t="s">
        <v>116</v>
      </c>
      <c r="D38" s="2" t="s">
        <v>126</v>
      </c>
      <c r="E38" s="2" t="s">
        <v>127</v>
      </c>
      <c r="F38" s="2" t="s">
        <v>128</v>
      </c>
      <c r="G38" s="3">
        <v>2.5</v>
      </c>
      <c r="H38" s="3"/>
      <c r="I38" s="2"/>
      <c r="J38" s="2" t="s">
        <v>18</v>
      </c>
      <c r="K38" s="3">
        <f t="shared" si="1"/>
        <v>2.5</v>
      </c>
      <c r="L38" s="2"/>
    </row>
    <row r="39" spans="1:12" ht="30" x14ac:dyDescent="0.25">
      <c r="A39" s="2" t="s">
        <v>12</v>
      </c>
      <c r="B39" s="2" t="s">
        <v>13</v>
      </c>
      <c r="C39" s="2" t="s">
        <v>116</v>
      </c>
      <c r="D39" s="2" t="s">
        <v>129</v>
      </c>
      <c r="E39" s="2" t="s">
        <v>130</v>
      </c>
      <c r="F39" s="2" t="s">
        <v>131</v>
      </c>
      <c r="G39" s="3">
        <v>2.5</v>
      </c>
      <c r="H39" s="3"/>
      <c r="I39" s="2"/>
      <c r="J39" s="2" t="s">
        <v>18</v>
      </c>
      <c r="K39" s="3">
        <f t="shared" si="1"/>
        <v>2.5</v>
      </c>
      <c r="L39" s="2"/>
    </row>
    <row r="40" spans="1:12" ht="45" x14ac:dyDescent="0.25">
      <c r="A40" s="2" t="s">
        <v>12</v>
      </c>
      <c r="B40" s="2" t="s">
        <v>13</v>
      </c>
      <c r="C40" s="2" t="s">
        <v>116</v>
      </c>
      <c r="D40" s="2" t="s">
        <v>132</v>
      </c>
      <c r="E40" s="2" t="s">
        <v>133</v>
      </c>
      <c r="F40" s="2" t="s">
        <v>134</v>
      </c>
      <c r="G40" s="3">
        <v>3.5</v>
      </c>
      <c r="H40" s="3"/>
      <c r="I40" s="2"/>
      <c r="J40" s="2" t="s">
        <v>18</v>
      </c>
      <c r="K40" s="3">
        <f t="shared" si="1"/>
        <v>3.5</v>
      </c>
      <c r="L40" s="2"/>
    </row>
    <row r="41" spans="1:12" ht="30" x14ac:dyDescent="0.25">
      <c r="A41" s="2" t="s">
        <v>12</v>
      </c>
      <c r="B41" s="2" t="s">
        <v>13</v>
      </c>
      <c r="C41" s="2" t="s">
        <v>116</v>
      </c>
      <c r="D41" s="2" t="s">
        <v>135</v>
      </c>
      <c r="E41" s="2" t="s">
        <v>136</v>
      </c>
      <c r="F41" s="2" t="s">
        <v>137</v>
      </c>
      <c r="G41" s="3">
        <v>3</v>
      </c>
      <c r="H41" s="3"/>
      <c r="I41" s="2"/>
      <c r="J41" s="2" t="s">
        <v>18</v>
      </c>
      <c r="K41" s="3">
        <f t="shared" si="1"/>
        <v>3</v>
      </c>
      <c r="L41" s="2"/>
    </row>
    <row r="42" spans="1:12" ht="30" x14ac:dyDescent="0.25">
      <c r="A42" s="2" t="s">
        <v>12</v>
      </c>
      <c r="B42" s="2" t="s">
        <v>13</v>
      </c>
      <c r="C42" s="2" t="s">
        <v>116</v>
      </c>
      <c r="D42" s="2" t="s">
        <v>138</v>
      </c>
      <c r="E42" s="2" t="s">
        <v>139</v>
      </c>
      <c r="F42" s="2" t="s">
        <v>140</v>
      </c>
      <c r="G42" s="3">
        <v>4</v>
      </c>
      <c r="H42" s="3"/>
      <c r="I42" s="2"/>
      <c r="J42" s="2" t="s">
        <v>18</v>
      </c>
      <c r="K42" s="3">
        <f t="shared" si="1"/>
        <v>4</v>
      </c>
      <c r="L42" s="2"/>
    </row>
    <row r="43" spans="1:12" ht="30" x14ac:dyDescent="0.25">
      <c r="A43" s="2" t="s">
        <v>12</v>
      </c>
      <c r="B43" s="2" t="s">
        <v>13</v>
      </c>
      <c r="C43" s="2" t="s">
        <v>116</v>
      </c>
      <c r="D43" s="2" t="s">
        <v>141</v>
      </c>
      <c r="E43" s="2" t="s">
        <v>142</v>
      </c>
      <c r="F43" s="2" t="s">
        <v>143</v>
      </c>
      <c r="G43" s="3">
        <v>3</v>
      </c>
      <c r="H43" s="3"/>
      <c r="I43" s="2"/>
      <c r="J43" s="2" t="s">
        <v>18</v>
      </c>
      <c r="K43" s="3">
        <f t="shared" si="1"/>
        <v>3</v>
      </c>
      <c r="L43" s="2"/>
    </row>
    <row r="44" spans="1:12" ht="30" x14ac:dyDescent="0.25">
      <c r="A44" s="2" t="s">
        <v>12</v>
      </c>
      <c r="B44" s="2" t="s">
        <v>13</v>
      </c>
      <c r="C44" s="2" t="s">
        <v>116</v>
      </c>
      <c r="D44" s="2" t="s">
        <v>144</v>
      </c>
      <c r="E44" s="2" t="s">
        <v>145</v>
      </c>
      <c r="F44" s="2" t="s">
        <v>146</v>
      </c>
      <c r="G44" s="3">
        <v>2.5</v>
      </c>
      <c r="H44" s="3"/>
      <c r="I44" s="2"/>
      <c r="J44" s="2" t="s">
        <v>18</v>
      </c>
      <c r="K44" s="3">
        <f t="shared" si="1"/>
        <v>2.5</v>
      </c>
      <c r="L44" s="2"/>
    </row>
    <row r="45" spans="1:12" ht="45" x14ac:dyDescent="0.25">
      <c r="A45" s="2" t="s">
        <v>12</v>
      </c>
      <c r="B45" s="2" t="s">
        <v>13</v>
      </c>
      <c r="C45" s="2" t="s">
        <v>116</v>
      </c>
      <c r="D45" s="2" t="s">
        <v>147</v>
      </c>
      <c r="E45" s="2" t="s">
        <v>148</v>
      </c>
      <c r="F45" s="2" t="s">
        <v>149</v>
      </c>
      <c r="G45" s="3">
        <v>3</v>
      </c>
      <c r="H45" s="3"/>
      <c r="I45" s="2"/>
      <c r="J45" s="2" t="s">
        <v>18</v>
      </c>
      <c r="K45" s="3">
        <f t="shared" si="1"/>
        <v>3</v>
      </c>
      <c r="L45" s="2"/>
    </row>
    <row r="46" spans="1:12" ht="45" x14ac:dyDescent="0.25">
      <c r="A46" s="2" t="s">
        <v>12</v>
      </c>
      <c r="B46" s="2" t="s">
        <v>13</v>
      </c>
      <c r="C46" s="2" t="s">
        <v>116</v>
      </c>
      <c r="D46" s="2" t="s">
        <v>150</v>
      </c>
      <c r="E46" s="2" t="s">
        <v>151</v>
      </c>
      <c r="F46" s="2" t="s">
        <v>152</v>
      </c>
      <c r="G46" s="3">
        <v>3</v>
      </c>
      <c r="H46" s="3"/>
      <c r="I46" s="2"/>
      <c r="J46" s="2" t="s">
        <v>18</v>
      </c>
      <c r="K46" s="3">
        <f t="shared" si="1"/>
        <v>3</v>
      </c>
      <c r="L46" s="2"/>
    </row>
    <row r="47" spans="1:12" ht="45" x14ac:dyDescent="0.25">
      <c r="A47" s="2" t="s">
        <v>12</v>
      </c>
      <c r="B47" s="2" t="s">
        <v>13</v>
      </c>
      <c r="C47" s="2" t="s">
        <v>116</v>
      </c>
      <c r="D47" s="2" t="s">
        <v>153</v>
      </c>
      <c r="E47" s="2" t="s">
        <v>154</v>
      </c>
      <c r="F47" s="2" t="s">
        <v>155</v>
      </c>
      <c r="G47" s="3">
        <v>3</v>
      </c>
      <c r="H47" s="3"/>
      <c r="I47" s="2"/>
      <c r="J47" s="2" t="s">
        <v>18</v>
      </c>
      <c r="K47" s="3">
        <f t="shared" si="1"/>
        <v>3</v>
      </c>
      <c r="L47" s="2"/>
    </row>
    <row r="48" spans="1:12" ht="30" x14ac:dyDescent="0.25">
      <c r="A48" s="2" t="s">
        <v>12</v>
      </c>
      <c r="B48" s="2" t="s">
        <v>13</v>
      </c>
      <c r="C48" s="2" t="s">
        <v>156</v>
      </c>
      <c r="D48" s="2" t="s">
        <v>157</v>
      </c>
      <c r="E48" s="2" t="s">
        <v>158</v>
      </c>
      <c r="F48" s="2" t="s">
        <v>159</v>
      </c>
      <c r="G48" s="3">
        <v>2</v>
      </c>
      <c r="H48" s="3"/>
      <c r="I48" s="2"/>
      <c r="J48" s="2" t="s">
        <v>18</v>
      </c>
      <c r="K48" s="3">
        <f t="shared" si="1"/>
        <v>2</v>
      </c>
      <c r="L48" s="2"/>
    </row>
    <row r="49" spans="1:12" x14ac:dyDescent="0.25">
      <c r="A49" s="2" t="s">
        <v>12</v>
      </c>
      <c r="B49" s="2" t="s">
        <v>13</v>
      </c>
      <c r="C49" s="2" t="s">
        <v>156</v>
      </c>
      <c r="D49" s="2" t="s">
        <v>160</v>
      </c>
      <c r="E49" s="2" t="s">
        <v>161</v>
      </c>
      <c r="F49" s="2" t="s">
        <v>162</v>
      </c>
      <c r="G49" s="3">
        <v>2</v>
      </c>
      <c r="H49" s="3"/>
      <c r="I49" s="2"/>
      <c r="J49" s="2" t="s">
        <v>18</v>
      </c>
      <c r="K49" s="3">
        <f t="shared" si="1"/>
        <v>2</v>
      </c>
      <c r="L49" s="2"/>
    </row>
    <row r="50" spans="1:12" ht="30" x14ac:dyDescent="0.25">
      <c r="A50" s="2" t="s">
        <v>12</v>
      </c>
      <c r="B50" s="2" t="s">
        <v>13</v>
      </c>
      <c r="C50" s="2" t="s">
        <v>156</v>
      </c>
      <c r="D50" s="2" t="s">
        <v>163</v>
      </c>
      <c r="E50" s="2" t="s">
        <v>164</v>
      </c>
      <c r="F50" s="2" t="s">
        <v>165</v>
      </c>
      <c r="G50" s="3">
        <v>2</v>
      </c>
      <c r="H50" s="3"/>
      <c r="I50" s="2"/>
      <c r="J50" s="2" t="s">
        <v>18</v>
      </c>
      <c r="K50" s="3">
        <f t="shared" si="1"/>
        <v>2</v>
      </c>
      <c r="L50" s="2"/>
    </row>
    <row r="51" spans="1:12" ht="30" x14ac:dyDescent="0.25">
      <c r="A51" s="2" t="s">
        <v>12</v>
      </c>
      <c r="B51" s="2" t="s">
        <v>13</v>
      </c>
      <c r="C51" s="2" t="s">
        <v>156</v>
      </c>
      <c r="D51" s="2" t="s">
        <v>166</v>
      </c>
      <c r="E51" s="2" t="s">
        <v>167</v>
      </c>
      <c r="F51" s="2" t="s">
        <v>168</v>
      </c>
      <c r="G51" s="3">
        <v>2.5</v>
      </c>
      <c r="H51" s="3"/>
      <c r="I51" s="2"/>
      <c r="J51" s="2" t="s">
        <v>18</v>
      </c>
      <c r="K51" s="3">
        <f t="shared" si="1"/>
        <v>2.5</v>
      </c>
      <c r="L51" s="2"/>
    </row>
    <row r="52" spans="1:12" ht="30" x14ac:dyDescent="0.25">
      <c r="A52" s="2" t="s">
        <v>12</v>
      </c>
      <c r="B52" s="2" t="s">
        <v>13</v>
      </c>
      <c r="C52" s="2" t="s">
        <v>156</v>
      </c>
      <c r="D52" s="2" t="s">
        <v>169</v>
      </c>
      <c r="E52" s="2" t="s">
        <v>170</v>
      </c>
      <c r="F52" s="2" t="s">
        <v>171</v>
      </c>
      <c r="G52" s="3">
        <v>2.5</v>
      </c>
      <c r="H52" s="3"/>
      <c r="I52" s="2"/>
      <c r="J52" s="2" t="s">
        <v>18</v>
      </c>
      <c r="K52" s="3">
        <f t="shared" si="1"/>
        <v>2.5</v>
      </c>
      <c r="L52" s="2"/>
    </row>
    <row r="53" spans="1:12" ht="30" x14ac:dyDescent="0.25">
      <c r="A53" s="2" t="s">
        <v>12</v>
      </c>
      <c r="B53" s="2" t="s">
        <v>13</v>
      </c>
      <c r="C53" s="2" t="s">
        <v>156</v>
      </c>
      <c r="D53" s="2" t="s">
        <v>172</v>
      </c>
      <c r="E53" s="2" t="s">
        <v>173</v>
      </c>
      <c r="F53" s="2" t="s">
        <v>174</v>
      </c>
      <c r="G53" s="3">
        <v>4</v>
      </c>
      <c r="H53" s="3"/>
      <c r="I53" s="2"/>
      <c r="J53" s="2" t="s">
        <v>18</v>
      </c>
      <c r="K53" s="3">
        <f t="shared" si="1"/>
        <v>4</v>
      </c>
      <c r="L53" s="2"/>
    </row>
    <row r="54" spans="1:12" ht="30" x14ac:dyDescent="0.25">
      <c r="A54" s="2" t="s">
        <v>12</v>
      </c>
      <c r="B54" s="2" t="s">
        <v>13</v>
      </c>
      <c r="C54" s="2" t="s">
        <v>156</v>
      </c>
      <c r="D54" s="2" t="s">
        <v>175</v>
      </c>
      <c r="E54" s="2" t="s">
        <v>176</v>
      </c>
      <c r="F54" s="2" t="s">
        <v>177</v>
      </c>
      <c r="G54" s="3">
        <v>1.5</v>
      </c>
      <c r="H54" s="3"/>
      <c r="I54" s="2"/>
      <c r="J54" s="2" t="s">
        <v>18</v>
      </c>
      <c r="K54" s="3">
        <f t="shared" si="1"/>
        <v>1.5</v>
      </c>
      <c r="L54" s="2"/>
    </row>
    <row r="55" spans="1:12" ht="45" x14ac:dyDescent="0.25">
      <c r="A55" s="2" t="s">
        <v>12</v>
      </c>
      <c r="B55" s="2" t="s">
        <v>13</v>
      </c>
      <c r="C55" s="2" t="s">
        <v>156</v>
      </c>
      <c r="D55" s="2" t="s">
        <v>178</v>
      </c>
      <c r="E55" s="2" t="s">
        <v>179</v>
      </c>
      <c r="F55" s="2" t="s">
        <v>180</v>
      </c>
      <c r="G55" s="3">
        <v>3.5</v>
      </c>
      <c r="H55" s="3"/>
      <c r="I55" s="2"/>
      <c r="J55" s="2" t="s">
        <v>18</v>
      </c>
      <c r="K55" s="3">
        <f t="shared" si="1"/>
        <v>3.5</v>
      </c>
      <c r="L55" s="2"/>
    </row>
    <row r="56" spans="1:12" ht="30" x14ac:dyDescent="0.25">
      <c r="A56" s="2" t="s">
        <v>12</v>
      </c>
      <c r="B56" s="2" t="s">
        <v>13</v>
      </c>
      <c r="C56" s="2" t="s">
        <v>156</v>
      </c>
      <c r="D56" s="2" t="s">
        <v>181</v>
      </c>
      <c r="E56" s="2" t="s">
        <v>182</v>
      </c>
      <c r="F56" s="2" t="s">
        <v>183</v>
      </c>
      <c r="G56" s="3">
        <v>3</v>
      </c>
      <c r="H56" s="3"/>
      <c r="I56" s="2"/>
      <c r="J56" s="2" t="s">
        <v>18</v>
      </c>
      <c r="K56" s="3">
        <f t="shared" si="1"/>
        <v>3</v>
      </c>
      <c r="L56" s="2"/>
    </row>
    <row r="57" spans="1:12" ht="30" x14ac:dyDescent="0.25">
      <c r="A57" s="2" t="s">
        <v>12</v>
      </c>
      <c r="B57" s="2" t="s">
        <v>13</v>
      </c>
      <c r="C57" s="2" t="s">
        <v>156</v>
      </c>
      <c r="D57" s="2" t="s">
        <v>184</v>
      </c>
      <c r="E57" s="2" t="s">
        <v>185</v>
      </c>
      <c r="F57" s="2" t="s">
        <v>186</v>
      </c>
      <c r="G57" s="3">
        <v>3</v>
      </c>
      <c r="H57" s="3"/>
      <c r="I57" s="2"/>
      <c r="J57" s="2" t="s">
        <v>18</v>
      </c>
      <c r="K57" s="3">
        <f t="shared" si="1"/>
        <v>3</v>
      </c>
      <c r="L57" s="2"/>
    </row>
    <row r="58" spans="1:12" ht="30" x14ac:dyDescent="0.25">
      <c r="A58" s="2" t="s">
        <v>12</v>
      </c>
      <c r="B58" s="2" t="s">
        <v>13</v>
      </c>
      <c r="C58" s="2" t="s">
        <v>156</v>
      </c>
      <c r="D58" s="2" t="s">
        <v>187</v>
      </c>
      <c r="E58" s="2" t="s">
        <v>188</v>
      </c>
      <c r="F58" s="2" t="s">
        <v>189</v>
      </c>
      <c r="G58" s="3">
        <v>2</v>
      </c>
      <c r="H58" s="3"/>
      <c r="I58" s="2"/>
      <c r="J58" s="2" t="s">
        <v>18</v>
      </c>
      <c r="K58" s="3">
        <f t="shared" si="1"/>
        <v>2</v>
      </c>
      <c r="L58" s="2"/>
    </row>
    <row r="59" spans="1:12" ht="30" x14ac:dyDescent="0.25">
      <c r="A59" s="2" t="s">
        <v>12</v>
      </c>
      <c r="B59" s="2" t="s">
        <v>13</v>
      </c>
      <c r="C59" s="2" t="s">
        <v>156</v>
      </c>
      <c r="D59" s="2" t="s">
        <v>190</v>
      </c>
      <c r="E59" s="2" t="s">
        <v>191</v>
      </c>
      <c r="F59" s="2" t="s">
        <v>192</v>
      </c>
      <c r="G59" s="3">
        <v>2.5</v>
      </c>
      <c r="H59" s="3"/>
      <c r="I59" s="2"/>
      <c r="J59" s="2" t="s">
        <v>18</v>
      </c>
      <c r="K59" s="3">
        <f t="shared" si="1"/>
        <v>2.5</v>
      </c>
      <c r="L59" s="2"/>
    </row>
    <row r="60" spans="1:12" ht="30" x14ac:dyDescent="0.25">
      <c r="A60" s="2" t="s">
        <v>12</v>
      </c>
      <c r="B60" s="2" t="s">
        <v>13</v>
      </c>
      <c r="C60" s="2" t="s">
        <v>156</v>
      </c>
      <c r="D60" s="2" t="s">
        <v>193</v>
      </c>
      <c r="E60" s="2" t="s">
        <v>194</v>
      </c>
      <c r="F60" s="2" t="s">
        <v>195</v>
      </c>
      <c r="G60" s="3">
        <v>2</v>
      </c>
      <c r="H60" s="3"/>
      <c r="I60" s="2"/>
      <c r="J60" s="2" t="s">
        <v>18</v>
      </c>
      <c r="K60" s="3">
        <f t="shared" si="1"/>
        <v>2</v>
      </c>
      <c r="L60" s="2"/>
    </row>
    <row r="61" spans="1:12" ht="30" x14ac:dyDescent="0.25">
      <c r="A61" s="2" t="s">
        <v>12</v>
      </c>
      <c r="B61" s="2" t="s">
        <v>13</v>
      </c>
      <c r="C61" s="2" t="s">
        <v>156</v>
      </c>
      <c r="D61" s="2" t="s">
        <v>196</v>
      </c>
      <c r="E61" s="2" t="s">
        <v>197</v>
      </c>
      <c r="F61" s="2" t="s">
        <v>198</v>
      </c>
      <c r="G61" s="3">
        <v>2.5</v>
      </c>
      <c r="H61" s="3"/>
      <c r="I61" s="2"/>
      <c r="J61" s="2" t="s">
        <v>18</v>
      </c>
      <c r="K61" s="3">
        <f t="shared" si="1"/>
        <v>2.5</v>
      </c>
      <c r="L61" s="2"/>
    </row>
    <row r="62" spans="1:12" ht="30" x14ac:dyDescent="0.25">
      <c r="A62" s="2" t="s">
        <v>12</v>
      </c>
      <c r="B62" s="2" t="s">
        <v>13</v>
      </c>
      <c r="C62" s="2" t="s">
        <v>156</v>
      </c>
      <c r="D62" s="2" t="s">
        <v>199</v>
      </c>
      <c r="E62" s="2" t="s">
        <v>200</v>
      </c>
      <c r="F62" s="2" t="s">
        <v>201</v>
      </c>
      <c r="G62" s="3">
        <v>2</v>
      </c>
      <c r="H62" s="3"/>
      <c r="I62" s="2"/>
      <c r="J62" s="2" t="s">
        <v>18</v>
      </c>
      <c r="K62" s="3">
        <f t="shared" si="1"/>
        <v>2</v>
      </c>
      <c r="L62" s="2"/>
    </row>
    <row r="63" spans="1:12" ht="30" x14ac:dyDescent="0.25">
      <c r="A63" s="2" t="s">
        <v>12</v>
      </c>
      <c r="B63" s="2" t="s">
        <v>13</v>
      </c>
      <c r="C63" s="2" t="s">
        <v>156</v>
      </c>
      <c r="D63" s="2" t="s">
        <v>202</v>
      </c>
      <c r="E63" s="2" t="s">
        <v>203</v>
      </c>
      <c r="F63" s="2" t="s">
        <v>204</v>
      </c>
      <c r="G63" s="3">
        <v>2.5</v>
      </c>
      <c r="H63" s="3"/>
      <c r="I63" s="2"/>
      <c r="J63" s="2" t="s">
        <v>18</v>
      </c>
      <c r="K63" s="3">
        <f t="shared" si="1"/>
        <v>2.5</v>
      </c>
      <c r="L63" s="2"/>
    </row>
    <row r="64" spans="1:12" ht="30" x14ac:dyDescent="0.25">
      <c r="A64" s="2" t="s">
        <v>12</v>
      </c>
      <c r="B64" s="2" t="s">
        <v>13</v>
      </c>
      <c r="C64" s="2" t="s">
        <v>156</v>
      </c>
      <c r="D64" s="2" t="s">
        <v>205</v>
      </c>
      <c r="E64" s="2" t="s">
        <v>206</v>
      </c>
      <c r="F64" s="2" t="s">
        <v>207</v>
      </c>
      <c r="G64" s="3">
        <v>2.5</v>
      </c>
      <c r="H64" s="3"/>
      <c r="I64" s="2"/>
      <c r="J64" s="2" t="s">
        <v>18</v>
      </c>
      <c r="K64" s="3">
        <f t="shared" si="1"/>
        <v>2.5</v>
      </c>
      <c r="L64" s="2"/>
    </row>
    <row r="65" spans="1:12" ht="30" x14ac:dyDescent="0.25">
      <c r="A65" s="2" t="s">
        <v>12</v>
      </c>
      <c r="B65" s="2" t="s">
        <v>13</v>
      </c>
      <c r="C65" s="2" t="s">
        <v>156</v>
      </c>
      <c r="D65" s="2" t="s">
        <v>208</v>
      </c>
      <c r="E65" s="2" t="s">
        <v>209</v>
      </c>
      <c r="F65" s="2" t="s">
        <v>210</v>
      </c>
      <c r="G65" s="3">
        <v>2</v>
      </c>
      <c r="H65" s="3"/>
      <c r="I65" s="2"/>
      <c r="J65" s="2" t="s">
        <v>18</v>
      </c>
      <c r="K65" s="3">
        <f t="shared" si="1"/>
        <v>2</v>
      </c>
      <c r="L65" s="2"/>
    </row>
    <row r="66" spans="1:12" ht="30" x14ac:dyDescent="0.25">
      <c r="A66" s="2" t="s">
        <v>12</v>
      </c>
      <c r="B66" s="2" t="s">
        <v>13</v>
      </c>
      <c r="C66" s="2" t="s">
        <v>156</v>
      </c>
      <c r="D66" s="2" t="s">
        <v>211</v>
      </c>
      <c r="E66" s="2" t="s">
        <v>212</v>
      </c>
      <c r="F66" s="2" t="s">
        <v>213</v>
      </c>
      <c r="G66" s="3">
        <v>3</v>
      </c>
      <c r="H66" s="3"/>
      <c r="I66" s="2"/>
      <c r="J66" s="2" t="s">
        <v>18</v>
      </c>
      <c r="K66" s="3">
        <f t="shared" ref="K66:K84" si="2">G66-H66</f>
        <v>3</v>
      </c>
      <c r="L66" s="2"/>
    </row>
    <row r="67" spans="1:12" ht="30" x14ac:dyDescent="0.25">
      <c r="A67" s="2" t="s">
        <v>12</v>
      </c>
      <c r="B67" s="2" t="s">
        <v>13</v>
      </c>
      <c r="C67" s="2" t="s">
        <v>156</v>
      </c>
      <c r="D67" s="2" t="s">
        <v>214</v>
      </c>
      <c r="E67" s="2" t="s">
        <v>215</v>
      </c>
      <c r="F67" s="2" t="s">
        <v>216</v>
      </c>
      <c r="G67" s="3">
        <v>3</v>
      </c>
      <c r="H67" s="3"/>
      <c r="I67" s="2"/>
      <c r="J67" s="2" t="s">
        <v>18</v>
      </c>
      <c r="K67" s="3">
        <f t="shared" si="2"/>
        <v>3</v>
      </c>
      <c r="L67" s="2"/>
    </row>
    <row r="68" spans="1:12" ht="30" x14ac:dyDescent="0.25">
      <c r="A68" s="2" t="s">
        <v>12</v>
      </c>
      <c r="B68" s="2" t="s">
        <v>13</v>
      </c>
      <c r="C68" s="2" t="s">
        <v>156</v>
      </c>
      <c r="D68" s="2" t="s">
        <v>217</v>
      </c>
      <c r="E68" s="2" t="s">
        <v>218</v>
      </c>
      <c r="F68" s="2" t="s">
        <v>219</v>
      </c>
      <c r="G68" s="3">
        <v>2</v>
      </c>
      <c r="H68" s="3"/>
      <c r="I68" s="2"/>
      <c r="J68" s="2" t="s">
        <v>18</v>
      </c>
      <c r="K68" s="3">
        <f t="shared" si="2"/>
        <v>2</v>
      </c>
      <c r="L68" s="2"/>
    </row>
    <row r="69" spans="1:12" ht="45" x14ac:dyDescent="0.25">
      <c r="A69" s="2" t="s">
        <v>12</v>
      </c>
      <c r="B69" s="2" t="s">
        <v>13</v>
      </c>
      <c r="C69" s="2" t="s">
        <v>220</v>
      </c>
      <c r="D69" s="2" t="s">
        <v>221</v>
      </c>
      <c r="E69" s="2" t="s">
        <v>222</v>
      </c>
      <c r="F69" s="2" t="s">
        <v>223</v>
      </c>
      <c r="G69" s="3">
        <v>2.5</v>
      </c>
      <c r="H69" s="3"/>
      <c r="I69" s="2"/>
      <c r="J69" s="2" t="s">
        <v>18</v>
      </c>
      <c r="K69" s="3">
        <f t="shared" si="2"/>
        <v>2.5</v>
      </c>
      <c r="L69" s="2"/>
    </row>
    <row r="70" spans="1:12" ht="75" x14ac:dyDescent="0.25">
      <c r="A70" s="2" t="s">
        <v>12</v>
      </c>
      <c r="B70" s="2" t="s">
        <v>13</v>
      </c>
      <c r="C70" s="2" t="s">
        <v>220</v>
      </c>
      <c r="D70" s="2" t="s">
        <v>224</v>
      </c>
      <c r="E70" s="2" t="s">
        <v>225</v>
      </c>
      <c r="F70" s="2" t="s">
        <v>226</v>
      </c>
      <c r="G70" s="3">
        <v>3</v>
      </c>
      <c r="H70" s="3"/>
      <c r="I70" s="2"/>
      <c r="J70" s="2" t="s">
        <v>18</v>
      </c>
      <c r="K70" s="3">
        <f t="shared" si="2"/>
        <v>3</v>
      </c>
      <c r="L70" s="2"/>
    </row>
    <row r="71" spans="1:12" ht="30" x14ac:dyDescent="0.25">
      <c r="A71" s="2" t="s">
        <v>12</v>
      </c>
      <c r="B71" s="2" t="s">
        <v>13</v>
      </c>
      <c r="C71" s="2" t="s">
        <v>220</v>
      </c>
      <c r="D71" s="2" t="s">
        <v>227</v>
      </c>
      <c r="E71" s="2" t="s">
        <v>228</v>
      </c>
      <c r="F71" s="2" t="s">
        <v>229</v>
      </c>
      <c r="G71" s="3">
        <v>1.5</v>
      </c>
      <c r="H71" s="3"/>
      <c r="I71" s="2"/>
      <c r="J71" s="2" t="s">
        <v>18</v>
      </c>
      <c r="K71" s="3">
        <f t="shared" si="2"/>
        <v>1.5</v>
      </c>
      <c r="L71" s="2"/>
    </row>
    <row r="72" spans="1:12" ht="45" x14ac:dyDescent="0.25">
      <c r="A72" s="2" t="s">
        <v>12</v>
      </c>
      <c r="B72" s="2" t="s">
        <v>13</v>
      </c>
      <c r="C72" s="2" t="s">
        <v>220</v>
      </c>
      <c r="D72" s="2" t="s">
        <v>230</v>
      </c>
      <c r="E72" s="2" t="s">
        <v>231</v>
      </c>
      <c r="F72" s="2" t="s">
        <v>232</v>
      </c>
      <c r="G72" s="3">
        <v>3</v>
      </c>
      <c r="H72" s="3"/>
      <c r="I72" s="2"/>
      <c r="J72" s="2" t="s">
        <v>18</v>
      </c>
      <c r="K72" s="3">
        <f t="shared" si="2"/>
        <v>3</v>
      </c>
      <c r="L72" s="2"/>
    </row>
    <row r="73" spans="1:12" ht="30" x14ac:dyDescent="0.25">
      <c r="A73" s="2" t="s">
        <v>12</v>
      </c>
      <c r="B73" s="2" t="s">
        <v>13</v>
      </c>
      <c r="C73" s="2" t="s">
        <v>220</v>
      </c>
      <c r="D73" s="2" t="s">
        <v>233</v>
      </c>
      <c r="E73" s="2" t="s">
        <v>234</v>
      </c>
      <c r="F73" s="2" t="s">
        <v>235</v>
      </c>
      <c r="G73" s="3">
        <v>2</v>
      </c>
      <c r="H73" s="3"/>
      <c r="I73" s="2"/>
      <c r="J73" s="2" t="s">
        <v>18</v>
      </c>
      <c r="K73" s="3">
        <f t="shared" si="2"/>
        <v>2</v>
      </c>
      <c r="L73" s="2"/>
    </row>
    <row r="74" spans="1:12" ht="30" x14ac:dyDescent="0.25">
      <c r="A74" s="2" t="s">
        <v>12</v>
      </c>
      <c r="B74" s="2" t="s">
        <v>13</v>
      </c>
      <c r="C74" s="2" t="s">
        <v>220</v>
      </c>
      <c r="D74" s="2" t="s">
        <v>236</v>
      </c>
      <c r="E74" s="2" t="s">
        <v>237</v>
      </c>
      <c r="F74" s="2" t="s">
        <v>238</v>
      </c>
      <c r="G74" s="3">
        <v>3</v>
      </c>
      <c r="H74" s="3"/>
      <c r="I74" s="2"/>
      <c r="J74" s="2" t="s">
        <v>18</v>
      </c>
      <c r="K74" s="3">
        <f t="shared" si="2"/>
        <v>3</v>
      </c>
      <c r="L74" s="2"/>
    </row>
    <row r="75" spans="1:12" ht="45" x14ac:dyDescent="0.25">
      <c r="A75" s="2" t="s">
        <v>12</v>
      </c>
      <c r="B75" s="2" t="s">
        <v>13</v>
      </c>
      <c r="C75" s="2" t="s">
        <v>220</v>
      </c>
      <c r="D75" s="2" t="s">
        <v>239</v>
      </c>
      <c r="E75" s="2" t="s">
        <v>240</v>
      </c>
      <c r="F75" s="2" t="s">
        <v>241</v>
      </c>
      <c r="G75" s="3">
        <v>3.5</v>
      </c>
      <c r="H75" s="3"/>
      <c r="I75" s="2"/>
      <c r="J75" s="2" t="s">
        <v>18</v>
      </c>
      <c r="K75" s="3">
        <f t="shared" si="2"/>
        <v>3.5</v>
      </c>
      <c r="L75" s="2"/>
    </row>
    <row r="76" spans="1:12" ht="30" x14ac:dyDescent="0.25">
      <c r="A76" s="2" t="s">
        <v>12</v>
      </c>
      <c r="B76" s="2" t="s">
        <v>13</v>
      </c>
      <c r="C76" s="2" t="s">
        <v>220</v>
      </c>
      <c r="D76" s="2" t="s">
        <v>242</v>
      </c>
      <c r="E76" s="2" t="s">
        <v>243</v>
      </c>
      <c r="F76" s="2" t="s">
        <v>244</v>
      </c>
      <c r="G76" s="3">
        <v>2.5</v>
      </c>
      <c r="H76" s="3"/>
      <c r="I76" s="2"/>
      <c r="J76" s="2" t="s">
        <v>18</v>
      </c>
      <c r="K76" s="3">
        <f t="shared" si="2"/>
        <v>2.5</v>
      </c>
      <c r="L76" s="2"/>
    </row>
    <row r="77" spans="1:12" ht="30" x14ac:dyDescent="0.25">
      <c r="A77" s="2" t="s">
        <v>12</v>
      </c>
      <c r="B77" s="2" t="s">
        <v>13</v>
      </c>
      <c r="C77" s="2" t="s">
        <v>220</v>
      </c>
      <c r="D77" s="2" t="s">
        <v>245</v>
      </c>
      <c r="E77" s="2" t="s">
        <v>246</v>
      </c>
      <c r="F77" s="2" t="s">
        <v>247</v>
      </c>
      <c r="G77" s="3">
        <v>2</v>
      </c>
      <c r="H77" s="3"/>
      <c r="I77" s="2"/>
      <c r="J77" s="2" t="s">
        <v>18</v>
      </c>
      <c r="K77" s="3">
        <f t="shared" si="2"/>
        <v>2</v>
      </c>
      <c r="L77" s="2"/>
    </row>
    <row r="78" spans="1:12" ht="45" x14ac:dyDescent="0.25">
      <c r="A78" s="2" t="s">
        <v>12</v>
      </c>
      <c r="B78" s="2" t="s">
        <v>13</v>
      </c>
      <c r="C78" s="2" t="s">
        <v>220</v>
      </c>
      <c r="D78" s="2" t="s">
        <v>248</v>
      </c>
      <c r="E78" s="2" t="s">
        <v>249</v>
      </c>
      <c r="F78" s="2" t="s">
        <v>250</v>
      </c>
      <c r="G78" s="3">
        <v>2</v>
      </c>
      <c r="H78" s="3"/>
      <c r="I78" s="2"/>
      <c r="J78" s="2" t="s">
        <v>18</v>
      </c>
      <c r="K78" s="3">
        <f t="shared" si="2"/>
        <v>2</v>
      </c>
      <c r="L78" s="2"/>
    </row>
    <row r="79" spans="1:12" ht="30" x14ac:dyDescent="0.25">
      <c r="A79" s="2" t="s">
        <v>12</v>
      </c>
      <c r="B79" s="2" t="s">
        <v>13</v>
      </c>
      <c r="C79" s="2" t="s">
        <v>220</v>
      </c>
      <c r="D79" s="2" t="s">
        <v>251</v>
      </c>
      <c r="E79" s="2" t="s">
        <v>252</v>
      </c>
      <c r="F79" s="2" t="s">
        <v>253</v>
      </c>
      <c r="G79" s="3">
        <v>1.5</v>
      </c>
      <c r="H79" s="3"/>
      <c r="I79" s="2"/>
      <c r="J79" s="2" t="s">
        <v>18</v>
      </c>
      <c r="K79" s="3">
        <f t="shared" si="2"/>
        <v>1.5</v>
      </c>
      <c r="L79" s="2"/>
    </row>
    <row r="80" spans="1:12" ht="45" x14ac:dyDescent="0.25">
      <c r="A80" s="2" t="s">
        <v>12</v>
      </c>
      <c r="B80" s="2" t="s">
        <v>13</v>
      </c>
      <c r="C80" s="2" t="s">
        <v>254</v>
      </c>
      <c r="D80" s="2" t="s">
        <v>255</v>
      </c>
      <c r="E80" s="2" t="s">
        <v>256</v>
      </c>
      <c r="F80" s="2" t="s">
        <v>257</v>
      </c>
      <c r="G80" s="3">
        <v>2</v>
      </c>
      <c r="H80" s="3"/>
      <c r="I80" s="2"/>
      <c r="J80" s="2" t="s">
        <v>18</v>
      </c>
      <c r="K80" s="3">
        <f t="shared" si="2"/>
        <v>2</v>
      </c>
      <c r="L80" s="2"/>
    </row>
    <row r="81" spans="1:12" ht="45" x14ac:dyDescent="0.25">
      <c r="A81" s="2" t="s">
        <v>12</v>
      </c>
      <c r="B81" s="2" t="s">
        <v>13</v>
      </c>
      <c r="C81" s="2" t="s">
        <v>254</v>
      </c>
      <c r="D81" s="2" t="s">
        <v>258</v>
      </c>
      <c r="E81" s="2" t="s">
        <v>259</v>
      </c>
      <c r="F81" s="2" t="s">
        <v>260</v>
      </c>
      <c r="G81" s="3">
        <v>2.5</v>
      </c>
      <c r="H81" s="3"/>
      <c r="I81" s="2"/>
      <c r="J81" s="2" t="s">
        <v>18</v>
      </c>
      <c r="K81" s="3">
        <f t="shared" si="2"/>
        <v>2.5</v>
      </c>
      <c r="L81" s="2"/>
    </row>
    <row r="82" spans="1:12" ht="45" x14ac:dyDescent="0.25">
      <c r="A82" s="2" t="s">
        <v>12</v>
      </c>
      <c r="B82" s="2" t="s">
        <v>13</v>
      </c>
      <c r="C82" s="2" t="s">
        <v>254</v>
      </c>
      <c r="D82" s="2" t="s">
        <v>261</v>
      </c>
      <c r="E82" s="2" t="s">
        <v>262</v>
      </c>
      <c r="F82" s="2" t="s">
        <v>263</v>
      </c>
      <c r="G82" s="3">
        <v>4</v>
      </c>
      <c r="H82" s="3"/>
      <c r="I82" s="2"/>
      <c r="J82" s="2" t="s">
        <v>18</v>
      </c>
      <c r="K82" s="3">
        <f t="shared" si="2"/>
        <v>4</v>
      </c>
      <c r="L82" s="2"/>
    </row>
    <row r="83" spans="1:12" ht="45" x14ac:dyDescent="0.25">
      <c r="A83" s="2" t="s">
        <v>12</v>
      </c>
      <c r="B83" s="2" t="s">
        <v>13</v>
      </c>
      <c r="C83" s="2" t="s">
        <v>254</v>
      </c>
      <c r="D83" s="2" t="s">
        <v>264</v>
      </c>
      <c r="E83" s="2" t="s">
        <v>265</v>
      </c>
      <c r="F83" s="2" t="s">
        <v>266</v>
      </c>
      <c r="G83" s="3">
        <v>3</v>
      </c>
      <c r="H83" s="3"/>
      <c r="I83" s="2"/>
      <c r="J83" s="2" t="s">
        <v>18</v>
      </c>
      <c r="K83" s="3">
        <f t="shared" si="2"/>
        <v>3</v>
      </c>
      <c r="L83" s="2"/>
    </row>
    <row r="84" spans="1:12" ht="45" x14ac:dyDescent="0.25">
      <c r="A84" s="2" t="s">
        <v>12</v>
      </c>
      <c r="B84" s="2" t="s">
        <v>13</v>
      </c>
      <c r="C84" s="2" t="s">
        <v>254</v>
      </c>
      <c r="D84" s="2" t="s">
        <v>267</v>
      </c>
      <c r="E84" s="2" t="s">
        <v>268</v>
      </c>
      <c r="F84" s="2" t="s">
        <v>269</v>
      </c>
      <c r="G84" s="3">
        <v>2.5</v>
      </c>
      <c r="H84" s="3"/>
      <c r="I84" s="2"/>
      <c r="J84" s="2" t="s">
        <v>18</v>
      </c>
      <c r="K84" s="3">
        <f t="shared" si="2"/>
        <v>2.5</v>
      </c>
      <c r="L84" s="2"/>
    </row>
    <row r="85" spans="1:12" x14ac:dyDescent="0.25">
      <c r="F85" s="4" t="s">
        <v>270</v>
      </c>
      <c r="G85" s="5">
        <f>SUM(G2:G84)</f>
        <v>217</v>
      </c>
      <c r="H85" s="5">
        <f>SUM(H2:H84)</f>
        <v>0</v>
      </c>
    </row>
  </sheetData>
  <dataValidations count="1">
    <dataValidation type="list" allowBlank="1" sqref="J2:J84">
      <formula1>"Pending,In Progress,Completed,Blocked"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4" customWidth="1"/>
    <col min="4" max="4" width="12" customWidth="1"/>
    <col min="5" max="5" width="50" customWidth="1"/>
    <col min="6" max="6" width="16" customWidth="1"/>
  </cols>
  <sheetData>
    <row r="1" spans="1:6" x14ac:dyDescent="0.25">
      <c r="A1" s="6" t="s">
        <v>271</v>
      </c>
      <c r="B1" s="6" t="s">
        <v>1</v>
      </c>
      <c r="C1" s="6" t="s">
        <v>2</v>
      </c>
      <c r="D1" s="6" t="s">
        <v>272</v>
      </c>
      <c r="E1" s="6" t="s">
        <v>273</v>
      </c>
      <c r="F1" s="6" t="s">
        <v>274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 x14ac:dyDescent="0.25"/>
  <cols>
    <col min="1" max="1" width="34" customWidth="1"/>
    <col min="2" max="8" width="14" customWidth="1"/>
  </cols>
  <sheetData>
    <row r="1" spans="1:8" ht="18.75" x14ac:dyDescent="0.3">
      <c r="A1" s="7" t="s">
        <v>275</v>
      </c>
    </row>
    <row r="3" spans="1:8" x14ac:dyDescent="0.25">
      <c r="A3" s="4" t="s">
        <v>276</v>
      </c>
    </row>
    <row r="4" spans="1:8" x14ac:dyDescent="0.25">
      <c r="A4" s="8" t="s">
        <v>2</v>
      </c>
      <c r="B4" s="8" t="s">
        <v>277</v>
      </c>
      <c r="C4" s="8" t="s">
        <v>278</v>
      </c>
      <c r="D4" s="8" t="s">
        <v>279</v>
      </c>
      <c r="E4" s="8" t="s">
        <v>280</v>
      </c>
      <c r="F4" s="8" t="s">
        <v>7</v>
      </c>
      <c r="G4" s="8" t="s">
        <v>10</v>
      </c>
      <c r="H4" s="8" t="s">
        <v>281</v>
      </c>
    </row>
    <row r="5" spans="1:8" x14ac:dyDescent="0.25">
      <c r="A5" t="s">
        <v>14</v>
      </c>
      <c r="B5">
        <f>COUNTIF('WBS Tracker'!C:C,A5)</f>
        <v>18</v>
      </c>
      <c r="C5">
        <f>COUNTIFS('WBS Tracker'!C:C,A5,'WBS Tracker'!J:J,"Completed")</f>
        <v>0</v>
      </c>
      <c r="D5">
        <f t="shared" ref="D5:D10" si="0">B5-C5</f>
        <v>18</v>
      </c>
      <c r="E5">
        <f>SUMIF('WBS Tracker'!C:C,A5,'WBS Tracker'!G:G)</f>
        <v>46.5</v>
      </c>
      <c r="F5">
        <f>SUMIF('WBS Tracker'!C:C,A5,'WBS Tracker'!H:H)</f>
        <v>0</v>
      </c>
      <c r="G5">
        <f t="shared" ref="G5:G10" si="1">E5-F5</f>
        <v>46.5</v>
      </c>
      <c r="H5" s="9">
        <f t="shared" ref="H5:H11" si="2">IF(B5=0,0,C5/B5)</f>
        <v>0</v>
      </c>
    </row>
    <row r="6" spans="1:8" x14ac:dyDescent="0.25">
      <c r="A6" t="s">
        <v>70</v>
      </c>
      <c r="B6">
        <f>COUNTIF('WBS Tracker'!C:C,A6)</f>
        <v>15</v>
      </c>
      <c r="C6">
        <f>COUNTIFS('WBS Tracker'!C:C,A6,'WBS Tracker'!J:J,"Completed")</f>
        <v>0</v>
      </c>
      <c r="D6">
        <f t="shared" si="0"/>
        <v>15</v>
      </c>
      <c r="E6">
        <f>SUMIF('WBS Tracker'!C:C,A6,'WBS Tracker'!G:G)</f>
        <v>38.5</v>
      </c>
      <c r="F6">
        <f>SUMIF('WBS Tracker'!C:C,A6,'WBS Tracker'!H:H)</f>
        <v>0</v>
      </c>
      <c r="G6">
        <f t="shared" si="1"/>
        <v>38.5</v>
      </c>
      <c r="H6" s="9">
        <f t="shared" si="2"/>
        <v>0</v>
      </c>
    </row>
    <row r="7" spans="1:8" x14ac:dyDescent="0.25">
      <c r="A7" t="s">
        <v>116</v>
      </c>
      <c r="B7">
        <f>COUNTIF('WBS Tracker'!C:C,A7)</f>
        <v>13</v>
      </c>
      <c r="C7">
        <f>COUNTIFS('WBS Tracker'!C:C,A7,'WBS Tracker'!J:J,"Completed")</f>
        <v>0</v>
      </c>
      <c r="D7">
        <f t="shared" si="0"/>
        <v>13</v>
      </c>
      <c r="E7">
        <f>SUMIF('WBS Tracker'!C:C,A7,'WBS Tracker'!G:G)</f>
        <v>39.5</v>
      </c>
      <c r="F7">
        <f>SUMIF('WBS Tracker'!C:C,A7,'WBS Tracker'!H:H)</f>
        <v>0</v>
      </c>
      <c r="G7">
        <f t="shared" si="1"/>
        <v>39.5</v>
      </c>
      <c r="H7" s="9">
        <f t="shared" si="2"/>
        <v>0</v>
      </c>
    </row>
    <row r="8" spans="1:8" x14ac:dyDescent="0.25">
      <c r="A8" t="s">
        <v>156</v>
      </c>
      <c r="B8">
        <f>COUNTIF('WBS Tracker'!C:C,A8)</f>
        <v>21</v>
      </c>
      <c r="C8">
        <f>COUNTIFS('WBS Tracker'!C:C,A8,'WBS Tracker'!J:J,"Completed")</f>
        <v>0</v>
      </c>
      <c r="D8">
        <f t="shared" si="0"/>
        <v>21</v>
      </c>
      <c r="E8">
        <f>SUMIF('WBS Tracker'!C:C,A8,'WBS Tracker'!G:G)</f>
        <v>52</v>
      </c>
      <c r="F8">
        <f>SUMIF('WBS Tracker'!C:C,A8,'WBS Tracker'!H:H)</f>
        <v>0</v>
      </c>
      <c r="G8">
        <f t="shared" si="1"/>
        <v>52</v>
      </c>
      <c r="H8" s="9">
        <f t="shared" si="2"/>
        <v>0</v>
      </c>
    </row>
    <row r="9" spans="1:8" x14ac:dyDescent="0.25">
      <c r="A9" t="s">
        <v>220</v>
      </c>
      <c r="B9">
        <f>COUNTIF('WBS Tracker'!C:C,A9)</f>
        <v>11</v>
      </c>
      <c r="C9">
        <f>COUNTIFS('WBS Tracker'!C:C,A9,'WBS Tracker'!J:J,"Completed")</f>
        <v>0</v>
      </c>
      <c r="D9">
        <f t="shared" si="0"/>
        <v>11</v>
      </c>
      <c r="E9">
        <f>SUMIF('WBS Tracker'!C:C,A9,'WBS Tracker'!G:G)</f>
        <v>26.5</v>
      </c>
      <c r="F9">
        <f>SUMIF('WBS Tracker'!C:C,A9,'WBS Tracker'!H:H)</f>
        <v>0</v>
      </c>
      <c r="G9">
        <f t="shared" si="1"/>
        <v>26.5</v>
      </c>
      <c r="H9" s="9">
        <f t="shared" si="2"/>
        <v>0</v>
      </c>
    </row>
    <row r="10" spans="1:8" x14ac:dyDescent="0.25">
      <c r="A10" t="s">
        <v>254</v>
      </c>
      <c r="B10">
        <f>COUNTIF('WBS Tracker'!C:C,A10)</f>
        <v>5</v>
      </c>
      <c r="C10">
        <f>COUNTIFS('WBS Tracker'!C:C,A10,'WBS Tracker'!J:J,"Completed")</f>
        <v>0</v>
      </c>
      <c r="D10">
        <f t="shared" si="0"/>
        <v>5</v>
      </c>
      <c r="E10">
        <f>SUMIF('WBS Tracker'!C:C,A10,'WBS Tracker'!G:G)</f>
        <v>14</v>
      </c>
      <c r="F10">
        <f>SUMIF('WBS Tracker'!C:C,A10,'WBS Tracker'!H:H)</f>
        <v>0</v>
      </c>
      <c r="G10">
        <f t="shared" si="1"/>
        <v>14</v>
      </c>
      <c r="H10" s="9">
        <f t="shared" si="2"/>
        <v>0</v>
      </c>
    </row>
    <row r="11" spans="1:8" x14ac:dyDescent="0.25">
      <c r="A11" s="4" t="s">
        <v>270</v>
      </c>
      <c r="B11" s="4">
        <f t="shared" ref="B11:G11" si="3">SUM(B5:B10)</f>
        <v>83</v>
      </c>
      <c r="C11" s="4">
        <f t="shared" si="3"/>
        <v>0</v>
      </c>
      <c r="D11" s="4">
        <f t="shared" si="3"/>
        <v>83</v>
      </c>
      <c r="E11" s="4">
        <f t="shared" si="3"/>
        <v>217</v>
      </c>
      <c r="F11" s="4">
        <f t="shared" si="3"/>
        <v>0</v>
      </c>
      <c r="G11" s="4">
        <f t="shared" si="3"/>
        <v>217</v>
      </c>
      <c r="H11" s="9">
        <f t="shared" si="2"/>
        <v>0</v>
      </c>
    </row>
    <row r="13" spans="1:8" x14ac:dyDescent="0.25">
      <c r="A13" s="4" t="s">
        <v>282</v>
      </c>
    </row>
    <row r="14" spans="1:8" x14ac:dyDescent="0.25">
      <c r="A14" t="s">
        <v>283</v>
      </c>
      <c r="B14">
        <f ca="1">SUMIF(DailyLogHRMS[Date],TODAY(),DailyLogHRMS[Hours Spent])</f>
        <v>0</v>
      </c>
    </row>
    <row r="15" spans="1:8" x14ac:dyDescent="0.25">
      <c r="A15" t="s">
        <v>284</v>
      </c>
      <c r="B15">
        <f>SUM(DailyLogHRMS[Hours Spent])</f>
        <v>0</v>
      </c>
    </row>
    <row r="18" spans="1:1" x14ac:dyDescent="0.25">
      <c r="A18" s="10" t="s">
        <v>285</v>
      </c>
    </row>
    <row r="19" spans="1:1" x14ac:dyDescent="0.25">
      <c r="A19" t="s">
        <v>286</v>
      </c>
    </row>
    <row r="20" spans="1:1" x14ac:dyDescent="0.25">
      <c r="A20" t="s">
        <v>287</v>
      </c>
    </row>
    <row r="21" spans="1:1" x14ac:dyDescent="0.25">
      <c r="A21" t="s">
        <v>288</v>
      </c>
    </row>
    <row r="22" spans="1:1" x14ac:dyDescent="0.25">
      <c r="A22" t="s">
        <v>289</v>
      </c>
    </row>
    <row r="23" spans="1:1" x14ac:dyDescent="0.25">
      <c r="A23" t="s">
        <v>290</v>
      </c>
    </row>
    <row r="24" spans="1:1" x14ac:dyDescent="0.25">
      <c r="A24" t="s">
        <v>291</v>
      </c>
    </row>
    <row r="25" spans="1:1" x14ac:dyDescent="0.25">
      <c r="A25" t="s">
        <v>292</v>
      </c>
    </row>
    <row r="26" spans="1:1" x14ac:dyDescent="0.25">
      <c r="A26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 Tracker</vt:lpstr>
      <vt:lpstr>Daily Hours Log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PROBOOK</cp:lastModifiedBy>
  <dcterms:created xsi:type="dcterms:W3CDTF">2026-07-23T05:00:22Z</dcterms:created>
  <dcterms:modified xsi:type="dcterms:W3CDTF">2026-07-23T14:01:53Z</dcterms:modified>
</cp:coreProperties>
</file>