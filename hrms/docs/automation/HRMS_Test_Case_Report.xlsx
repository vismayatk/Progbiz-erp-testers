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Legend &amp; How To Use" state="visible" r:id="rId5"/>
    <sheet sheetId="3" name="Page Coverage" state="visible" r:id="rId6"/>
    <sheet sheetId="4" name="Login &amp; Navigation" state="visible" r:id="rId7"/>
    <sheet sheetId="5" name="Core HR" state="visible" r:id="rId8"/>
    <sheet sheetId="6" name="Recruitment" state="visible" r:id="rId9"/>
    <sheet sheetId="7" name="Referral" state="visible" r:id="rId10"/>
    <sheet sheetId="8" name="Onboarding &amp; Probation" state="visible" r:id="rId11"/>
    <sheet sheetId="9" name="Attendance" state="visible" r:id="rId12"/>
    <sheet sheetId="10" name="Leave" state="visible" r:id="rId13"/>
    <sheet sheetId="11" name="Payroll" state="visible" r:id="rId14"/>
    <sheet sheetId="12" name="Resignation &amp; Exit" state="visible" r:id="rId15"/>
    <sheet sheetId="13" name="My Workspace (ESS)" state="visible" r:id="rId16"/>
    <sheet sheetId="14" name="Helpdesk" state="visible" r:id="rId17"/>
    <sheet sheetId="15" name="Cross-Module E2E" state="visible" r:id="rId18"/>
    <sheet sheetId="16" name="Non-Functional" state="visible" r:id="rId19"/>
  </sheets>
  <calcPr calcId="171027" fullCalcOnLoad="1"/>
</workbook>
</file>

<file path=xl/sharedStrings.xml><?xml version="1.0" encoding="utf-8"?>
<sst xmlns="http://schemas.openxmlformats.org/spreadsheetml/2006/main" count="50002" uniqueCount="14929">
  <si>
    <t>HRMS — Test Case Report</t>
  </si>
  <si>
    <t>Application</t>
  </si>
  <si>
    <t>Progbiz HRMS — https://hrms-test.progbiz.in (company pbhrms)</t>
  </si>
  <si>
    <t>Scope</t>
  </si>
  <si>
    <t>All HRMS modules (sidebar), public career page, cross-module journeys, non-functional</t>
  </si>
  <si>
    <t>Automation suite</t>
  </si>
  <si>
    <t>Playwright linear run — hrms/tests/00_linear/hrms_linear_run.spec.js (128 pages, one tab)</t>
  </si>
  <si>
    <t>Last automated run</t>
  </si>
  <si>
    <t>19 Oct 2026 — full headed run, 128/128 page checks passed; all actions green after fixes</t>
  </si>
  <si>
    <t>Report generated</t>
  </si>
  <si>
    <t>20 Oct 2026</t>
  </si>
  <si>
    <t>Module (sheet)</t>
  </si>
  <si>
    <t>Total</t>
  </si>
  <si>
    <t>High</t>
  </si>
  <si>
    <t>Positive</t>
  </si>
  <si>
    <t>Negative</t>
  </si>
  <si>
    <t>Automated (Linear Run)</t>
  </si>
  <si>
    <t>Automated (Page Check)</t>
  </si>
  <si>
    <t>Not Automated</t>
  </si>
  <si>
    <t>Blocked</t>
  </si>
  <si>
    <t>Out of Scope</t>
  </si>
  <si>
    <t>Passed</t>
  </si>
  <si>
    <t>% Automated</t>
  </si>
  <si>
    <t>% Executed</t>
  </si>
  <si>
    <t>Login &amp; Navigation</t>
  </si>
  <si>
    <t>Core HR</t>
  </si>
  <si>
    <t>Recruitment</t>
  </si>
  <si>
    <t>Referral</t>
  </si>
  <si>
    <t>Onboarding &amp; Probation</t>
  </si>
  <si>
    <t>Attendance</t>
  </si>
  <si>
    <t>Leave</t>
  </si>
  <si>
    <t>Payroll</t>
  </si>
  <si>
    <t>Resignation &amp; Exit</t>
  </si>
  <si>
    <t>My Workspace (ESS)</t>
  </si>
  <si>
    <t>Helpdesk</t>
  </si>
  <si>
    <t>Cross-Module E2E</t>
  </si>
  <si>
    <t>Non-Functional</t>
  </si>
  <si>
    <t>TOTAL</t>
  </si>
  <si>
    <t>Counts are live formulas over each module sheet — they update when you edit Automation / Execution Status. % Automated = (Linear Run + Page Check) ÷ Total.</t>
  </si>
  <si>
    <t>COLUMNS</t>
  </si>
  <si>
    <t/>
  </si>
  <si>
    <t>Test ID</t>
  </si>
  <si>
    <t>TC-&lt;MODULE&gt;-&lt;NNN&gt;. Prefixes: LOG Login &amp; Navigation · CHR Core HR · REC Recruitment · REF Referral · ONB Onboarding &amp; Probation · ATT Attendance · LV Leave · PAY Payroll · EXT Resignation &amp; Exit · ESS My Workspace · HD Helpdesk · E2E Cross-Module · NFR Non-Functional</t>
  </si>
  <si>
    <t>Page / Sub-module, Route</t>
  </si>
  <si>
    <t>Sidebar page the case belongs to and its URL path on hrms-test.progbiz.in</t>
  </si>
  <si>
    <t>Scenario / Description</t>
  </si>
  <si>
    <t>Feature under test and what this specific test case checks</t>
  </si>
  <si>
    <t>Test Steps</t>
  </si>
  <si>
    <t>Numbered actions to execute the test</t>
  </si>
  <si>
    <t>Steps to Reproduce</t>
  </si>
  <si>
    <t>The same path on one line — precondition → each step — ready to paste into a defect report if the case fails</t>
  </si>
  <si>
    <t>Severity</t>
  </si>
  <si>
    <t>Impact if the case fails. Critical = High priority core flow (Positive / E2E / Integration / Security) · Major = other High, or Medium core flow / Permission · Minor = other Medium, Low functional · Trivial = Low UI / Usability</t>
  </si>
  <si>
    <t>Type</t>
  </si>
  <si>
    <t>Positive · Negative · Boundary · Validation · UI · Permission · Integration · E2E · Security · Performance · Usability</t>
  </si>
  <si>
    <t>Priority</t>
  </si>
  <si>
    <t>High = core business flow / data integrity · Medium = important function · Low = cosmetic / rare</t>
  </si>
  <si>
    <t>Test Steps / Expected Result</t>
  </si>
  <si>
    <t>Numbered actions and the observable result that decides Pass/Fail</t>
  </si>
  <si>
    <t>Execution Status / Actual Result / Tested By</t>
  </si>
  <si>
    <t>For manual execution: set Execution Status (dropdown), note the Actual Result, and who/when</t>
  </si>
  <si>
    <t>AUTOMATION STATUS</t>
  </si>
  <si>
    <t>Exercised end-to-end by the Playwright linear run ("add data once" action on that page). Reference names the step, e.g. "Linear 013 Job Board — openingAndCandidate".</t>
  </si>
  <si>
    <t>The linear run opens the page and checks it: not bounced to login, route exists, no application error, loading clears, heading shown, every list renders.</t>
  </si>
  <si>
    <t>Valid case, not yet automated (manual execution). Payroll / Attendance / Resignation &amp; Exit deep cases are owned by teammates.</t>
  </si>
  <si>
    <t>Cannot be automated now — needs an e-mailed link (candidate pre-boarding form), a device (attendance check-in), attendance records, or an unavailable role.</t>
  </si>
  <si>
    <t>Deliberately never automated (irreversible / financial / shared config): exit approval-clearance-F&amp;F, payroll run finalisation &amp; payments, statutory submissions, reward approval/payment, editing shared Payroll/Reward policy. Valid manual cases.</t>
  </si>
  <si>
    <t>RUNNING THE AUTOMATION</t>
  </si>
  <si>
    <t>Full run (headed)</t>
  </si>
  <si>
    <t>HEADED=1 npx playwright test -c hrms/playwright.config.js hrms/tests/00_linear --workers=1 --retries=0</t>
  </si>
  <si>
    <t>Read-only walk</t>
  </si>
  <si>
    <t>HRMS_LINEAR_READONLY=1 … (checks every page, adds nothing)</t>
  </si>
  <si>
    <t>One page / resume</t>
  </si>
  <si>
    <t>HRMS_PAGES="leave-approval,offer-list"  ·  HRMS_FROM=52</t>
  </si>
  <si>
    <t>Evidence</t>
  </si>
  <si>
    <t>On any failure: reports/hrms-evidence/&lt;run&gt;/index.html — screenshots, recordings (incl. second user / candidate windows), whole-run video, trace.</t>
  </si>
  <si>
    <t>#</t>
  </si>
  <si>
    <t>Section</t>
  </si>
  <si>
    <t>Page</t>
  </si>
  <si>
    <t>Route</t>
  </si>
  <si>
    <t>Linear-run check</t>
  </si>
  <si>
    <t>"Add data once" action</t>
  </si>
  <si>
    <t>Last run</t>
  </si>
  <si>
    <t>Employee</t>
  </si>
  <si>
    <t>/employees</t>
  </si>
  <si>
    <t>Page check</t>
  </si>
  <si>
    <t>createRunEmployee</t>
  </si>
  <si>
    <t>Passed (19 Oct 2026)</t>
  </si>
  <si>
    <t>Worker Directory</t>
  </si>
  <si>
    <t>/worker-directory</t>
  </si>
  <si>
    <t>findRunEmployeeAndCompleteProfile</t>
  </si>
  <si>
    <t>Document Compliance</t>
  </si>
  <si>
    <t>/document-compliance</t>
  </si>
  <si>
    <t>—</t>
  </si>
  <si>
    <t>HR Reminders</t>
  </si>
  <si>
    <t>/hrms/reminder-rules</t>
  </si>
  <si>
    <t>Employee Excel Import</t>
  </si>
  <si>
    <t>/upload-employee</t>
  </si>
  <si>
    <t>Letter Templates</t>
  </si>
  <si>
    <t>/letters/templates</t>
  </si>
  <si>
    <t>createLetterTemplate</t>
  </si>
  <si>
    <t>Generate Letter</t>
  </si>
  <si>
    <t>/letters/generate</t>
  </si>
  <si>
    <t>generateLetter</t>
  </si>
  <si>
    <t>Letterheads</t>
  </si>
  <si>
    <t>/letters/letterheads</t>
  </si>
  <si>
    <t>Merge Fields</t>
  </si>
  <si>
    <t>/letters/fields</t>
  </si>
  <si>
    <t>Approval Config</t>
  </si>
  <si>
    <t>/approval/config</t>
  </si>
  <si>
    <t>Duty Handover</t>
  </si>
  <si>
    <t>/employee-handover</t>
  </si>
  <si>
    <t>createDutyHandover</t>
  </si>
  <si>
    <t>Job Requisitions</t>
  </si>
  <si>
    <t>/requisition-list</t>
  </si>
  <si>
    <t>raiseAndApproveRequisition</t>
  </si>
  <si>
    <t>Job Board</t>
  </si>
  <si>
    <t>/vacancy-list</t>
  </si>
  <si>
    <t>openingAndCandidate</t>
  </si>
  <si>
    <t>Job Applications</t>
  </si>
  <si>
    <t>/job-applications-list</t>
  </si>
  <si>
    <t>candidateSelfApplies</t>
  </si>
  <si>
    <t>Assessments</t>
  </si>
  <si>
    <t>/assessment-list</t>
  </si>
  <si>
    <t>takeHomeAssessment</t>
  </si>
  <si>
    <t>Interview Schedules</t>
  </si>
  <si>
    <t>/interview-schedules</t>
  </si>
  <si>
    <t>interviewAndFeedback</t>
  </si>
  <si>
    <t>Offers</t>
  </si>
  <si>
    <t>/offer-list</t>
  </si>
  <si>
    <t>offerApprovedSentAccepted</t>
  </si>
  <si>
    <t>Offer Acceptance</t>
  </si>
  <si>
    <t>/offer-acceptance</t>
  </si>
  <si>
    <t>preboardingInvite</t>
  </si>
  <si>
    <t>My Approvals</t>
  </si>
  <si>
    <t>/recruitment/approvals</t>
  </si>
  <si>
    <t>Recruitment Dashboard</t>
  </si>
  <si>
    <t>/recruitment-dashboard</t>
  </si>
  <si>
    <t>Pipeline Board</t>
  </si>
  <si>
    <t>/recruitment-pipeline</t>
  </si>
  <si>
    <t>Talent Pool</t>
  </si>
  <si>
    <t>/talent-pool</t>
  </si>
  <si>
    <t>Interview Rounds</t>
  </si>
  <si>
    <t>/interview-rounds</t>
  </si>
  <si>
    <t>Referral Dashboard</t>
  </si>
  <si>
    <t>/ess/referral/admin</t>
  </si>
  <si>
    <t>Reward Policy</t>
  </si>
  <si>
    <t>/ess/referral/admin/policy</t>
  </si>
  <si>
    <t>Onboarding</t>
  </si>
  <si>
    <t>Onboarding Templates</t>
  </si>
  <si>
    <t>/onboarding-templates</t>
  </si>
  <si>
    <t>createOnboardingTemplate</t>
  </si>
  <si>
    <t>Onboarding Pipeline</t>
  </si>
  <si>
    <t>/onboarding-pipeline</t>
  </si>
  <si>
    <t>Pre-boarding Approvals</t>
  </si>
  <si>
    <t>/preboarding-approvals</t>
  </si>
  <si>
    <t>Onboarding Tasks</t>
  </si>
  <si>
    <t>/onboarding-tasks</t>
  </si>
  <si>
    <t>Onboarding Employees</t>
  </si>
  <si>
    <t>/onboarding-employees</t>
  </si>
  <si>
    <t>Blacklisted Employees</t>
  </si>
  <si>
    <t>/blacklisted-employees</t>
  </si>
  <si>
    <t>Training Courses</t>
  </si>
  <si>
    <t>/training-courses</t>
  </si>
  <si>
    <t>createTrainingCourse</t>
  </si>
  <si>
    <t>Probation Templates</t>
  </si>
  <si>
    <t>/hrms/probation-templates</t>
  </si>
  <si>
    <t>Probation Dashboard</t>
  </si>
  <si>
    <t>/hrms/probation</t>
  </si>
  <si>
    <t>Appointment Letters</t>
  </si>
  <si>
    <t>/hrms/appointment-letters</t>
  </si>
  <si>
    <t>Confirmation Letters</t>
  </si>
  <si>
    <t>/hrms/confirmation-letters</t>
  </si>
  <si>
    <t>Extension Letters</t>
  </si>
  <si>
    <t>/hrms/extension-letters</t>
  </si>
  <si>
    <t>Hold &amp; Dropped Report</t>
  </si>
  <si>
    <t>/onboarding-hold-dropped</t>
  </si>
  <si>
    <t>Training Assessment Report</t>
  </si>
  <si>
    <t>/training-assessment-report</t>
  </si>
  <si>
    <t>Probation Report</t>
  </si>
  <si>
    <t>/hrms/probation-report</t>
  </si>
  <si>
    <t>Shifts &amp; Rules</t>
  </si>
  <si>
    <t>/shifts</t>
  </si>
  <si>
    <t>Shift Roster</t>
  </si>
  <si>
    <t>/shift-roster</t>
  </si>
  <si>
    <t>Regularization</t>
  </si>
  <si>
    <t>/regularization</t>
  </si>
  <si>
    <t>Late In / Early Out Requests</t>
  </si>
  <si>
    <t>/late-early-requests</t>
  </si>
  <si>
    <t>Overtime Approval</t>
  </si>
  <si>
    <t>/overtime-approval</t>
  </si>
  <si>
    <t>Attendance Finalization</t>
  </si>
  <si>
    <t>/attendance-finalization</t>
  </si>
  <si>
    <t>Geofences</t>
  </si>
  <si>
    <t>/geofences</t>
  </si>
  <si>
    <t>Test Data Generator</t>
  </si>
  <si>
    <t>/attendance-test-data</t>
  </si>
  <si>
    <t>Leave Types</t>
  </si>
  <si>
    <t>/leave-types</t>
  </si>
  <si>
    <t>createLeaveType</t>
  </si>
  <si>
    <t>Leave Patterns</t>
  </si>
  <si>
    <t>/leave-patterns</t>
  </si>
  <si>
    <t>createLeavePattern</t>
  </si>
  <si>
    <t>Leave Policy</t>
  </si>
  <si>
    <t>/leave-policy</t>
  </si>
  <si>
    <t>Leave Assignment</t>
  </si>
  <si>
    <t>/leave-assignment-list</t>
  </si>
  <si>
    <t>assignLeavePatternToRunEmployee</t>
  </si>
  <si>
    <t>Holidays</t>
  </si>
  <si>
    <t>/holiday-list</t>
  </si>
  <si>
    <t>createHoliday</t>
  </si>
  <si>
    <t>Holiday Assignment</t>
  </si>
  <si>
    <t>/holiday-assignment-list</t>
  </si>
  <si>
    <t>assignHoliday</t>
  </si>
  <si>
    <t>Apply Leave for Employee</t>
  </si>
  <si>
    <t>/leave-request-on-behalf</t>
  </si>
  <si>
    <t>applyLeaveOnBehalf</t>
  </si>
  <si>
    <t>Leave Approval</t>
  </si>
  <si>
    <t>/leave-approval</t>
  </si>
  <si>
    <t>employeeAppliesManagerApproves</t>
  </si>
  <si>
    <t>Comp-Off Approval</t>
  </si>
  <si>
    <t>/comp-off-approval</t>
  </si>
  <si>
    <t>Leave Ledger</t>
  </si>
  <si>
    <t>/leave-ledger</t>
  </si>
  <si>
    <t>Attendance Sync</t>
  </si>
  <si>
    <t>/leave-attendance-sync</t>
  </si>
  <si>
    <t>Leave Reports</t>
  </si>
  <si>
    <t>/leave-reports</t>
  </si>
  <si>
    <t>Leave Calendar</t>
  </si>
  <si>
    <t>/leave-calendar</t>
  </si>
  <si>
    <t>Payroll Policies</t>
  </si>
  <si>
    <t>/payroll/policies</t>
  </si>
  <si>
    <t>Salary Components</t>
  </si>
  <si>
    <t>/payroll/components</t>
  </si>
  <si>
    <t>Salary Structures</t>
  </si>
  <si>
    <t>/payroll/structures</t>
  </si>
  <si>
    <t>Employee Salary</t>
  </si>
  <si>
    <t>/payroll/employee-salary</t>
  </si>
  <si>
    <t>Salary Revisions</t>
  </si>
  <si>
    <t>/payroll/salary-revisions</t>
  </si>
  <si>
    <t>Salary Advances</t>
  </si>
  <si>
    <t>/payroll/salary-advance</t>
  </si>
  <si>
    <t>Reimbursements</t>
  </si>
  <si>
    <t>/payroll/adhoc</t>
  </si>
  <si>
    <t>Opening Balances</t>
  </si>
  <si>
    <t>/payroll/opening-balances</t>
  </si>
  <si>
    <t>Consultant Invoices</t>
  </si>
  <si>
    <t>/payroll/consultant-invoices</t>
  </si>
  <si>
    <t>Consultant Payout Advice</t>
  </si>
  <si>
    <t>/payroll/consultant-payout-advice</t>
  </si>
  <si>
    <t>TDS Sections</t>
  </si>
  <si>
    <t>/payroll/tds-sections</t>
  </si>
  <si>
    <t>Payroll Checklist</t>
  </si>
  <si>
    <t>/payroll/checklist</t>
  </si>
  <si>
    <t>Off-Cycle Payments</t>
  </si>
  <si>
    <t>/payroll/off-cycle</t>
  </si>
  <si>
    <t>Payroll Runs</t>
  </si>
  <si>
    <t>/payroll/runs</t>
  </si>
  <si>
    <t>Payslips</t>
  </si>
  <si>
    <t>/payroll/payslips</t>
  </si>
  <si>
    <t>Bank Transfers</t>
  </si>
  <si>
    <t>/payroll/bank-files</t>
  </si>
  <si>
    <t>Bank Reconciliation</t>
  </si>
  <si>
    <t>/payroll/bank-recon</t>
  </si>
  <si>
    <t>Settlement Recoveries</t>
  </si>
  <si>
    <t>/payroll/settlement-recoveries</t>
  </si>
  <si>
    <t>Held Salary Payments</t>
  </si>
  <si>
    <t>/payroll/held-salary</t>
  </si>
  <si>
    <t>Statutory Configuration</t>
  </si>
  <si>
    <t>/payroll/statutory-config</t>
  </si>
  <si>
    <t>Statutory Returns</t>
  </si>
  <si>
    <t>/payroll/statutory-returns</t>
  </si>
  <si>
    <t>TDS Challans</t>
  </si>
  <si>
    <t>/payroll/tds-challans</t>
  </si>
  <si>
    <t>Tax Declarations</t>
  </si>
  <si>
    <t>/payroll/tax-declarations</t>
  </si>
  <si>
    <t>Previous Employer (12B)</t>
  </si>
  <si>
    <t>/payroll/previous-employer</t>
  </si>
  <si>
    <t>Regime Comparison</t>
  </si>
  <si>
    <t>/payroll/regime-comparison</t>
  </si>
  <si>
    <t>Payroll Dashboard</t>
  </si>
  <si>
    <t>/payroll/dashboard</t>
  </si>
  <si>
    <t>Payroll Report Pack</t>
  </si>
  <si>
    <t>/payroll/reports</t>
  </si>
  <si>
    <t>Audit Trail</t>
  </si>
  <si>
    <t>/payroll/audit-trail</t>
  </si>
  <si>
    <t>Outlier Alerts</t>
  </si>
  <si>
    <t>/payroll/outliers</t>
  </si>
  <si>
    <t>Form 16 &amp; Certificates</t>
  </si>
  <si>
    <t>/payroll/statements</t>
  </si>
  <si>
    <t>Exit Dashboard</t>
  </si>
  <si>
    <t>/exit-dashboard</t>
  </si>
  <si>
    <t>Exit Reports</t>
  </si>
  <si>
    <t>/exit-reports</t>
  </si>
  <si>
    <t>Resignations &amp; Exits</t>
  </si>
  <si>
    <t>/resignations</t>
  </si>
  <si>
    <t>F&amp;F Settlements</t>
  </si>
  <si>
    <t>/fnf-settlements</t>
  </si>
  <si>
    <t>Exit Watch</t>
  </si>
  <si>
    <t>/exit-watch</t>
  </si>
  <si>
    <t>Exit Approvals</t>
  </si>
  <si>
    <t>/resignation-approval</t>
  </si>
  <si>
    <t>Exit Clearance</t>
  </si>
  <si>
    <t>/exit-clearance</t>
  </si>
  <si>
    <t>Exit Checklist Templates</t>
  </si>
  <si>
    <t>/exit-checklist-templates</t>
  </si>
  <si>
    <t>Exit Interview Templates</t>
  </si>
  <si>
    <t>/exit-interview-templates</t>
  </si>
  <si>
    <t>Notice Period Rules</t>
  </si>
  <si>
    <t>/notice-period-rules</t>
  </si>
  <si>
    <t>Exit Type Settings</t>
  </si>
  <si>
    <t>/exit-type-settings</t>
  </si>
  <si>
    <t>Exit Reasons</t>
  </si>
  <si>
    <t>/resignation-reasons</t>
  </si>
  <si>
    <t>My Workspace</t>
  </si>
  <si>
    <t>Workspace</t>
  </si>
  <si>
    <t>/ess</t>
  </si>
  <si>
    <t>Profile</t>
  </si>
  <si>
    <t>/ess/profile</t>
  </si>
  <si>
    <t>Digital ID</t>
  </si>
  <si>
    <t>/ess/digital-id</t>
  </si>
  <si>
    <t>Directory</t>
  </si>
  <si>
    <t>/ess/directory</t>
  </si>
  <si>
    <t>Requests</t>
  </si>
  <si>
    <t>/ess/requests</t>
  </si>
  <si>
    <t>Approvals</t>
  </si>
  <si>
    <t>/ess/approvals</t>
  </si>
  <si>
    <t>/ess/leave</t>
  </si>
  <si>
    <t>Handover</t>
  </si>
  <si>
    <t>/my-handover</t>
  </si>
  <si>
    <t>/my-onboarding-tasks</t>
  </si>
  <si>
    <t>Trainings</t>
  </si>
  <si>
    <t>/my-trainings</t>
  </si>
  <si>
    <t>Resignation</t>
  </si>
  <si>
    <t>/ess/resignation</t>
  </si>
  <si>
    <t>Exit Tasks</t>
  </si>
  <si>
    <t>/ess/exit-tasks</t>
  </si>
  <si>
    <t>Exit Interview</t>
  </si>
  <si>
    <t>/ess/exit-interview</t>
  </si>
  <si>
    <t>/ess/attendance</t>
  </si>
  <si>
    <t>Shift</t>
  </si>
  <si>
    <t>/ess/my-shift</t>
  </si>
  <si>
    <t>Locations</t>
  </si>
  <si>
    <t>/ess/locations</t>
  </si>
  <si>
    <t>Documents</t>
  </si>
  <si>
    <t>/ess/documents</t>
  </si>
  <si>
    <t>Letters</t>
  </si>
  <si>
    <t>/ess/letters</t>
  </si>
  <si>
    <t>Pay</t>
  </si>
  <si>
    <t>/ess/payslips</t>
  </si>
  <si>
    <t>Tax</t>
  </si>
  <si>
    <t>/ess/my-tax</t>
  </si>
  <si>
    <t>/ess/previous-employer</t>
  </si>
  <si>
    <t>Probation</t>
  </si>
  <si>
    <t>/ess/probation</t>
  </si>
  <si>
    <t>Support Tickets</t>
  </si>
  <si>
    <t>/ess/helpdesk/my-tickets</t>
  </si>
  <si>
    <t>raiseTicket</t>
  </si>
  <si>
    <t>Refer &amp; Earn</t>
  </si>
  <si>
    <t>/ess/referral</t>
  </si>
  <si>
    <t>referralToHireAndReward</t>
  </si>
  <si>
    <t>Helpdesk Dashboard</t>
  </si>
  <si>
    <t>/ess/helpdesk/admin</t>
  </si>
  <si>
    <t>ticketLifecycle</t>
  </si>
  <si>
    <t>Page / Sub-module</t>
  </si>
  <si>
    <t>Scenario</t>
  </si>
  <si>
    <t>Description</t>
  </si>
  <si>
    <t>Preconditions</t>
  </si>
  <si>
    <t>Test Data</t>
  </si>
  <si>
    <t>Expected Result</t>
  </si>
  <si>
    <t>Automation Status</t>
  </si>
  <si>
    <t>Automation Reference</t>
  </si>
  <si>
    <t>Execution Status</t>
  </si>
  <si>
    <t>Actual Result</t>
  </si>
  <si>
    <t>Tested By / Date</t>
  </si>
  <si>
    <t>Remarks</t>
  </si>
  <si>
    <t>SRS Ref</t>
  </si>
  <si>
    <t>TC-LOG-001</t>
  </si>
  <si>
    <t>Login</t>
  </si>
  <si>
    <t>Login page UI</t>
  </si>
  <si>
    <t>Login page renders all controls</t>
  </si>
  <si>
    <t>Logged out (fresh browser profile, no session)</t>
  </si>
  <si>
    <t xml:space="preserve">1. Open https://hrms-test.progbiz.in/login
2. Observe the form</t>
  </si>
  <si>
    <t>Logged out (fresh browser profile, no session) → Open https://hrms-test.progbiz.in/login → Observe the form</t>
  </si>
  <si>
    <t>Company Code, User Name and Password inputs, a Sign In button, a Forgot password link and a Sign Up link are shown; no console/app error; password input is masked</t>
  </si>
  <si>
    <t>UI</t>
  </si>
  <si>
    <t>Major</t>
  </si>
  <si>
    <t>Not Executed</t>
  </si>
  <si>
    <t>/login</t>
  </si>
  <si>
    <t>TC-LOG-002</t>
  </si>
  <si>
    <t>Password characters are masked</t>
  </si>
  <si>
    <t>Password: Abc@1234</t>
  </si>
  <si>
    <t xml:space="preserve">1. Open /login
2. Type any text in Password</t>
  </si>
  <si>
    <t>Logged out (fresh browser profile, no session) → Open /login → Type any text in Password</t>
  </si>
  <si>
    <t>Password field is of type password and shows masked characters; value is never echoed in plain text</t>
  </si>
  <si>
    <t>Security</t>
  </si>
  <si>
    <t>Critical</t>
  </si>
  <si>
    <t>TC-LOG-003</t>
  </si>
  <si>
    <t>Enter key submits the login form</t>
  </si>
  <si>
    <t>pbhrms / amit / &lt;admin password&gt;</t>
  </si>
  <si>
    <t xml:space="preserve">1. Open /login
2. Fill Company Code, User Name, Password
3. Press Enter in the Password field</t>
  </si>
  <si>
    <t>Logged out (fresh browser profile, no session) → Open /login → Fill Company Code, User Name, Password → Press Enter in the Password field</t>
  </si>
  <si>
    <t>Form is submitted exactly as with the Sign In button and the user lands on Home</t>
  </si>
  <si>
    <t>Usability</t>
  </si>
  <si>
    <t>Minor</t>
  </si>
  <si>
    <t>Medium</t>
  </si>
  <si>
    <t>TC-LOG-004</t>
  </si>
  <si>
    <t>Valid login</t>
  </si>
  <si>
    <t>Admin signs in with valid company code, user name and password</t>
  </si>
  <si>
    <t>Logged out (fresh browser profile, no session); admin account amit is active</t>
  </si>
  <si>
    <t>Company Code: pbhrms; User Name: amit</t>
  </si>
  <si>
    <t xml:space="preserve">1. Open /login
2. Enter Company Code
3. Enter User Name
4. Enter Password
5. Click Sign In</t>
  </si>
  <si>
    <t>Logged out (fresh browser profile, no session); admin account amit is active → Open /login → Enter Company Code → Enter User Name → Enter Password → Click Sign In</t>
  </si>
  <si>
    <t>User leaves /login and lands on Home (/home); sidebar shows the HRMS menu; header shows Amit Kumar Shaji</t>
  </si>
  <si>
    <t>Linear run global-setup — HrmsLoginPage.login (admin session reused by all 128 steps)</t>
  </si>
  <si>
    <t>TC-LOG-005</t>
  </si>
  <si>
    <t>Employee signs in with the initial password = employee code</t>
  </si>
  <si>
    <t>Logged out (fresh browser profile, no session); an employee was created in Core HR with Login Username set and Can Login ticked</t>
  </si>
  <si>
    <t>Username: as set on create; Password: employee code (e.g. pbhrms0305)</t>
  </si>
  <si>
    <t xml:space="preserve">1. Open /login
2. Enter Company Code pbhrms
3. Enter the employee's Login Username
4. Enter the employee code as Password
5. Click Sign In</t>
  </si>
  <si>
    <t>Logged out (fresh browser profile, no session); an employee was created in Core HR with Login Username set and Can Login ticked → Open /login → Enter Company Code pbhrms → Enter the employee's Login Username → Enter the employee code as Password → Click Sign In</t>
  </si>
  <si>
    <t>Login succeeds; employee lands on Home / My Workspace with only the menus their role allows</t>
  </si>
  <si>
    <t>Linear 056 Leave Approval — employeeAppliesManagerApproves (withUser signs in as the run employee)</t>
  </si>
  <si>
    <t>TC-LOG-006</t>
  </si>
  <si>
    <t>Team Lead user signs in</t>
  </si>
  <si>
    <t>Logged out (fresh browser profile, no session); a user with access role Team Lead exists</t>
  </si>
  <si>
    <t xml:space="preserve">1. Open /login
2. Enter pbhrms, the Team Lead user name and password
3. Click Sign In</t>
  </si>
  <si>
    <t>Logged out (fresh browser profile, no session); a user with access role Team Lead exists → Open /login → Enter pbhrms, the Team Lead user name and password → Click Sign In</t>
  </si>
  <si>
    <t>Login succeeds; Team Lead sees My Workspace plus the team/approval menus their role grants</t>
  </si>
  <si>
    <t>TC-LOG-007</t>
  </si>
  <si>
    <t>Login completes within acceptable time</t>
  </si>
  <si>
    <t xml:space="preserve">1. Open /login
2. Sign in with valid admin credentials
3. Measure time until Home is fully rendered</t>
  </si>
  <si>
    <t>Logged out (fresh browser profile, no session) → Open /login → Sign in with valid admin credentials → Measure time until Home is fully rendered</t>
  </si>
  <si>
    <t>Home page is interactive within 5 seconds on a normal connection</t>
  </si>
  <si>
    <t>Performance</t>
  </si>
  <si>
    <t>TC-LOG-008</t>
  </si>
  <si>
    <t>Invalid login</t>
  </si>
  <si>
    <t>Wrong password is rejected</t>
  </si>
  <si>
    <t>Password: WrongPass@1</t>
  </si>
  <si>
    <t xml:space="preserve">1. Open /login
2. Enter pbhrms / amit
3. Enter an incorrect password
4. Click Sign In</t>
  </si>
  <si>
    <t>Logged out (fresh browser profile, no session) → Open /login → Enter pbhrms / amit → Enter an incorrect password → Click Sign In</t>
  </si>
  <si>
    <t>Login refused with an error message (e.g. invalid credentials); user stays on /login; password field cleared or kept masked</t>
  </si>
  <si>
    <t>TC-LOG-009</t>
  </si>
  <si>
    <t>Unknown user name is rejected</t>
  </si>
  <si>
    <t>User Name: no.such.user</t>
  </si>
  <si>
    <t xml:space="preserve">1. Open /login
2. Enter pbhrms
3. Enter user name that does not exist
4. Enter any password
5. Click Sign In</t>
  </si>
  <si>
    <t>Logged out (fresh browser profile, no session) → Open /login → Enter pbhrms → Enter user name that does not exist → Enter any password → Click Sign In</t>
  </si>
  <si>
    <t>Login refused; error message does not reveal whether the user name exists</t>
  </si>
  <si>
    <t>TC-LOG-010</t>
  </si>
  <si>
    <t>Wrong company code is rejected</t>
  </si>
  <si>
    <t>Company Code: pbhrmsX</t>
  </si>
  <si>
    <t xml:space="preserve">1. Open /login
2. Enter an invalid company code
3. Enter valid user name and password
4. Click Sign In</t>
  </si>
  <si>
    <t>Logged out (fresh browser profile, no session) → Open /login → Enter an invalid company code → Enter valid user name and password → Click Sign In</t>
  </si>
  <si>
    <t>Login refused with an invalid company / credentials message; no session created</t>
  </si>
  <si>
    <t>TC-LOG-011</t>
  </si>
  <si>
    <t>Valid user name with another tenant's company code is rejected</t>
  </si>
  <si>
    <t>Logged out (fresh browser profile, no session); a second tenant code exists (e.g. progbiz)</t>
  </si>
  <si>
    <t xml:space="preserve">1. Open /login
2. Enter the other tenant's company code
3. Enter amit and the pbhrms password
4. Click Sign In</t>
  </si>
  <si>
    <t>Logged out (fresh browser profile, no session); a second tenant code exists (e.g. progbiz) → Open /login → Enter the other tenant's company code → Enter amit and the pbhrms password → Click Sign In</t>
  </si>
  <si>
    <t>Login refused; user cannot reach pbhrms data through another tenant code (tenant isolation)</t>
  </si>
  <si>
    <t>TC-LOG-012</t>
  </si>
  <si>
    <t>Mandatory fields</t>
  </si>
  <si>
    <t>Company Code blank shows validation</t>
  </si>
  <si>
    <t xml:space="preserve">1. Open /login
2. Leave Company Code empty
3. Fill User Name and Password
4. Click Sign In</t>
  </si>
  <si>
    <t>Logged out (fresh browser profile, no session) → Open /login → Leave Company Code empty → Fill User Name and Password → Click Sign In</t>
  </si>
  <si>
    <t>Inline/required validation on Company Code; no login request is sent</t>
  </si>
  <si>
    <t>Validation</t>
  </si>
  <si>
    <t>TC-LOG-013</t>
  </si>
  <si>
    <t>User Name blank shows validation</t>
  </si>
  <si>
    <t xml:space="preserve">1. Open /login
2. Fill Company Code
3. Leave User Name empty
4. Fill Password
5. Click Sign In</t>
  </si>
  <si>
    <t>Logged out (fresh browser profile, no session) → Open /login → Fill Company Code → Leave User Name empty → Fill Password → Click Sign In</t>
  </si>
  <si>
    <t>Required validation on User Name; user stays on /login</t>
  </si>
  <si>
    <t>TC-LOG-014</t>
  </si>
  <si>
    <t>Password blank shows validation</t>
  </si>
  <si>
    <t xml:space="preserve">1. Open /login
2. Fill Company Code and User Name
3. Leave Password empty
4. Click Sign In</t>
  </si>
  <si>
    <t>Logged out (fresh browser profile, no session) → Open /login → Fill Company Code and User Name → Leave Password empty → Click Sign In</t>
  </si>
  <si>
    <t>Required validation on Password; user stays on /login</t>
  </si>
  <si>
    <t>TC-LOG-015</t>
  </si>
  <si>
    <t>All fields blank shows validation for each</t>
  </si>
  <si>
    <t xml:space="preserve">1. Open /login
2. Click Sign In without filling anything</t>
  </si>
  <si>
    <t>Logged out (fresh browser profile, no session) → Open /login → Click Sign In without filling anything</t>
  </si>
  <si>
    <t>All three fields flagged as required; no request sent; no server error</t>
  </si>
  <si>
    <t>TC-LOG-016</t>
  </si>
  <si>
    <t>Input handling</t>
  </si>
  <si>
    <t>Company code is case-insensitive</t>
  </si>
  <si>
    <t>Company Code: PBHRMS</t>
  </si>
  <si>
    <t xml:space="preserve">1. Open /login
2. Enter PBHRMS (upper case) with valid user name and password
3. Click Sign In</t>
  </si>
  <si>
    <t>Logged out (fresh browser profile, no session) → Open /login → Enter PBHRMS (upper case) with valid user name and password → Click Sign In</t>
  </si>
  <si>
    <t>Login behaves consistently — accepted as the same tenant (case-insensitive) or refused with a clear message; never an application error</t>
  </si>
  <si>
    <t>Boundary</t>
  </si>
  <si>
    <t>Low</t>
  </si>
  <si>
    <t>TC-LOG-017</t>
  </si>
  <si>
    <t>Password is case-sensitive</t>
  </si>
  <si>
    <t xml:space="preserve">1. Open /login
2. Enter valid company code and user name
3. Enter the correct password with letter case inverted
4. Click Sign In</t>
  </si>
  <si>
    <t>Logged out (fresh browser profile, no session) → Open /login → Enter valid company code and user name → Enter the correct password with letter case inverted → Click Sign In</t>
  </si>
  <si>
    <t>Login refused — password comparison is case-sensitive</t>
  </si>
  <si>
    <t>TC-LOG-018</t>
  </si>
  <si>
    <t>Leading/trailing spaces in user name and company code</t>
  </si>
  <si>
    <t xml:space="preserve">1. Open /login
2. Enter " pbhrms " and " amit " with surrounding spaces
3. Enter correct password
4. Click Sign In</t>
  </si>
  <si>
    <t>Logged out (fresh browser profile, no session) → Open /login → Enter " pbhrms " and " amit " with surrounding spaces → Enter correct password → Click Sign In</t>
  </si>
  <si>
    <t>Spaces are trimmed and login succeeds, or a clear invalid-credentials message is shown; no application error</t>
  </si>
  <si>
    <t>TC-LOG-019</t>
  </si>
  <si>
    <t>SQL injection in User Name is not executed</t>
  </si>
  <si>
    <t>User Name: ' OR 1=1 --</t>
  </si>
  <si>
    <t xml:space="preserve">1. Open /login
2. Enter pbhrms
3. Enter ' OR 1=1 -- as User Name
4. Enter any password
5. Click Sign In</t>
  </si>
  <si>
    <t>Logged out (fresh browser profile, no session) → Open /login → Enter pbhrms → Enter ' OR 1=1 -- as User Name → Enter any password → Click Sign In</t>
  </si>
  <si>
    <t>Login refused as invalid credentials; no database error or internal detail is shown</t>
  </si>
  <si>
    <t>TC-LOG-020</t>
  </si>
  <si>
    <t>Repeated failed logins are throttled or locked</t>
  </si>
  <si>
    <t xml:space="preserve">1. Open /login
2. Attempt 10 consecutive logins for amit with a wrong password
3. Then try the correct password</t>
  </si>
  <si>
    <t>Logged out (fresh browser profile, no session) → Open /login → Attempt 10 consecutive logins for amit with a wrong password → Then try the correct password</t>
  </si>
  <si>
    <t>After repeated failures the account/IP is throttled or temporarily locked (or a delay is enforced); behaviour is documented and no unlimited brute force is possible</t>
  </si>
  <si>
    <t>Lockout threshold is not defined in the SRS — record actual behaviour; run only against a disposable test user</t>
  </si>
  <si>
    <t>TC-LOG-021</t>
  </si>
  <si>
    <t>Credentials are never sent in the URL</t>
  </si>
  <si>
    <t xml:space="preserve">1. Open /login with browser DevTools Network tab
2. Sign in
3. Inspect the login request and resulting URL</t>
  </si>
  <si>
    <t>Logged out (fresh browser profile, no session) → Open /login with browser DevTools Network tab → Sign in → Inspect the login request and resulting URL</t>
  </si>
  <si>
    <t>Login is a POST over HTTPS; company code, user name and password never appear in the URL or query string</t>
  </si>
  <si>
    <t>TC-LOG-022</t>
  </si>
  <si>
    <t>Account state</t>
  </si>
  <si>
    <t>Employee with Can Login unticked cannot sign in</t>
  </si>
  <si>
    <t>An employee exists whose Can Login checkbox is unticked on the employee form</t>
  </si>
  <si>
    <t xml:space="preserve">1. Open /login
2. Enter pbhrms, that employee's user name and employee-code password
3. Click Sign In</t>
  </si>
  <si>
    <t>An employee exists whose Can Login checkbox is unticked on the employee form → Open /login → Enter pbhrms, that employee's user name and employee-code password → Click Sign In</t>
  </si>
  <si>
    <t>Login refused (login disabled / invalid credentials); no session created</t>
  </si>
  <si>
    <t>Permission</t>
  </si>
  <si>
    <t>TC-LOG-023</t>
  </si>
  <si>
    <t>Exited / archived employee cannot sign in</t>
  </si>
  <si>
    <t>An employee whose exit is completed (status Archived/Resigned) exists with a login</t>
  </si>
  <si>
    <t xml:space="preserve">1. Open /login
2. Enter that employee's credentials
3. Click Sign In</t>
  </si>
  <si>
    <t>An employee whose exit is completed (status Archived/Resigned) exists with a login → Open /login → Enter that employee's credentials → Click Sign In</t>
  </si>
  <si>
    <t>Login refused; former employee cannot access the app</t>
  </si>
  <si>
    <t>TC-LOG-024</t>
  </si>
  <si>
    <t>Forgot Password</t>
  </si>
  <si>
    <t>Forgot password</t>
  </si>
  <si>
    <t>Forgot password link opens the reset form</t>
  </si>
  <si>
    <t xml:space="preserve">1. Open /login
2. Click Forgot password</t>
  </si>
  <si>
    <t>Logged out (fresh browser profile, no session) → Open /login → Click Forgot password</t>
  </si>
  <si>
    <t>Password reset form opens with the identifying fields (company code / user name or e-mail) and a submit button, plus a way back to Sign In</t>
  </si>
  <si>
    <t>TC-LOG-025</t>
  </si>
  <si>
    <t>Reset request for a registered user</t>
  </si>
  <si>
    <t>Logged out (fresh browser profile, no session); a test employee with a valid @example.com e-mail exists</t>
  </si>
  <si>
    <t>User: run employee (e.g. rohan.varghese@example.com)</t>
  </si>
  <si>
    <t xml:space="preserve">1. Open Forgot password
2. Enter the company code and the test user's user name / e-mail
3. Submit</t>
  </si>
  <si>
    <t>Logged out (fresh browser profile, no session); a test employee with a valid @example.com e-mail exists → Open Forgot password → Enter the company code and the test user's user name / e-mail → Submit</t>
  </si>
  <si>
    <t>Confirmation message that reset instructions were sent; reset e-mail queued to the user's registered address</t>
  </si>
  <si>
    <t>TC-LOG-026</t>
  </si>
  <si>
    <t>Reset request for an unknown user does not reveal existence</t>
  </si>
  <si>
    <t>nobody@example.com</t>
  </si>
  <si>
    <t xml:space="preserve">1. Open Forgot password
2. Enter a user name / e-mail that does not exist
3. Submit</t>
  </si>
  <si>
    <t>Logged out (fresh browser profile, no session) → Open Forgot password → Enter a user name / e-mail that does not exist → Submit</t>
  </si>
  <si>
    <t>Generic message (same as for a valid user) or a neutral error; the response does not confirm whether the account exists</t>
  </si>
  <si>
    <t>TC-LOG-027</t>
  </si>
  <si>
    <t>Reset form mandatory validation</t>
  </si>
  <si>
    <t xml:space="preserve">1. Open Forgot password
2. Submit with all fields empty</t>
  </si>
  <si>
    <t>Logged out (fresh browser profile, no session) → Open Forgot password → Submit with all fields empty</t>
  </si>
  <si>
    <t>Required-field validation shown; no request sent</t>
  </si>
  <si>
    <t>TC-LOG-028</t>
  </si>
  <si>
    <t>Reset link sets a new password and old one stops working</t>
  </si>
  <si>
    <t>A reset e-mail has been received for a test user</t>
  </si>
  <si>
    <t xml:space="preserve">1. Open the reset link from the e-mail
2. Enter and confirm a new password
3. Submit
4. Sign in with the new password
5. Try the old password</t>
  </si>
  <si>
    <t>A reset e-mail has been received for a test user → Open the reset link from the e-mail → Enter and confirm a new password → Submit → Sign in with the new password → Try the old password</t>
  </si>
  <si>
    <t>New password works; old password is rejected; reset link cannot be reused</t>
  </si>
  <si>
    <t>E2E</t>
  </si>
  <si>
    <t>Needs the e-mailed reset link, which automation cannot receive</t>
  </si>
  <si>
    <t>TC-LOG-029</t>
  </si>
  <si>
    <t>Expired or reused reset link is refused</t>
  </si>
  <si>
    <t>A reset link has already been used or has expired</t>
  </si>
  <si>
    <t>1. Open the used/expired reset link</t>
  </si>
  <si>
    <t>A reset link has already been used or has expired → Open the used/expired reset link</t>
  </si>
  <si>
    <t>Page states the link is invalid or expired and offers to request a new one</t>
  </si>
  <si>
    <t>Needs the e-mailed reset link</t>
  </si>
  <si>
    <t>TC-LOG-030</t>
  </si>
  <si>
    <t>Sign Up</t>
  </si>
  <si>
    <t>Sign up</t>
  </si>
  <si>
    <t>Sign Up link opens the registration form</t>
  </si>
  <si>
    <t xml:space="preserve">1. Open /login
2. Click Sign Up</t>
  </si>
  <si>
    <t>Logged out (fresh browser profile, no session) → Open /login → Click Sign Up</t>
  </si>
  <si>
    <t>Registration form opens with its fields and a submit button; nothing is created until submitted</t>
  </si>
  <si>
    <t>Do not submit on the shared test tenant — creates a new organisation/account</t>
  </si>
  <si>
    <t>TC-LOG-031</t>
  </si>
  <si>
    <t>Sign Up mandatory-field validation</t>
  </si>
  <si>
    <t xml:space="preserve">1. Open Sign Up
2. Click submit with all fields empty</t>
  </si>
  <si>
    <t>Logged out (fresh browser profile, no session) → Open Sign Up → Click submit with all fields empty</t>
  </si>
  <si>
    <t>Each required field is flagged; no account is created</t>
  </si>
  <si>
    <t>TC-LOG-032</t>
  </si>
  <si>
    <t>Session &amp; Logout</t>
  </si>
  <si>
    <t>Logout</t>
  </si>
  <si>
    <t>Logout from the profile menu ends the session</t>
  </si>
  <si>
    <t>Logged in as HRMS admin amit (Amit Kumar Shaji, role HRMS / Administrator)</t>
  </si>
  <si>
    <t xml:space="preserve">1. Click the profile avatar in the header
2. Click Logout</t>
  </si>
  <si>
    <t>Logged in as HRMS admin amit (Amit Kumar Shaji, role HRMS / Administrator) → Click the profile avatar in the header → Click Logout</t>
  </si>
  <si>
    <t>User is returned to /login; session cookie/token is cleared</t>
  </si>
  <si>
    <t>TC-LOG-033</t>
  </si>
  <si>
    <t>Browser Back after logout does not show protected data</t>
  </si>
  <si>
    <t xml:space="preserve">1. Open /employees
2. Logout
3. Press browser Back</t>
  </si>
  <si>
    <t>Logged in as HRMS admin amit (Amit Kumar Shaji, role HRMS / Administrator) → Open /employees → Logout → Press browser Back</t>
  </si>
  <si>
    <t>User stays on / is redirected to /login; the employee list is not displayed from cache with live data</t>
  </si>
  <si>
    <t>TC-LOG-034</t>
  </si>
  <si>
    <t>Protected URL after logout redirects to login</t>
  </si>
  <si>
    <t xml:space="preserve">1. Logout
2. Type /employees in the address bar</t>
  </si>
  <si>
    <t>Logged in as HRMS admin amit (Amit Kumar Shaji, role HRMS / Administrator) → Logout → Type /employees in the address bar</t>
  </si>
  <si>
    <t>Redirected to /login; no data shown</t>
  </si>
  <si>
    <t>TC-LOG-035</t>
  </si>
  <si>
    <t>Logout in one tab invalidates the other tab</t>
  </si>
  <si>
    <t>Logged in as HRMS admin amit (Amit Kumar Shaji, role HRMS / Administrator) in two tabs</t>
  </si>
  <si>
    <t xml:space="preserve">1. Open /employees in tab A and /leave-approval in tab B
2. Logout in tab A
3. Click any menu link in tab B</t>
  </si>
  <si>
    <t>Logged in as HRMS admin amit (Amit Kumar Shaji, role HRMS / Administrator) in two tabs → Open /employees in tab A and /leave-approval in tab B → Logout in tab A → Click any menu link in tab B</t>
  </si>
  <si>
    <t>Tab B is redirected to /login on its next request</t>
  </si>
  <si>
    <t>TC-LOG-036</t>
  </si>
  <si>
    <t>Session</t>
  </si>
  <si>
    <t>Session survives a page refresh</t>
  </si>
  <si>
    <t xml:space="preserve">1. Open /letters/templates
2. Press F5</t>
  </si>
  <si>
    <t>Logged in as HRMS admin amit (Amit Kumar Shaji, role HRMS / Administrator) → Open /letters/templates → Press F5</t>
  </si>
  <si>
    <t>User stays signed in on the same page; data reloads; no login prompt</t>
  </si>
  <si>
    <t>TC-LOG-037</t>
  </si>
  <si>
    <t>Two different users in separate browser contexts</t>
  </si>
  <si>
    <t>Logged in as HRMS admin amit (Amit Kumar Shaji, role HRMS / Administrator); a test employee login exists</t>
  </si>
  <si>
    <t xml:space="preserve">1. Keep admin signed in in the main window
2. Open an incognito/second context
3. Sign in as the test employee
4. Act in both</t>
  </si>
  <si>
    <t>Logged in as HRMS admin amit (Amit Kumar Shaji, role HRMS / Administrator); a test employee login exists → Keep admin signed in in the main window → Open an incognito/second context → Sign in as the test employee → Act in both</t>
  </si>
  <si>
    <t>Each window keeps its own user; actions are attributed to the correct user; no session bleed</t>
  </si>
  <si>
    <t>TC-LOG-038</t>
  </si>
  <si>
    <t>Session expiry</t>
  </si>
  <si>
    <t>Idle session expires and next action goes to login</t>
  </si>
  <si>
    <t xml:space="preserve">1. Sign in
2. Leave the browser idle beyond the token lifetime
3. Click a menu item</t>
  </si>
  <si>
    <t>Logged in as HRMS admin amit (Amit Kumar Shaji, role HRMS / Administrator) → Sign in → Leave the browser idle beyond the token lifetime → Click a menu item</t>
  </si>
  <si>
    <t>If the token refresh fails the user is redirected to /login; no partial page or false success</t>
  </si>
  <si>
    <t>Core HR SRS §10.4</t>
  </si>
  <si>
    <t>TC-LOG-039</t>
  </si>
  <si>
    <t>Active user is not logged out mid-work</t>
  </si>
  <si>
    <t>1. Keep using the app (navigate every few minutes) past the access-token lifetime</t>
  </si>
  <si>
    <t>Logged in as HRMS admin amit (Amit Kumar Shaji, role HRMS / Administrator) → Keep using the app (navigate every few minutes) past the access-token lifetime</t>
  </si>
  <si>
    <t>Expired access token is refreshed transparently; the user is not interrupted</t>
  </si>
  <si>
    <t>TC-LOG-040</t>
  </si>
  <si>
    <t>Unsaved form when the session expires</t>
  </si>
  <si>
    <t xml:space="preserve">1. Open New Employee
2. Fill some fields
3. Wait until the session expires
4. Click Save</t>
  </si>
  <si>
    <t>Logged in as HRMS admin amit (Amit Kumar Shaji, role HRMS / Administrator) → Open New Employee → Fill some fields → Wait until the session expires → Click Save</t>
  </si>
  <si>
    <t>Save is not silently lost as success: user is told the session expired / redirected to login; no partial employee is created</t>
  </si>
  <si>
    <t>TC-LOG-041</t>
  </si>
  <si>
    <t>Tampered auth token is rejected</t>
  </si>
  <si>
    <t xml:space="preserve">1. Open DevTools
2. Alter the stored auth token/cookie value
3. Reload /employees</t>
  </si>
  <si>
    <t>Logged in as HRMS admin amit (Amit Kumar Shaji, role HRMS / Administrator) → Open DevTools → Alter the stored auth token/cookie value → Reload /employees</t>
  </si>
  <si>
    <t>User is redirected to /login; no data is returned for an invalid token</t>
  </si>
  <si>
    <t>TC-LOG-042</t>
  </si>
  <si>
    <t>Change Password</t>
  </si>
  <si>
    <t>Change password</t>
  </si>
  <si>
    <t>Change own password with the correct current password</t>
  </si>
  <si>
    <t>Logged in as an employee with access role Staff (User Level Team Member), login created via Core HR (initial password = employee code)</t>
  </si>
  <si>
    <t>New password: Test@2026x</t>
  </si>
  <si>
    <t xml:space="preserve">1. Open profile menu &gt; Change Password
2. Enter current password (employee code)
3. Enter and confirm a new password
4. Save
5. Logout and sign in with the new password</t>
  </si>
  <si>
    <t>Logged in as an employee with access role Staff (User Level Team Member), login created via Core HR (initial password = employee code) → Open profile menu &gt; Change Password → Enter current password (employee code) → Enter and confirm a new password → Save → Logout and sign in with the new password</t>
  </si>
  <si>
    <t>Success message; new password works; old password (employee code) is rejected</t>
  </si>
  <si>
    <t>/change-password</t>
  </si>
  <si>
    <t>TC-LOG-043</t>
  </si>
  <si>
    <t>Wrong current password is rejected</t>
  </si>
  <si>
    <t xml:space="preserve">1. Open Change Password
2. Enter a wrong current password
3. Enter matching new passwords
4. Save</t>
  </si>
  <si>
    <t>Logged in as an employee with access role Staff (User Level Team Member), login created via Core HR (initial password = employee code) → Open Change Password → Enter a wrong current password → Enter matching new passwords → Save</t>
  </si>
  <si>
    <t>Error that the current password is incorrect; password unchanged</t>
  </si>
  <si>
    <t>TC-LOG-044</t>
  </si>
  <si>
    <t>New and confirm password mismatch</t>
  </si>
  <si>
    <t xml:space="preserve">1. Open Change Password
2. Enter current password
3. Enter different New and Confirm values
4. Save</t>
  </si>
  <si>
    <t>Logged in as an employee with access role Staff (User Level Team Member), login created via Core HR (initial password = employee code) → Open Change Password → Enter current password → Enter different New and Confirm values → Save</t>
  </si>
  <si>
    <t>Validation message that passwords do not match; nothing saved</t>
  </si>
  <si>
    <t>TC-LOG-045</t>
  </si>
  <si>
    <t>Admin reset</t>
  </si>
  <si>
    <t>Admin resets an employee password from Master &gt; Reset Password</t>
  </si>
  <si>
    <t xml:space="preserve">1. Open Master &gt; Reset Password (/change-user-password)
2. Pick the test employee
3. Enter a new password
4. Save
5. Sign in as the employee with it</t>
  </si>
  <si>
    <t>Logged in as HRMS admin amit (Amit Kumar Shaji, role HRMS / Administrator); a test employee login exists → Open Master &gt; Reset Password (/change-user-password) → Pick the test employee → Enter a new password → Save → Sign in as the employee with it</t>
  </si>
  <si>
    <t>Reset succeeds; employee can sign in with the new password</t>
  </si>
  <si>
    <t>TC-LOG-046</t>
  </si>
  <si>
    <t>Sidebar Navigation</t>
  </si>
  <si>
    <t>Sidebar structure</t>
  </si>
  <si>
    <t>Admin sidebar shows every HRMS module group</t>
  </si>
  <si>
    <t xml:space="preserve">1. Sign in
2. Expand HRMS in the left sidebar</t>
  </si>
  <si>
    <t>Logged in as HRMS admin amit (Amit Kumar Shaji, role HRMS / Administrator) → Sign in → Expand HRMS in the left sidebar</t>
  </si>
  <si>
    <t>Groups Core HR, Recruitment, Onboarding, Attendance, Leave Management, Payroll, Resignation &amp; Exit, My Workspace, Employee Referrals/Referral, Helpdesk and Master are listed in that order</t>
  </si>
  <si>
    <t>TC-LOG-047</t>
  </si>
  <si>
    <t>Every HRMS sidebar page opens without error for admin</t>
  </si>
  <si>
    <t xml:space="preserve">1. Open each of the 128 HRMS sidebar routes in sidebar order
2. Wait for loading to clear</t>
  </si>
  <si>
    <t>Logged in as HRMS admin amit (Amit Kumar Shaji, role HRMS / Administrator) → Open each of the 128 HRMS sidebar routes in sidebar order → Wait for loading to clear</t>
  </si>
  <si>
    <t>Every page stays on its route (no /login bounce, no "Sorry, there's nothing at this address"), shows a heading, no app error bar, lists render</t>
  </si>
  <si>
    <t>Linear 001–128 — page check (all HRMS pages)</t>
  </si>
  <si>
    <t>TC-LOG-048</t>
  </si>
  <si>
    <t>Core HR menu</t>
  </si>
  <si>
    <t>Core HR menu items open their pages</t>
  </si>
  <si>
    <t xml:space="preserve">1. Expand HRMS &gt; Core HR
2. Click Employee, Worker Directory, Document Compliance, HR Reminders, Employee Excel Import in turn
3. Expand Letters and click Letter Templates, Generate Letter, Letterheads, Merge Fields
4. Expand Approvals and click Approval Config, Duty Handover</t>
  </si>
  <si>
    <t>Logged in as HRMS admin amit (Amit Kumar Shaji, role HRMS / Administrator) → Expand HRMS &gt; Core HR → Click Employee, Worker Directory, Document Compliance, HR Reminders, Employee Excel Import in turn → Expand Letters and click Letter Templates, Generate Letter, Letterheads, Merge Fields → Expand Approvals and click Approval Config, Duty Handover</t>
  </si>
  <si>
    <t>Each click opens /employees, /worker-directory, /document-compliance, /hrms/reminder-rules, /upload-employee, /letters/templates, /letters/generate, /letters/letterheads, /letters/fields, /approval/config, /employee-handover respectively</t>
  </si>
  <si>
    <t>TC-LOG-049</t>
  </si>
  <si>
    <t>Recruitment menu</t>
  </si>
  <si>
    <t>Recruitment menu items open their pages</t>
  </si>
  <si>
    <t xml:space="preserve">1. Expand HRMS &gt; Recruitment
2. Click each item including Pipeline &gt; Pipeline Board/Talent Pool, Settings &gt; Interview Rounds, Employee Referrals &gt; Referral Dashboard/Reward Policy</t>
  </si>
  <si>
    <t>Logged in as HRMS admin amit (Amit Kumar Shaji, role HRMS / Administrator) → Expand HRMS &gt; Recruitment → Click each item including Pipeline &gt; Pipeline Board/Talent Pool, Settings &gt; Interview Rounds, Employee Referrals &gt; Referral Dashboard/Reward Policy</t>
  </si>
  <si>
    <t>Each item opens its route (/requisition-list, /vacancy-list, /job-applications-list, /assessment-list, /interview-schedules, /offer-list, /offer-acceptance, /recruitment/approvals, /recruitment-dashboard, /recruitment-pipeline, /talent-pool, /interview-rounds, /ess/referral/admin, /ess/referral/admin/policy)</t>
  </si>
  <si>
    <t>TC-LOG-050</t>
  </si>
  <si>
    <t>Onboarding menu</t>
  </si>
  <si>
    <t>Onboarding menu items open their pages</t>
  </si>
  <si>
    <t xml:space="preserve">1. Expand HRMS &gt; Onboarding
2. Click each item including the Probation and Reports sub-groups</t>
  </si>
  <si>
    <t>Logged in as HRMS admin amit (Amit Kumar Shaji, role HRMS / Administrator) → Expand HRMS &gt; Onboarding → Click each item including the Probation and Reports sub-groups</t>
  </si>
  <si>
    <t>All 15 items open their routes (/onboarding-templates … /hrms/probation-report) with no error</t>
  </si>
  <si>
    <t>TC-LOG-051</t>
  </si>
  <si>
    <t>Attendance menu</t>
  </si>
  <si>
    <t>Attendance menu items open their pages</t>
  </si>
  <si>
    <t xml:space="preserve">1. Expand HRMS &gt; Attendance
2. Click each of the 8 items</t>
  </si>
  <si>
    <t>Logged in as HRMS admin amit (Amit Kumar Shaji, role HRMS / Administrator) → Expand HRMS &gt; Attendance → Click each of the 8 items</t>
  </si>
  <si>
    <t>Shifts &amp; Rules, Shift Roster, Regularization, Late In / Early Out Requests, Overtime Approval, Attendance Finalization, Geofences, Test Data Generator open their routes</t>
  </si>
  <si>
    <t>TC-LOG-052</t>
  </si>
  <si>
    <t>Leave menu</t>
  </si>
  <si>
    <t>Leave Management menu items open their pages</t>
  </si>
  <si>
    <t xml:space="preserve">1. Expand HRMS &gt; Leave Management
2. Click each item under Setup, Records &amp; Oversight and Analytics</t>
  </si>
  <si>
    <t>Logged in as HRMS admin amit (Amit Kumar Shaji, role HRMS / Administrator) → Expand HRMS &gt; Leave Management → Click each item under Setup, Records &amp; Oversight and Analytics</t>
  </si>
  <si>
    <t>All items open (/leave-types … /leave-calendar); sub-group headings Setup / Records &amp; Oversight / Analytics are shown</t>
  </si>
  <si>
    <t>TC-LOG-053</t>
  </si>
  <si>
    <t>Payroll menu</t>
  </si>
  <si>
    <t>Payroll menu items open their pages</t>
  </si>
  <si>
    <t xml:space="preserve">1. Expand HRMS &gt; Payroll
2. Click each item under Pay Design, Consultant Payouts, Processing, Tax &amp; Compliance and reports</t>
  </si>
  <si>
    <t>Logged in as HRMS admin amit (Amit Kumar Shaji, role HRMS / Administrator) → Expand HRMS &gt; Payroll → Click each item under Pay Design, Consultant Payouts, Processing, Tax &amp; Compliance and reports</t>
  </si>
  <si>
    <t>All Payroll items open their /payroll/* routes with no error</t>
  </si>
  <si>
    <t>TC-LOG-054</t>
  </si>
  <si>
    <t>Exit menu</t>
  </si>
  <si>
    <t>Resignation &amp; Exit menu items open their pages</t>
  </si>
  <si>
    <t xml:space="preserve">1. Expand HRMS &gt; Resignation &amp; Exit
2. Click each of the 12 items</t>
  </si>
  <si>
    <t>Logged in as HRMS admin amit (Amit Kumar Shaji, role HRMS / Administrator) → Expand HRMS &gt; Resignation &amp; Exit → Click each of the 12 items</t>
  </si>
  <si>
    <t>Exit Dashboard, Exit Reports, Resignations &amp; Exits, F&amp;F Settlements, Exit Watch, Exit Approvals, Exit Clearance and the 5 configuration pages open their routes</t>
  </si>
  <si>
    <t>TC-LOG-055</t>
  </si>
  <si>
    <t>My Workspace menu</t>
  </si>
  <si>
    <t>My Workspace menu items open their pages</t>
  </si>
  <si>
    <t xml:space="preserve">1. Expand HRMS &gt; My Workspace
2. Click each item</t>
  </si>
  <si>
    <t>Logged in as HRMS admin amit (Amit Kumar Shaji, role HRMS / Administrator) → Expand HRMS &gt; My Workspace → Click each item</t>
  </si>
  <si>
    <t>Workspace, Profile, Digital ID, Directory, Requests, Approvals, Leave, Handover, Onboarding Tasks, Trainings, Resignation, Exit Tasks, Exit Interview, Attendance, Shift, Locations, Documents, Letters, Pay, Tax, Previous Employer (12B), Probation open their /ess/* or /my-* routes</t>
  </si>
  <si>
    <t>TC-LOG-056</t>
  </si>
  <si>
    <t>Master menu</t>
  </si>
  <si>
    <t>Master menu items open their pages</t>
  </si>
  <si>
    <t xml:space="preserve">1. Expand Master
2. Click Customers, Users, User Levels, User Hierarchy, Access Roles, Teams, Departments, Designations, Reset Password, Branches, Tenant Settings</t>
  </si>
  <si>
    <t>Logged in as HRMS admin amit (Amit Kumar Shaji, role HRMS / Administrator) → Expand Master → Click Customers, Users, User Levels, User Hierarchy, Access Roles, Teams, Departments, Designations, Reset Password, Branches, Tenant Settings</t>
  </si>
  <si>
    <t>Each opens its route (/customers, /users, /user-levels, /users?view=hierarchy, /access-roles, /teams, /department, /designations, /change-user-password, /branches, /client-setting)</t>
  </si>
  <si>
    <t>TC-LOG-057</t>
  </si>
  <si>
    <t>Sidebar behaviour</t>
  </si>
  <si>
    <t>Active page is highlighted and its group expanded</t>
  </si>
  <si>
    <t>1. Open /leave-approval directly via the address bar</t>
  </si>
  <si>
    <t>Logged in as HRMS admin amit (Amit Kumar Shaji, role HRMS / Administrator) → Open /leave-approval directly via the address bar</t>
  </si>
  <si>
    <t>Leave Management group is expanded and Leave Approval is highlighted as the active item</t>
  </si>
  <si>
    <t>TC-LOG-058</t>
  </si>
  <si>
    <t>Sidebar collapse / expand toggle</t>
  </si>
  <si>
    <t xml:space="preserve">1. Click the sidebar collapse (hamburger) icon
2. Click it again</t>
  </si>
  <si>
    <t>Logged in as HRMS admin amit (Amit Kumar Shaji, role HRMS / Administrator) → Click the sidebar collapse (hamburger) icon → Click it again</t>
  </si>
  <si>
    <t>Sidebar collapses to icons (or hides) and the content area widens; expanding restores labels</t>
  </si>
  <si>
    <t>Trivial</t>
  </si>
  <si>
    <t>TC-LOG-059</t>
  </si>
  <si>
    <t>Menu navigation updates page heading and breadcrumb</t>
  </si>
  <si>
    <t>1. Click Letter Templates then Approval Config</t>
  </si>
  <si>
    <t>Logged in as HRMS admin amit (Amit Kumar Shaji, role HRMS / Administrator) → Click Letter Templates then Approval Config</t>
  </si>
  <si>
    <t>Content heading/breadcrumb and browser tab title change to the selected page without a full reload (SPA navigation)</t>
  </si>
  <si>
    <t>TC-LOG-060</t>
  </si>
  <si>
    <t>Search Menu</t>
  </si>
  <si>
    <t>Search menu</t>
  </si>
  <si>
    <t>Search menu filters sidebar items</t>
  </si>
  <si>
    <t xml:space="preserve">1. Click the Search menu box at the top of the sidebar
2. Type "Leave"</t>
  </si>
  <si>
    <t>Logged in as HRMS admin amit (Amit Kumar Shaji, role HRMS / Administrator) → Click the Search menu box at the top of the sidebar → Type "Leave"</t>
  </si>
  <si>
    <t>Only matching items are listed (Leave Types, Leave Patterns, Leave Policy, Leave Assignment, Leave Approval, Leave Ledger, Leave Reports, Leave Calendar, Apply Leave for Employee, My Workspace &gt; Leave)</t>
  </si>
  <si>
    <t>TC-LOG-061</t>
  </si>
  <si>
    <t>Search menu is case-insensitive</t>
  </si>
  <si>
    <t xml:space="preserve">1. Type "employee" in Search menu
2. Clear
3. Type "EMPLOYEE"</t>
  </si>
  <si>
    <t>Logged in as HRMS admin amit (Amit Kumar Shaji, role HRMS / Administrator) → Type "employee" in Search menu → Clear → Type "EMPLOYEE"</t>
  </si>
  <si>
    <t>Both return the same items (Employee, Employee Excel Import, Onboarding Employees, Employee Salary, …)</t>
  </si>
  <si>
    <t>TC-LOG-062</t>
  </si>
  <si>
    <t>No matching item</t>
  </si>
  <si>
    <t>zzqq</t>
  </si>
  <si>
    <t>1. Type "zzqq" in Search menu</t>
  </si>
  <si>
    <t>Logged in as HRMS admin amit (Amit Kumar Shaji, role HRMS / Administrator) → Type "zzqq" in Search menu</t>
  </si>
  <si>
    <t>No items are listed (or a no-results note); no error</t>
  </si>
  <si>
    <t>TC-LOG-063</t>
  </si>
  <si>
    <t>Selecting a search result navigates</t>
  </si>
  <si>
    <t xml:space="preserve">1. Type "Merge"
2. Click Merge Fields in the results</t>
  </si>
  <si>
    <t>Logged in as HRMS admin amit (Amit Kumar Shaji, role HRMS / Administrator) → Type "Merge" → Click Merge Fields in the results</t>
  </si>
  <si>
    <t>Navigates to /letters/fields</t>
  </si>
  <si>
    <t>TC-LOG-064</t>
  </si>
  <si>
    <t>Search respects role visibility</t>
  </si>
  <si>
    <t>1. Type "Payroll" in Search menu</t>
  </si>
  <si>
    <t>Logged in as an employee with access role Staff (User Level Team Member), login created via Core HR (initial password = employee code) → Type "Payroll" in Search menu</t>
  </si>
  <si>
    <t>Only items the Staff user is permitted to see are returned (e.g. My Workspace &gt; Pay); admin-only payroll pages are not offered</t>
  </si>
  <si>
    <t>TC-LOG-065</t>
  </si>
  <si>
    <t>Header</t>
  </si>
  <si>
    <t>Notifications</t>
  </si>
  <si>
    <t>Notification bell shows unread count and list</t>
  </si>
  <si>
    <t>Logged in as HRMS admin amit (Amit Kumar Shaji, role HRMS / Administrator); at least one unread notification</t>
  </si>
  <si>
    <t xml:space="preserve">1. Look at the bell icon in the header
2. Click it</t>
  </si>
  <si>
    <t>Logged in as HRMS admin amit (Amit Kumar Shaji, role HRMS / Administrator); at least one unread notification → Look at the bell icon in the header → Click it</t>
  </si>
  <si>
    <t>Badge shows the unread count; dropdown lists recent notifications with text and time</t>
  </si>
  <si>
    <t>TC-LOG-066</t>
  </si>
  <si>
    <t>Opening a notification navigates and marks it read</t>
  </si>
  <si>
    <t>Logged in as HRMS admin amit (Amit Kumar Shaji, role HRMS / Administrator); an unread notification exists (e.g. a leave request awaiting approval)</t>
  </si>
  <si>
    <t xml:space="preserve">1. Open the bell
2. Click the notification</t>
  </si>
  <si>
    <t>Logged in as HRMS admin amit (Amit Kumar Shaji, role HRMS / Administrator); an unread notification exists (e.g. a leave request awaiting approval) → Open the bell → Click the notification</t>
  </si>
  <si>
    <t>User is taken to the related page; notification shows as read and the unread count drops by one</t>
  </si>
  <si>
    <t>TC-LOG-067</t>
  </si>
  <si>
    <t>Real-time notification arrives without refresh</t>
  </si>
  <si>
    <t>Logged in as HRMS admin amit (Amit Kumar Shaji, role HRMS / Administrator) in one window; test employee signed in another</t>
  </si>
  <si>
    <t xml:space="preserve">1. As the employee apply for a leave
2. Watch admin's header without refreshing</t>
  </si>
  <si>
    <t>Logged in as HRMS admin amit (Amit Kumar Shaji, role HRMS / Administrator) in one window; test employee signed in another → As the employee apply for a leave → Watch admin's header without refreshing</t>
  </si>
  <si>
    <t>Admin bell count increases and the new approval notification appears in real time</t>
  </si>
  <si>
    <t>Integration</t>
  </si>
  <si>
    <t>TC-LOG-068</t>
  </si>
  <si>
    <t>Profile menu</t>
  </si>
  <si>
    <t>Profile menu shows user identity and actions</t>
  </si>
  <si>
    <t>1. Click the user avatar/name in the header</t>
  </si>
  <si>
    <t>Logged in as HRMS admin amit (Amit Kumar Shaji, role HRMS / Administrator) → Click the user avatar/name in the header</t>
  </si>
  <si>
    <t>Menu shows the signed-in name (Amit Kumar Shaji) and links Profile, Change Password and Logout</t>
  </si>
  <si>
    <t>TC-LOG-069</t>
  </si>
  <si>
    <t>Theme</t>
  </si>
  <si>
    <t>Dark mode toggle switches the theme</t>
  </si>
  <si>
    <t xml:space="preserve">1. Click the dark mode toggle in the header
2. Click it again</t>
  </si>
  <si>
    <t>Logged in as HRMS admin amit (Amit Kumar Shaji, role HRMS / Administrator) → Click the dark mode toggle in the header → Click it again</t>
  </si>
  <si>
    <t>Theme switches to dark and back to light; text, tables and forms stay readable</t>
  </si>
  <si>
    <t>TC-LOG-070</t>
  </si>
  <si>
    <t>Full screen</t>
  </si>
  <si>
    <t>Full screen toggle enters and exits full screen</t>
  </si>
  <si>
    <t xml:space="preserve">1. Click the full screen icon in the header
2. Press Esc or click the icon again</t>
  </si>
  <si>
    <t>Logged in as HRMS admin amit (Amit Kumar Shaji, role HRMS / Administrator) → Click the full screen icon in the header → Press Esc or click the icon again</t>
  </si>
  <si>
    <t>Browser enters full screen mode and exits on the second click/Esc; layout re-flows correctly</t>
  </si>
  <si>
    <t>TC-LOG-071</t>
  </si>
  <si>
    <t>Role-based Access</t>
  </si>
  <si>
    <t>Menu visibility</t>
  </si>
  <si>
    <t>HRMS (Administrator) role sees all HRMS modules and Master</t>
  </si>
  <si>
    <t xml:space="preserve">1. Sign in
2. Expand the HRMS and Master groups</t>
  </si>
  <si>
    <t>Logged in as HRMS admin amit (Amit Kumar Shaji, role HRMS / Administrator) → Sign in → Expand the HRMS and Master groups</t>
  </si>
  <si>
    <t>All modules (Core HR … Helpdesk) and Master items are visible</t>
  </si>
  <si>
    <t>TC-LOG-072</t>
  </si>
  <si>
    <t>Staff role sees only self-service menus</t>
  </si>
  <si>
    <t xml:space="preserve">1. Sign in as the Staff employee
2. Inspect the sidebar</t>
  </si>
  <si>
    <t>Logged in as an employee with access role Staff (User Level Team Member), login created via Core HR (initial password = employee code) → Sign in as the Staff employee → Inspect the sidebar</t>
  </si>
  <si>
    <t>My Workspace (ESS) items, Support Tickets and Refer &amp; Earn are visible; Core HR, Payroll, Recruitment admin, Master and approval configuration are hidden</t>
  </si>
  <si>
    <t>Known (access-roles review 2026-09-25): Staff access role has Employee Add/Edit/Delete ticked — confirm whether Employee menu appears for Staff and whether that is intended</t>
  </si>
  <si>
    <t>TC-LOG-073</t>
  </si>
  <si>
    <t>Team Lead role sees self-service plus team approval menus</t>
  </si>
  <si>
    <t>Logged in as a Team Lead (access role Team Lead) with at least one direct report (Reports To = this Team Lead)</t>
  </si>
  <si>
    <t xml:space="preserve">1. Sign in as the Team Lead
2. Inspect the sidebar</t>
  </si>
  <si>
    <t>Logged in as a Team Lead (access role Team Lead) with at least one direct report (Reports To = this Team Lead) → Sign in as the Team Lead → Inspect the sidebar</t>
  </si>
  <si>
    <t>My Workspace plus the approval pages granted to Team Lead (e.g. Leave Approval) are visible; tenant administration is hidden per policy</t>
  </si>
  <si>
    <t>Known (access-roles review): Team Lead role holds Access Role/Users Add/Edit/Delete and full payroll incl. Payroll Approval Confirm — verify against intended policy</t>
  </si>
  <si>
    <t>TC-LOG-074</t>
  </si>
  <si>
    <t>Access-role change takes effect on next sign-in</t>
  </si>
  <si>
    <t>Logged in as HRMS admin amit (Amit Kumar Shaji, role HRMS / Administrator); a test user with Staff role</t>
  </si>
  <si>
    <t xml:space="preserve">1. Change the test user's role group from Staff to Team Lead
2. Sign in as that user</t>
  </si>
  <si>
    <t>Logged in as HRMS admin amit (Amit Kumar Shaji, role HRMS / Administrator); a test user with Staff role → Change the test user's role group from Staff to Team Lead → Sign in as that user</t>
  </si>
  <si>
    <t>Sidebar now reflects Team Lead permissions; previous Staff-only view no longer applies</t>
  </si>
  <si>
    <t>TC-LOG-075</t>
  </si>
  <si>
    <t>Direct URL without permission</t>
  </si>
  <si>
    <t>Staff opening /employees directly is denied</t>
  </si>
  <si>
    <t>1. Type https://hrms-test.progbiz.in/employees in the address bar</t>
  </si>
  <si>
    <t>Logged in as an employee with access role Staff (User Level Team Member), login created via Core HR (initial password = employee code) → Type https://hrms-test.progbiz.in/employees in the address bar</t>
  </si>
  <si>
    <t>Access denied / redirected (no employee list, no data); hiding the menu is not the only control</t>
  </si>
  <si>
    <t>TC-LOG-076</t>
  </si>
  <si>
    <t>Staff opening /payroll/runs directly is denied</t>
  </si>
  <si>
    <t>1. Open /payroll/runs by URL</t>
  </si>
  <si>
    <t>Logged in as an employee with access role Staff (User Level Team Member), login created via Core HR (initial password = employee code) → Open /payroll/runs by URL</t>
  </si>
  <si>
    <t>Access denied; no payroll data shown</t>
  </si>
  <si>
    <t>TC-LOG-077</t>
  </si>
  <si>
    <t>Staff opening /access-roles directly is denied</t>
  </si>
  <si>
    <t>1. Open /access-roles by URL</t>
  </si>
  <si>
    <t>Logged in as an employee with access role Staff (User Level Team Member), login created via Core HR (initial password = employee code) → Open /access-roles by URL</t>
  </si>
  <si>
    <t>Access denied; role definitions cannot be viewed or edited</t>
  </si>
  <si>
    <t>TC-LOG-078</t>
  </si>
  <si>
    <t>Staff opening /approval/config directly is denied</t>
  </si>
  <si>
    <t>1. Open /approval/config by URL</t>
  </si>
  <si>
    <t>Logged in as an employee with access role Staff (User Level Team Member), login created via Core HR (initial password = employee code) → Open /approval/config by URL</t>
  </si>
  <si>
    <t>Access denied; workflows cannot be edited</t>
  </si>
  <si>
    <t>TC-LOG-079</t>
  </si>
  <si>
    <t>Staff opening another employee's profile by GUID is denied</t>
  </si>
  <si>
    <t>Logged in as an employee with access role Staff (User Level Team Member), login created via Core HR (initial password = employee code); the GUID of another employee is known</t>
  </si>
  <si>
    <t>1. Open /employee-view/&lt;other employee GUID&gt;</t>
  </si>
  <si>
    <t>Logged in as an employee with access role Staff (User Level Team Member), login created via Core HR (initial password = employee code); the GUID of another employee is known → Open /employee-view/&lt;other employee GUID&gt;</t>
  </si>
  <si>
    <t>Access denied; no personal data of the other employee is shown</t>
  </si>
  <si>
    <t>TC-LOG-080</t>
  </si>
  <si>
    <t>Forbidden API response leaves the screen unchanged</t>
  </si>
  <si>
    <t xml:space="preserve">1. Trigger a call to an endpoint the role lacks (e.g. via a stale admin link)
2. Observe the UI</t>
  </si>
  <si>
    <t>Logged in as an employee with access role Staff (User Level Team Member), login created via Core HR (initial password = employee code) → Trigger a call to an endpoint the role lacks (e.g. via a stale admin link) → Observe the UI</t>
  </si>
  <si>
    <t>Endpoint returns 403; the screen shows an error/no data and never a false success message</t>
  </si>
  <si>
    <t>TC-LOG-081</t>
  </si>
  <si>
    <t>Data scope</t>
  </si>
  <si>
    <t>Team Lead sees only own team in approvals</t>
  </si>
  <si>
    <t>Logged in as a Team Lead (access role Team Lead) with at least one direct report (Reports To = this Team Lead); another team has a pending leave request</t>
  </si>
  <si>
    <t>1. Open Leave Approval</t>
  </si>
  <si>
    <t>Logged in as a Team Lead (access role Team Lead) with at least one direct report (Reports To = this Team Lead); another team has a pending leave request → Open Leave Approval</t>
  </si>
  <si>
    <t>Only requests of the Team Lead's reportees are listed; other teams' requests are not visible</t>
  </si>
  <si>
    <t>TC-LOG-082</t>
  </si>
  <si>
    <t>Direct URL Access</t>
  </si>
  <si>
    <t>Logged-out access</t>
  </si>
  <si>
    <t>Logged-out visit to /employees redirects to login</t>
  </si>
  <si>
    <t>1. Open https://hrms-test.progbiz.in/employees</t>
  </si>
  <si>
    <t>Logged out (fresh browser profile, no session) → Open https://hrms-test.progbiz.in/employees</t>
  </si>
  <si>
    <t>Redirected to /login; no employee data rendered (not even briefly)</t>
  </si>
  <si>
    <t>TC-LOG-083</t>
  </si>
  <si>
    <t>Logged-out visit to an employee profile redirects to login</t>
  </si>
  <si>
    <t>1. Open /employee-view/&lt;valid GUID&gt;</t>
  </si>
  <si>
    <t>Logged out (fresh browser profile, no session) → Open /employee-view/&lt;valid GUID&gt;</t>
  </si>
  <si>
    <t>Redirected to /login; no personal data flashes before the redirect</t>
  </si>
  <si>
    <t>TC-LOG-084</t>
  </si>
  <si>
    <t>Logged-out visit to ESS payslips redirects to login</t>
  </si>
  <si>
    <t>1. Open /ess/payslips</t>
  </si>
  <si>
    <t>Logged out (fresh browser profile, no session) → Open /ess/payslips</t>
  </si>
  <si>
    <t>Redirected to /login</t>
  </si>
  <si>
    <t>TC-LOG-085</t>
  </si>
  <si>
    <t>Public career page is reachable without login</t>
  </si>
  <si>
    <t>Logged out (fresh browser profile, no session); a Published job opening exists</t>
  </si>
  <si>
    <t>1. Open /careers/&lt;tenant-guid&gt;</t>
  </si>
  <si>
    <t>Logged out (fresh browser profile, no session); a Published job opening exists → Open /careers/&lt;tenant-guid&gt;</t>
  </si>
  <si>
    <t>Career page shows published openings with Apply Now; no internal menus or data</t>
  </si>
  <si>
    <t>Linear 014 Job Applications — candidateSelfApplies (withVisitor)</t>
  </si>
  <si>
    <t>TC-LOG-086</t>
  </si>
  <si>
    <t>Invalid route</t>
  </si>
  <si>
    <t>Unknown route shows the not-found page</t>
  </si>
  <si>
    <t>1. Open /does-not-exist</t>
  </si>
  <si>
    <t>Logged in as HRMS admin amit (Amit Kumar Shaji, role HRMS / Administrator) → Open /does-not-exist</t>
  </si>
  <si>
    <t>"Sorry, there's nothing at this address" is shown; sidebar still usable; no app error bar</t>
  </si>
  <si>
    <t>TC-LOG-087</t>
  </si>
  <si>
    <t>Malformed GUID in employee route</t>
  </si>
  <si>
    <t>1. Open /employee-view/not-a-guid</t>
  </si>
  <si>
    <t>Logged in as HRMS admin amit (Amit Kumar Shaji, role HRMS / Administrator) → Open /employee-view/not-a-guid</t>
  </si>
  <si>
    <t>Friendly not-found / invalid record message; no unhandled error or stack trace</t>
  </si>
  <si>
    <t>TC-LOG-088</t>
  </si>
  <si>
    <t>Browser Navigation</t>
  </si>
  <si>
    <t>Back / forward</t>
  </si>
  <si>
    <t>Back and Forward move between visited pages</t>
  </si>
  <si>
    <t xml:space="preserve">1. Open Employee
2. Open Worker Directory
3. Press Back
4. Press Forward</t>
  </si>
  <si>
    <t>Logged in as HRMS admin amit (Amit Kumar Shaji, role HRMS / Administrator) → Open Employee → Open Worker Directory → Press Back → Press Forward</t>
  </si>
  <si>
    <t>Back shows the Employee list, Forward returns to Worker Directory; content and sidebar highlight match each page</t>
  </si>
  <si>
    <t>TC-LOG-089</t>
  </si>
  <si>
    <t>Back after saving a form does not resubmit</t>
  </si>
  <si>
    <t xml:space="preserve">1. Create a duty handover and Save
2. Press browser Back</t>
  </si>
  <si>
    <t>Logged in as HRMS admin amit (Amit Kumar Shaji, role HRMS / Administrator) → Create a duty handover and Save → Press browser Back</t>
  </si>
  <si>
    <t>No second record is created; the form is shown empty or the list is shown</t>
  </si>
  <si>
    <t>TC-LOG-090</t>
  </si>
  <si>
    <t>Refresh</t>
  </si>
  <si>
    <t>Refresh on a deep page keeps the page and filters</t>
  </si>
  <si>
    <t xml:space="preserve">1. Open Duty Handover
2. Set Status filter to Pending
3. Press F5</t>
  </si>
  <si>
    <t>Logged in as HRMS admin amit (Amit Kumar Shaji, role HRMS / Administrator) → Open Duty Handover → Set Status filter to Pending → Press F5</t>
  </si>
  <si>
    <t>Page reloads on /employee-handover signed in; data loads (filters may reset to defaults) with no error</t>
  </si>
  <si>
    <t>TC-LOG-091</t>
  </si>
  <si>
    <t>Refresh on a half-filled form does not save</t>
  </si>
  <si>
    <t xml:space="preserve">1. Open New Employee
2. Fill First Name only
3. Press F5</t>
  </si>
  <si>
    <t>Logged in as HRMS admin amit (Amit Kumar Shaji, role HRMS / Administrator) → Open New Employee → Fill First Name only → Press F5</t>
  </si>
  <si>
    <t>Form reloads empty (or a leave-page warning is shown); no partial employee is created</t>
  </si>
  <si>
    <t>TC-CHR-001</t>
  </si>
  <si>
    <t>Page load</t>
  </si>
  <si>
    <t>Employee list page opens and renders</t>
  </si>
  <si>
    <t>1. Open HRMS &gt; Core HR &gt; Employee</t>
  </si>
  <si>
    <t>Logged in as HRMS admin amit (Amit Kumar Shaji, role HRMS / Administrator) → Open HRMS &gt; Core HR &gt; Employee</t>
  </si>
  <si>
    <t>Heading shown; grid with columns Sl.No, Employee Code, Employee Name, Department Name, Designation, Status, Actions; New Employee button; loading clears; no app error</t>
  </si>
  <si>
    <t>Linear 001 Employee — page check</t>
  </si>
  <si>
    <t>TC-CHR-002</t>
  </si>
  <si>
    <t>List</t>
  </si>
  <si>
    <t>Default sort is Employee Code ascending</t>
  </si>
  <si>
    <t xml:space="preserve">1. Open Employee list
2. Observe the order of the Employee Code column</t>
  </si>
  <si>
    <t>Logged in as HRMS admin amit (Amit Kumar Shaji, role HRMS / Administrator) → Open Employee list → Observe the order of the Employee Code column</t>
  </si>
  <si>
    <t>Rows are sorted by Employee Code ascending with a sort indicator on that column</t>
  </si>
  <si>
    <t>§4.2</t>
  </si>
  <si>
    <t>TC-CHR-003</t>
  </si>
  <si>
    <t>Sort by each sortable column</t>
  </si>
  <si>
    <t xml:space="preserve">1. Click Employee Code header
2. Click again
3. Repeat for Employee Name, Department Name, Designation</t>
  </si>
  <si>
    <t>Logged in as HRMS admin amit (Amit Kumar Shaji, role HRMS / Administrator) → Click Employee Code header → Click again → Repeat for Employee Name, Department Name, Designation</t>
  </si>
  <si>
    <t>Each click toggles ascending/descending; sort indicator updates; data re-ordered server-side</t>
  </si>
  <si>
    <t>TC-CHR-004</t>
  </si>
  <si>
    <t>Search</t>
  </si>
  <si>
    <t>Quick search by employee name</t>
  </si>
  <si>
    <t>Logged in as HRMS admin amit (Amit Kumar Shaji, role HRMS / Administrator); run employee exists</t>
  </si>
  <si>
    <t>e.g. "Varghese"</t>
  </si>
  <si>
    <t>1. Type part of the run employee's name in the quick-search box</t>
  </si>
  <si>
    <t>Logged in as HRMS admin amit (Amit Kumar Shaji, role HRMS / Administrator); run employee exists → Type part of the run employee's name in the quick-search box</t>
  </si>
  <si>
    <t>Grid shows only matching employees; count updates</t>
  </si>
  <si>
    <t>FR-CH-023</t>
  </si>
  <si>
    <t>TC-CHR-005</t>
  </si>
  <si>
    <t>Quick search by employee code</t>
  </si>
  <si>
    <t>e.g. pbhrms0305</t>
  </si>
  <si>
    <t>1. Type a full employee code in quick search</t>
  </si>
  <si>
    <t>Logged in as HRMS admin amit (Amit Kumar Shaji, role HRMS / Administrator) → Type a full employee code in quick search</t>
  </si>
  <si>
    <t>Exactly the employee with that code is listed</t>
  </si>
  <si>
    <t>Linear 001 Employee — createRunEmployee</t>
  </si>
  <si>
    <t>TC-CHR-006</t>
  </si>
  <si>
    <t>Quick search by phone and by e-mail</t>
  </si>
  <si>
    <t xml:space="preserve">1. Search the run employee's phone
2. Clear
3. Search their e-mail</t>
  </si>
  <si>
    <t>Logged in as HRMS admin amit (Amit Kumar Shaji, role HRMS / Administrator) → Search the run employee's phone → Clear → Search their e-mail</t>
  </si>
  <si>
    <t>Both searches return the run employee</t>
  </si>
  <si>
    <t>TC-CHR-007</t>
  </si>
  <si>
    <t>Quick search with no match</t>
  </si>
  <si>
    <t>1. Type "zzqqxx" in quick search</t>
  </si>
  <si>
    <t>Logged in as HRMS admin amit (Amit Kumar Shaji, role HRMS / Administrator) → Type "zzqqxx" in quick search</t>
  </si>
  <si>
    <t>Empty-state row / "no records" message; no error</t>
  </si>
  <si>
    <t>TC-CHR-008</t>
  </si>
  <si>
    <t>Filter</t>
  </si>
  <si>
    <t>Advanced filter drawer narrows the list</t>
  </si>
  <si>
    <t xml:space="preserve">1. Open the filter drawer
2. Choose Branch Main Branch and Designation SOFTWARE TESTER
3. Click Apply Filters</t>
  </si>
  <si>
    <t>Logged in as HRMS admin amit (Amit Kumar Shaji, role HRMS / Administrator) → Open the filter drawer → Choose Branch Main Branch and Designation SOFTWARE TESTER → Click Apply Filters</t>
  </si>
  <si>
    <t>Only matching employees listed; badge shows 2 active filters</t>
  </si>
  <si>
    <t>FR-CH-024</t>
  </si>
  <si>
    <t>TC-CHR-009</t>
  </si>
  <si>
    <t>Closing the drawer without Apply changes nothing</t>
  </si>
  <si>
    <t xml:space="preserve">1. Open the filter drawer
2. Change Department
3. Close the drawer without Apply</t>
  </si>
  <si>
    <t>Logged in as HRMS admin amit (Amit Kumar Shaji, role HRMS / Administrator) → Open the filter drawer → Change Department → Close the drawer without Apply</t>
  </si>
  <si>
    <t>Grid and active-filter badge unchanged</t>
  </si>
  <si>
    <t>TC-CHR-010</t>
  </si>
  <si>
    <t>Reset clears all drawer filters</t>
  </si>
  <si>
    <t>Logged in as HRMS admin amit (Amit Kumar Shaji, role HRMS / Administrator); filters applied</t>
  </si>
  <si>
    <t xml:space="preserve">1. Open the filter drawer
2. Click Reset</t>
  </si>
  <si>
    <t>Logged in as HRMS admin amit (Amit Kumar Shaji, role HRMS / Administrator); filters applied → Open the filter drawer → Click Reset</t>
  </si>
  <si>
    <t>All narrowing filters cleared; badge disappears; full list shown</t>
  </si>
  <si>
    <t>TC-CHR-011</t>
  </si>
  <si>
    <t>Joined-from after joined-to</t>
  </si>
  <si>
    <t xml:space="preserve">1. Open filter drawer
2. Set Joined From 2026-10-01 and Joined To 2026-09-01
3. Apply</t>
  </si>
  <si>
    <t>Logged in as HRMS admin amit (Amit Kumar Shaji, role HRMS / Administrator) → Open filter drawer → Set Joined From 2026-10-01 and Joined To 2026-09-01 → Apply</t>
  </si>
  <si>
    <t>Validation message or empty result; no server error</t>
  </si>
  <si>
    <t>TC-CHR-012</t>
  </si>
  <si>
    <t>Archived</t>
  </si>
  <si>
    <t>Archived employees hidden by default and shown with Include archived</t>
  </si>
  <si>
    <t>Logged in as HRMS admin amit (Amit Kumar Shaji, role HRMS / Administrator); an archived (exited) employee exists</t>
  </si>
  <si>
    <t xml:space="preserve">1. Open Employee list
2. Search the archived employee
3. Switch on Include archived</t>
  </si>
  <si>
    <t>Logged in as HRMS admin amit (Amit Kumar Shaji, role HRMS / Administrator); an archived (exited) employee exists → Open Employee list → Search the archived employee → Switch on Include archived</t>
  </si>
  <si>
    <t>Not found by default; listed once Include archived is on; the toggle is not counted in the filter badge</t>
  </si>
  <si>
    <t>FR-CH-025</t>
  </si>
  <si>
    <t>TC-CHR-013</t>
  </si>
  <si>
    <t>Paging</t>
  </si>
  <si>
    <t>Pagination and page size</t>
  </si>
  <si>
    <t>Logged in as HRMS admin amit (Amit Kumar Shaji, role HRMS / Administrator); more than 10 employees</t>
  </si>
  <si>
    <t xml:space="preserve">1. Change page size to 25
2. Go to page 2
3. Run a search</t>
  </si>
  <si>
    <t>Logged in as HRMS admin amit (Amit Kumar Shaji, role HRMS / Administrator); more than 10 employees → Change page size to 25 → Go to page 2 → Run a search</t>
  </si>
  <si>
    <t>Page size applies and is preserved across the search; pager shows total count and page index</t>
  </si>
  <si>
    <t>FR-CH-021</t>
  </si>
  <si>
    <t>TC-CHR-014</t>
  </si>
  <si>
    <t>Row actions</t>
  </si>
  <si>
    <t>Edit icon opens the employee Edit form</t>
  </si>
  <si>
    <t>1. Click the pencil icon on the run employee row</t>
  </si>
  <si>
    <t>Logged in as HRMS admin amit (Amit Kumar Shaji, role HRMS / Administrator) → Click the pencil icon on the run employee row</t>
  </si>
  <si>
    <t>Navigates to /employee/&lt;guid&gt; with the form pre-filled</t>
  </si>
  <si>
    <t>TC-CHR-015</t>
  </si>
  <si>
    <t>Clicking the employee name opens the read-only profile</t>
  </si>
  <si>
    <t>1. Click the run employee's name/view action</t>
  </si>
  <si>
    <t>Logged in as HRMS admin amit (Amit Kumar Shaji, role HRMS / Administrator) → Click the run employee's name/view action</t>
  </si>
  <si>
    <t>Navigates to /employee-view/&lt;guid&gt;</t>
  </si>
  <si>
    <t>TC-CHR-016</t>
  </si>
  <si>
    <t>Delete asks for confirmation; Cancel keeps the employee</t>
  </si>
  <si>
    <t>Logged in as HRMS admin amit (Amit Kumar Shaji, role HRMS / Administrator); a disposable test employee exists</t>
  </si>
  <si>
    <t xml:space="preserve">1. Click the delete icon on the test employee row
2. Click No/Cancel in the confirmation</t>
  </si>
  <si>
    <t>Logged in as HRMS admin amit (Amit Kumar Shaji, role HRMS / Administrator); a disposable test employee exists → Click the delete icon on the test employee row → Click No/Cancel in the confirmation</t>
  </si>
  <si>
    <t>Confirmation names the employee; on Cancel nothing is deleted and the row remains</t>
  </si>
  <si>
    <t>TC-CHR-017</t>
  </si>
  <si>
    <t>Delete a disposable employee after confirmation</t>
  </si>
  <si>
    <t>Logged in as HRMS admin amit (Amit Kumar Shaji, role HRMS / Administrator); a disposable test employee with no transactions</t>
  </si>
  <si>
    <t xml:space="preserve">1. Click delete on the test employee
2. Confirm Yes</t>
  </si>
  <si>
    <t>Logged in as HRMS admin amit (Amit Kumar Shaji, role HRMS / Administrator); a disposable test employee with no transactions → Click delete on the test employee → Confirm Yes</t>
  </si>
  <si>
    <t>Success message; employee no longer listed; their login no longer works</t>
  </si>
  <si>
    <t>Use only a throwaway employee created for this test</t>
  </si>
  <si>
    <t>TC-CHR-018</t>
  </si>
  <si>
    <t>Delete of an employee with transactions is refused or soft</t>
  </si>
  <si>
    <t>Logged in as HRMS admin amit (Amit Kumar Shaji, role HRMS / Administrator); employee with leave/payroll history</t>
  </si>
  <si>
    <t xml:space="preserve">1. Click delete on that employee
2. Confirm</t>
  </si>
  <si>
    <t>Logged in as HRMS admin amit (Amit Kumar Shaji, role HRMS / Administrator); employee with leave/payroll history → Click delete on that employee → Confirm</t>
  </si>
  <si>
    <t>Delete is refused with a clear message, or the employee is soft-deleted so history in Leave/Payroll stays intact</t>
  </si>
  <si>
    <t>TC-CHR-019</t>
  </si>
  <si>
    <t>Status badge</t>
  </si>
  <si>
    <t>Status column reflects lifecycle status</t>
  </si>
  <si>
    <t>Logged in as HRMS admin amit (Amit Kumar Shaji, role HRMS / Administrator); employees in Active and Pre-Employee status</t>
  </si>
  <si>
    <t xml:space="preserve">1. Open the list
2. Compare the Status badge with each employee's status</t>
  </si>
  <si>
    <t>Logged in as HRMS admin amit (Amit Kumar Shaji, role HRMS / Administrator); employees in Active and Pre-Employee status → Open the list → Compare the Status badge with each employee's status</t>
  </si>
  <si>
    <t>Active and Pre-Employee badges are shown correctly with distinct colours</t>
  </si>
  <si>
    <t>TC-CHR-020</t>
  </si>
  <si>
    <t>Create employee</t>
  </si>
  <si>
    <t>Create an employee with all mandatory fields</t>
  </si>
  <si>
    <t>Logged in as HRMS admin amit (Amit Kumar Shaji, role HRMS / Administrator); on Core HR &gt; Employee, New Employee form (/employee) open</t>
  </si>
  <si>
    <t>Role Group Staff, User Level Team Member, Reports To Amit Kumar Shaji, Designation SOFTWARE TESTER, Branch Main Branch, First Name, Last Name, Display Name, Date of Birth, Gender, Phone, Email, Employment Type Full Time Employee, Status Active, Joining Date; Name: realistic person e.g. Rohan Varghese; Email: rohan.varghese@example.com</t>
  </si>
  <si>
    <t xml:space="preserve">1. Choose Role Group and User Level
2. Pick Reports To
3. Fill Designation, Branch, names, Date of Birth, Gender, Phone (Same as Phone ON), Email
4. Choose Work Location, Employment Type, Status, Joining Date
5. Fill present address, tick Same as Present
6. Set Login Username, keep Can Login ticked
7. Save</t>
  </si>
  <si>
    <t>Logged in as HRMS admin amit (Amit Kumar Shaji, role HRMS / Administrator); on Core HR &gt; Employee, New Employee form (/employee) open → Choose Role Group and User Level → Pick Reports To → Fill Designation, Branch, names, Date of Birth, Gender, Phone (Same as Phone ON), Email → Choose Work Location, Employment Type, Status, Joining Date → Fill present address, tick Same as Present → Set Login Username, keep Can Login ticked → Save</t>
  </si>
  <si>
    <t>Success / redirect to /employees; employee listed with a new auto-generated code (e.g. pbhrms0xxx); "Login created for &lt;name&gt;" dialog shows username and password = code</t>
  </si>
  <si>
    <t>/employee</t>
  </si>
  <si>
    <t>TC-CHR-021</t>
  </si>
  <si>
    <t>Employee Code is auto-generated and read-only</t>
  </si>
  <si>
    <t>1. Observe the Employee Code field on the new form</t>
  </si>
  <si>
    <t>Logged in as HRMS admin amit (Amit Kumar Shaji, role HRMS / Administrator); on Core HR &gt; Employee, New Employee form (/employee) open → Observe the Employee Code field on the new form</t>
  </si>
  <si>
    <t>Employee Code is pre-filled/assigned automatically and the input is disabled</t>
  </si>
  <si>
    <t>SRS FR-CH-002 says code is overridable; live build disables it — confirm intended behaviour</t>
  </si>
  <si>
    <t>TC-CHR-022</t>
  </si>
  <si>
    <t>Reports To and login fields appear after Role Group + User Level</t>
  </si>
  <si>
    <t xml:space="preserve">1. Open the form
2. Observe Reports To / Login Username
3. Choose Role Group Staff and User Level Team Member</t>
  </si>
  <si>
    <t>Logged in as HRMS admin amit (Amit Kumar Shaji, role HRMS / Administrator); on Core HR &gt; Employee, New Employee form (/employee) open → Open the form → Observe Reports To / Login Username → Choose Role Group Staff and User Level Team Member</t>
  </si>
  <si>
    <t>Reports To, Login Username, Can Login (ticked by default) and All Branches render only after both are chosen; Reports To options load</t>
  </si>
  <si>
    <t>TC-CHR-023</t>
  </si>
  <si>
    <t>Same as Phone copies phone to WhatsApp</t>
  </si>
  <si>
    <t>Phone: 9876543210</t>
  </si>
  <si>
    <t xml:space="preserve">1. Enter Phone
2. Tick Same as Phone</t>
  </si>
  <si>
    <t>Logged in as HRMS admin amit (Amit Kumar Shaji, role HRMS / Administrator); on Core HR &gt; Employee, New Employee form (/employee) open → Enter Phone → Tick Same as Phone</t>
  </si>
  <si>
    <t>WhatsApp number equals the phone and is not separately editable while ticked</t>
  </si>
  <si>
    <t>TC-CHR-024</t>
  </si>
  <si>
    <t>Same as Present copies the address</t>
  </si>
  <si>
    <t xml:space="preserve">1. Fill present Country/State/City/Pincode/Address lines
2. Tick Same as Present
3. Save
4. Open the profile Address tab</t>
  </si>
  <si>
    <t>Logged in as HRMS admin amit (Amit Kumar Shaji, role HRMS / Administrator); on Core HR &gt; Employee, New Employee form (/employee) open → Fill present Country/State/City/Pincode/Address lines → Tick Same as Present → Save → Open the profile Address tab</t>
  </si>
  <si>
    <t>Permanent address inputs hide; saved permanent address equals present address</t>
  </si>
  <si>
    <t>FR-CH-014</t>
  </si>
  <si>
    <t>TC-CHR-025</t>
  </si>
  <si>
    <t>Address Country → State → City cascade</t>
  </si>
  <si>
    <t xml:space="preserve">1. Choose Country India
2. Open State
3. Choose Kerala
4. Open City</t>
  </si>
  <si>
    <t>Logged in as HRMS admin amit (Amit Kumar Shaji, role HRMS / Administrator); on Core HR &gt; Employee, New Employee form (/employee) open → Choose Country India → Open State → Choose Kerala → Open City</t>
  </si>
  <si>
    <t>State list loads only after country; City list only after state; changing Country clears State and City</t>
  </si>
  <si>
    <t>TC-CHR-026</t>
  </si>
  <si>
    <t>Create with all optional fields filled</t>
  </si>
  <si>
    <t>Honorific Mr; Marital Single; Work Location Office</t>
  </si>
  <si>
    <t xml:space="preserve">1. Fill all mandatory fields
2. Also fill Honorific, Marital Status, Work Location, both addresses, photo
3. Save</t>
  </si>
  <si>
    <t>Logged in as HRMS admin amit (Amit Kumar Shaji, role HRMS / Administrator); on Core HR &gt; Employee, New Employee form (/employee) open → Fill all mandatory fields → Also fill Honorific, Marital Status, Work Location, both addresses, photo → Save</t>
  </si>
  <si>
    <t>Employee saved; all optional values visible on the profile view</t>
  </si>
  <si>
    <t>TC-CHR-027</t>
  </si>
  <si>
    <t>Create employee with status Pre-Employee</t>
  </si>
  <si>
    <t xml:space="preserve">1. Fill mandatory fields
2. Choose Status Pre-Employee
3. Save</t>
  </si>
  <si>
    <t>Logged in as HRMS admin amit (Amit Kumar Shaji, role HRMS / Administrator); on Core HR &gt; Employee, New Employee form (/employee) open → Fill mandatory fields → Choose Status Pre-Employee → Save</t>
  </si>
  <si>
    <t>Employee saved with Pre-Employee badge in list and profile</t>
  </si>
  <si>
    <t>Live Status options: Active / Pre-Employee (SRS also allows Probation on create)</t>
  </si>
  <si>
    <t>TC-CHR-028</t>
  </si>
  <si>
    <t>Joined history event written on create</t>
  </si>
  <si>
    <t>Logged in as HRMS admin amit (Amit Kumar Shaji, role HRMS / Administrator); employee just created</t>
  </si>
  <si>
    <t xml:space="preserve">1. Open the new employee's profile
2. Open History / Lifecycle tab</t>
  </si>
  <si>
    <t>Logged in as HRMS admin amit (Amit Kumar Shaji, role HRMS / Administrator); employee just created → Open the new employee's profile → Open History / Lifecycle tab</t>
  </si>
  <si>
    <t>A single "Joined" event with the joining date is shown</t>
  </si>
  <si>
    <t>§4.8</t>
  </si>
  <si>
    <t>TC-CHR-029</t>
  </si>
  <si>
    <t>Success redirects to the list</t>
  </si>
  <si>
    <t xml:space="preserve">1. Create a valid employee
2. Close the login dialog</t>
  </si>
  <si>
    <t>Logged in as HRMS admin amit (Amit Kumar Shaji, role HRMS / Administrator); on Core HR &gt; Employee, New Employee form (/employee) open → Create a valid employee → Close the login dialog</t>
  </si>
  <si>
    <t>User returns to /employees and the new employee is findable by code</t>
  </si>
  <si>
    <t>TC-CHR-030</t>
  </si>
  <si>
    <t>Save is guarded against double click</t>
  </si>
  <si>
    <t xml:space="preserve">1. Fill a valid employee
2. Double-click Save rapidly</t>
  </si>
  <si>
    <t>Logged in as HRMS admin amit (Amit Kumar Shaji, role HRMS / Administrator); on Core HR &gt; Employee, New Employee form (/employee) open → Fill a valid employee → Double-click Save rapidly</t>
  </si>
  <si>
    <t>Only one employee is created (no duplicate code/phone error, no second row)</t>
  </si>
  <si>
    <t>FR-CH-013</t>
  </si>
  <si>
    <t>TC-CHR-031</t>
  </si>
  <si>
    <t>Cancel / navigate away does not save</t>
  </si>
  <si>
    <t xml:space="preserve">1. Fill some fields
2. Click Back/Cancel or a sidebar link</t>
  </si>
  <si>
    <t>Logged in as HRMS admin amit (Amit Kumar Shaji, role HRMS / Administrator); on Core HR &gt; Employee, New Employee form (/employee) open → Fill some fields → Click Back/Cancel or a sidebar link</t>
  </si>
  <si>
    <t>No employee is created</t>
  </si>
  <si>
    <t>TC-CHR-032</t>
  </si>
  <si>
    <t>First Name missing blocks save</t>
  </si>
  <si>
    <t>Role Group Staff, User Level Team Member, Reports To Amit Kumar Shaji, Designation SOFTWARE TESTER, Branch Main Branch, First Name, Last Name, Display Name, Date of Birth, Gender, Phone, Email, Employment Type Full Time Employee, Status Active, Joining Date minus First Name</t>
  </si>
  <si>
    <t xml:space="preserve">1. Fill every mandatory field except First Name
2. Click Save</t>
  </si>
  <si>
    <t>Logged in as HRMS admin amit (Amit Kumar Shaji, role HRMS / Administrator); on Core HR &gt; Employee, New Employee form (/employee) open → Fill every mandatory field except First Name → Click Save</t>
  </si>
  <si>
    <t>Save blocked; message "Please Enter First Name."; field highlighted and scrolled into view; no employee created</t>
  </si>
  <si>
    <t>Core HR SRS §10.2</t>
  </si>
  <si>
    <t>TC-CHR-033</t>
  </si>
  <si>
    <t>Display Name missing blocks save</t>
  </si>
  <si>
    <t>Role Group Staff, User Level Team Member, Reports To Amit Kumar Shaji, Designation SOFTWARE TESTER, Branch Main Branch, First Name, Last Name, Display Name, Date of Birth, Gender, Phone, Email, Employment Type Full Time Employee, Status Active, Joining Date minus Display Name</t>
  </si>
  <si>
    <t xml:space="preserve">1. Fill every mandatory field except Display Name
2. Click Save</t>
  </si>
  <si>
    <t>Logged in as HRMS admin amit (Amit Kumar Shaji, role HRMS / Administrator); on Core HR &gt; Employee, New Employee form (/employee) open → Fill every mandatory field except Display Name → Click Save</t>
  </si>
  <si>
    <t>Save blocked; message "Please enter a Display Name."; field highlighted and scrolled into view; no employee created</t>
  </si>
  <si>
    <t>TC-CHR-034</t>
  </si>
  <si>
    <t>Date of Birth missing blocks save</t>
  </si>
  <si>
    <t>Role Group Staff, User Level Team Member, Reports To Amit Kumar Shaji, Designation SOFTWARE TESTER, Branch Main Branch, First Name, Last Name, Display Name, Date of Birth, Gender, Phone, Email, Employment Type Full Time Employee, Status Active, Joining Date minus Date of Birth</t>
  </si>
  <si>
    <t xml:space="preserve">1. Fill every mandatory field except Date of Birth
2. Click Save</t>
  </si>
  <si>
    <t>Logged in as HRMS admin amit (Amit Kumar Shaji, role HRMS / Administrator); on Core HR &gt; Employee, New Employee form (/employee) open → Fill every mandatory field except Date of Birth → Click Save</t>
  </si>
  <si>
    <t>Save blocked; message "Please enter the Date of Birth."; field highlighted and scrolled into view; no employee created</t>
  </si>
  <si>
    <t>TC-CHR-035</t>
  </si>
  <si>
    <t>Phone missing blocks save</t>
  </si>
  <si>
    <t>Role Group Staff, User Level Team Member, Reports To Amit Kumar Shaji, Designation SOFTWARE TESTER, Branch Main Branch, First Name, Last Name, Display Name, Date of Birth, Gender, Phone, Email, Employment Type Full Time Employee, Status Active, Joining Date minus Phone</t>
  </si>
  <si>
    <t xml:space="preserve">1. Fill every mandatory field except Phone
2. Click Save</t>
  </si>
  <si>
    <t>Logged in as HRMS admin amit (Amit Kumar Shaji, role HRMS / Administrator); on Core HR &gt; Employee, New Employee form (/employee) open → Fill every mandatory field except Phone → Click Save</t>
  </si>
  <si>
    <t>Save blocked; message "phone required / The phone number is not valid."; field highlighted and scrolled into view; no employee created</t>
  </si>
  <si>
    <t>TC-CHR-036</t>
  </si>
  <si>
    <t>Email missing blocks save</t>
  </si>
  <si>
    <t>Role Group Staff, User Level Team Member, Reports To Amit Kumar Shaji, Designation SOFTWARE TESTER, Branch Main Branch, First Name, Last Name, Display Name, Date of Birth, Gender, Phone, Email, Employment Type Full Time Employee, Status Active, Joining Date minus Email</t>
  </si>
  <si>
    <t xml:space="preserve">1. Fill every mandatory field except Email
2. Click Save</t>
  </si>
  <si>
    <t>Logged in as HRMS admin amit (Amit Kumar Shaji, role HRMS / Administrator); on Core HR &gt; Employee, New Employee form (/employee) open → Fill every mandatory field except Email → Click Save</t>
  </si>
  <si>
    <t>Save blocked; message "Please provide a valid email address."; field highlighted and scrolled into view; no employee created</t>
  </si>
  <si>
    <t>TC-CHR-037</t>
  </si>
  <si>
    <t>Role Group missing blocks save</t>
  </si>
  <si>
    <t>Role Group Staff, User Level Team Member, Reports To Amit Kumar Shaji, Designation SOFTWARE TESTER, Branch Main Branch, First Name, Last Name, Display Name, Date of Birth, Gender, Phone, Email, Employment Type Full Time Employee, Status Active, Joining Date minus Role Group</t>
  </si>
  <si>
    <t xml:space="preserve">1. Fill every mandatory field except Role Group
2. Click Save</t>
  </si>
  <si>
    <t>Logged in as HRMS admin amit (Amit Kumar Shaji, role HRMS / Administrator); on Core HR &gt; Employee, New Employee form (/employee) open → Fill every mandatory field except Role Group → Click Save</t>
  </si>
  <si>
    <t>Save blocked; message "Please choose Role Group."; field highlighted and scrolled into view; no employee created</t>
  </si>
  <si>
    <t>TC-CHR-038</t>
  </si>
  <si>
    <t>User Level missing blocks save</t>
  </si>
  <si>
    <t>Role Group Staff, User Level Team Member, Reports To Amit Kumar Shaji, Designation SOFTWARE TESTER, Branch Main Branch, First Name, Last Name, Display Name, Date of Birth, Gender, Phone, Email, Employment Type Full Time Employee, Status Active, Joining Date minus User Level</t>
  </si>
  <si>
    <t xml:space="preserve">1. Fill every mandatory field except User Level
2. Click Save</t>
  </si>
  <si>
    <t>Logged in as HRMS admin amit (Amit Kumar Shaji, role HRMS / Administrator); on Core HR &gt; Employee, New Employee form (/employee) open → Fill every mandatory field except User Level → Click Save</t>
  </si>
  <si>
    <t>Save blocked; message "Please choose user level"; field highlighted and scrolled into view; no employee created</t>
  </si>
  <si>
    <t>TC-CHR-039</t>
  </si>
  <si>
    <t>Reports To missing blocks save</t>
  </si>
  <si>
    <t>Role Group Staff, User Level Team Member, Reports To Amit Kumar Shaji, Designation SOFTWARE TESTER, Branch Main Branch, First Name, Last Name, Display Name, Date of Birth, Gender, Phone, Email, Employment Type Full Time Employee, Status Active, Joining Date minus Reports To</t>
  </si>
  <si>
    <t xml:space="preserve">1. Fill every mandatory field except Reports To
2. Click Save</t>
  </si>
  <si>
    <t>Logged in as HRMS admin amit (Amit Kumar Shaji, role HRMS / Administrator); on Core HR &gt; Employee, New Employee form (/employee) open → Fill every mandatory field except Reports To → Click Save</t>
  </si>
  <si>
    <t>Save blocked; message "Please choose a report person from a higher level"; field highlighted and scrolled into view; no employee created</t>
  </si>
  <si>
    <t>TC-CHR-040</t>
  </si>
  <si>
    <t>Designation missing blocks save</t>
  </si>
  <si>
    <t>Role Group Staff, User Level Team Member, Reports To Amit Kumar Shaji, Designation SOFTWARE TESTER, Branch Main Branch, First Name, Last Name, Display Name, Date of Birth, Gender, Phone, Email, Employment Type Full Time Employee, Status Active, Joining Date minus Designation</t>
  </si>
  <si>
    <t xml:space="preserve">1. Fill every mandatory field except Designation
2. Click Save</t>
  </si>
  <si>
    <t>Logged in as HRMS admin amit (Amit Kumar Shaji, role HRMS / Administrator); on Core HR &gt; Employee, New Employee form (/employee) open → Fill every mandatory field except Designation → Click Save</t>
  </si>
  <si>
    <t>Save blocked; message "designation required"; field highlighted and scrolled into view; no employee created</t>
  </si>
  <si>
    <t>TC-CHR-041</t>
  </si>
  <si>
    <t>Branch missing blocks save</t>
  </si>
  <si>
    <t>Role Group Staff, User Level Team Member, Reports To Amit Kumar Shaji, Designation SOFTWARE TESTER, Branch Main Branch, First Name, Last Name, Display Name, Date of Birth, Gender, Phone, Email, Employment Type Full Time Employee, Status Active, Joining Date minus Branch</t>
  </si>
  <si>
    <t xml:space="preserve">1. Fill every mandatory field except Branch
2. Click Save</t>
  </si>
  <si>
    <t>Logged in as HRMS admin amit (Amit Kumar Shaji, role HRMS / Administrator); on Core HR &gt; Employee, New Employee form (/employee) open → Fill every mandatory field except Branch → Click Save</t>
  </si>
  <si>
    <t>Save blocked; message "branch required"; field highlighted and scrolled into view; no employee created</t>
  </si>
  <si>
    <t>TC-CHR-042</t>
  </si>
  <si>
    <t>Employment Type missing blocks save</t>
  </si>
  <si>
    <t>Role Group Staff, User Level Team Member, Reports To Amit Kumar Shaji, Designation SOFTWARE TESTER, Branch Main Branch, First Name, Last Name, Display Name, Date of Birth, Gender, Phone, Email, Employment Type Full Time Employee, Status Active, Joining Date minus Employment Type</t>
  </si>
  <si>
    <t xml:space="preserve">1. Fill every mandatory field except Employment Type
2. Click Save</t>
  </si>
  <si>
    <t>Logged in as HRMS admin amit (Amit Kumar Shaji, role HRMS / Administrator); on Core HR &gt; Employee, New Employee form (/employee) open → Fill every mandatory field except Employment Type → Click Save</t>
  </si>
  <si>
    <t>Save blocked; message "Please choose Employee Type."; field highlighted and scrolled into view; no employee created</t>
  </si>
  <si>
    <t>TC-CHR-043</t>
  </si>
  <si>
    <t>Joining Date missing blocks save</t>
  </si>
  <si>
    <t>Role Group Staff, User Level Team Member, Reports To Amit Kumar Shaji, Designation SOFTWARE TESTER, Branch Main Branch, First Name, Last Name, Display Name, Date of Birth, Gender, Phone, Email, Employment Type Full Time Employee, Status Active, Joining Date minus Joining Date</t>
  </si>
  <si>
    <t xml:space="preserve">1. Fill every mandatory field except Joining Date
2. Click Save</t>
  </si>
  <si>
    <t>Logged in as HRMS admin amit (Amit Kumar Shaji, role HRMS / Administrator); on Core HR &gt; Employee, New Employee form (/employee) open → Fill every mandatory field except Joining Date → Click Save</t>
  </si>
  <si>
    <t>Save blocked; message "Please choose joining date"; field highlighted and scrolled into view; no employee created</t>
  </si>
  <si>
    <t>TC-CHR-044</t>
  </si>
  <si>
    <t>Gender missing blocks save</t>
  </si>
  <si>
    <t>Role Group Staff, User Level Team Member, Reports To Amit Kumar Shaji, Designation SOFTWARE TESTER, Branch Main Branch, First Name, Last Name, Display Name, Date of Birth, Gender, Phone, Email, Employment Type Full Time Employee, Status Active, Joining Date minus Gender</t>
  </si>
  <si>
    <t xml:space="preserve">1. Fill every mandatory field except Gender
2. Click Save</t>
  </si>
  <si>
    <t>Logged in as HRMS admin amit (Amit Kumar Shaji, role HRMS / Administrator); on Core HR &gt; Employee, New Employee form (/employee) open → Fill every mandatory field except Gender → Click Save</t>
  </si>
  <si>
    <t>Save blocked; message "gender required"; field highlighted and scrolled into view; no employee created</t>
  </si>
  <si>
    <t>SRS lists Gender optional; live create form marks it — confirm</t>
  </si>
  <si>
    <t>TC-CHR-045</t>
  </si>
  <si>
    <t>Save with an empty form lists all outstanding fields</t>
  </si>
  <si>
    <t>1. Click Save without filling anything</t>
  </si>
  <si>
    <t>Logged in as HRMS admin amit (Amit Kumar Shaji, role HRMS / Administrator); on Core HR &gt; Employee, New Employee form (/employee) open → Click Save without filling anything</t>
  </si>
  <si>
    <t>One consolidated message lists the outstanding items; after dismissing, the page scrolls to the first missing field; required fields carry a red asterisk</t>
  </si>
  <si>
    <t>§10.1</t>
  </si>
  <si>
    <t>TC-CHR-046</t>
  </si>
  <si>
    <t>Required fields are marked with an asterisk</t>
  </si>
  <si>
    <t>1. Inspect field labels</t>
  </si>
  <si>
    <t>Logged in as HRMS admin amit (Amit Kumar Shaji, role HRMS / Administrator); on Core HR &gt; Employee, New Employee form (/employee) open → Inspect field labels</t>
  </si>
  <si>
    <t>Every mandatory field label shows a red *</t>
  </si>
  <si>
    <t>§11.6</t>
  </si>
  <si>
    <t>TC-CHR-047</t>
  </si>
  <si>
    <t>Field validation</t>
  </si>
  <si>
    <t>Digits in First Name rejected</t>
  </si>
  <si>
    <t>Rohan2</t>
  </si>
  <si>
    <t xml:space="preserve">1. Enter "Rohan2" in First Name
2. Tab out
3. Save</t>
  </si>
  <si>
    <t>Logged in as HRMS admin amit (Amit Kumar Shaji, role HRMS / Administrator); on Core HR &gt; Employee, New Employee form (/employee) open → Enter "Rohan2" in First Name → Tab out → Save</t>
  </si>
  <si>
    <t>Inline and on-save message "First Name may contain only letters."</t>
  </si>
  <si>
    <t>§7.2</t>
  </si>
  <si>
    <t>TC-CHR-048</t>
  </si>
  <si>
    <t>Special characters in First Name rejected</t>
  </si>
  <si>
    <t>Ro@han#</t>
  </si>
  <si>
    <t xml:space="preserve">1. Enter "Ro@han#" in First Name
2. Save</t>
  </si>
  <si>
    <t>Logged in as HRMS admin amit (Amit Kumar Shaji, role HRMS / Administrator); on Core HR &gt; Employee, New Employee form (/employee) open → Enter "Ro@han#" in First Name → Save</t>
  </si>
  <si>
    <t>Save blocked with the letters-only message</t>
  </si>
  <si>
    <t>TC-CHR-049</t>
  </si>
  <si>
    <t>Allowed punctuation in names accepted</t>
  </si>
  <si>
    <t>Mary-Ann / D'Souza</t>
  </si>
  <si>
    <t xml:space="preserve">1. Enter First Name "Mary-Ann" and Last Name "D'Souza"
2. Fill the rest
3. Save</t>
  </si>
  <si>
    <t>Logged in as HRMS admin amit (Amit Kumar Shaji, role HRMS / Administrator); on Core HR &gt; Employee, New Employee form (/employee) open → Enter First Name "Mary-Ann" and Last Name "D'Souza" → Fill the rest → Save</t>
  </si>
  <si>
    <t>Accepted — space, dot, apostrophe and hyphen are allowed</t>
  </si>
  <si>
    <t>TC-CHR-050</t>
  </si>
  <si>
    <t>Name must start with a letter</t>
  </si>
  <si>
    <t>.Rohan</t>
  </si>
  <si>
    <t xml:space="preserve">1. Enter First Name ".Rohan"
2. Save</t>
  </si>
  <si>
    <t>Logged in as HRMS admin amit (Amit Kumar Shaji, role HRMS / Administrator); on Core HR &gt; Employee, New Employee form (/employee) open → Enter First Name ".Rohan" → Save</t>
  </si>
  <si>
    <t>Rejected — name must start with a letter</t>
  </si>
  <si>
    <t>TC-CHR-051</t>
  </si>
  <si>
    <t>Digits in Last Name rejected</t>
  </si>
  <si>
    <t>Nair3</t>
  </si>
  <si>
    <t xml:space="preserve">1. Enter Last Name "Nair3"
2. Save</t>
  </si>
  <si>
    <t>Logged in as HRMS admin amit (Amit Kumar Shaji, role HRMS / Administrator); on Core HR &gt; Employee, New Employee form (/employee) open → Enter Last Name "Nair3" → Save</t>
  </si>
  <si>
    <t>Save blocked with a letters-only message for Last Name</t>
  </si>
  <si>
    <t>TC-CHR-052</t>
  </si>
  <si>
    <t>Digits in Display Name rejected</t>
  </si>
  <si>
    <t>Rohan V 2</t>
  </si>
  <si>
    <t xml:space="preserve">1. Enter Display Name "Rohan V 2"
2. Save</t>
  </si>
  <si>
    <t>Logged in as HRMS admin amit (Amit Kumar Shaji, role HRMS / Administrator); on Core HR &gt; Employee, New Employee form (/employee) open → Enter Display Name "Rohan V 2" → Save</t>
  </si>
  <si>
    <t>Save blocked; Display Name follows the First Name character rule</t>
  </si>
  <si>
    <t>TC-CHR-053</t>
  </si>
  <si>
    <t>First Name max length 30</t>
  </si>
  <si>
    <t>30 / 31 × "a"</t>
  </si>
  <si>
    <t xml:space="preserve">1. Enter 30 letters in First Name
2. Then 31 letters
3. Save each time</t>
  </si>
  <si>
    <t>Logged in as HRMS admin amit (Amit Kumar Shaji, role HRMS / Administrator); on Core HR &gt; Employee, New Employee form (/employee) open → Enter 30 letters in First Name → Then 31 letters → Save each time</t>
  </si>
  <si>
    <t>30 accepted; 31 blocked or truncated with a message</t>
  </si>
  <si>
    <t>TC-CHR-054</t>
  </si>
  <si>
    <t>Leading/trailing spaces in names trimmed and capitalised</t>
  </si>
  <si>
    <t xml:space="preserve">1. Enter First Name "  rohan  "
2. Fill rest
3. Save
4. Open profile</t>
  </si>
  <si>
    <t>Logged in as HRMS admin amit (Amit Kumar Shaji, role HRMS / Administrator); on Core HR &gt; Employee, New Employee form (/employee) open → Enter First Name "  rohan  " → Fill rest → Save → Open profile</t>
  </si>
  <si>
    <t>Saved as "Rohan" — trimmed and capitalised; no error for surrounding blanks</t>
  </si>
  <si>
    <t>TC-CHR-055</t>
  </si>
  <si>
    <t>Future Date of Birth rejected</t>
  </si>
  <si>
    <t>DOB: tomorrow</t>
  </si>
  <si>
    <t xml:space="preserve">1. Enter Date of Birth tomorrow
2. Save</t>
  </si>
  <si>
    <t>Logged in as HRMS admin amit (Amit Kumar Shaji, role HRMS / Administrator); on Core HR &gt; Employee, New Employee form (/employee) open → Enter Date of Birth tomorrow → Save</t>
  </si>
  <si>
    <t>"Date of Birth cannot be a future date." Save blocked</t>
  </si>
  <si>
    <t>FR-CH-008</t>
  </si>
  <si>
    <t>TC-CHR-056</t>
  </si>
  <si>
    <t>Date of Birth today accepted / age 0</t>
  </si>
  <si>
    <t xml:space="preserve">1. Enter today as Date of Birth
2. Save</t>
  </si>
  <si>
    <t>Logged in as HRMS admin amit (Amit Kumar Shaji, role HRMS / Administrator); on Core HR &gt; Employee, New Employee form (/employee) open → Enter today as Date of Birth → Save</t>
  </si>
  <si>
    <t>Accepted (no minimum age enforced) or blocked consistently; Age shows 0</t>
  </si>
  <si>
    <t>TC-CHR-057</t>
  </si>
  <si>
    <t>Age is computed from Date of Birth</t>
  </si>
  <si>
    <t>1. Enter Date of Birth 1995-06-15</t>
  </si>
  <si>
    <t>Logged in as HRMS admin amit (Amit Kumar Shaji, role HRMS / Administrator); on Core HR &gt; Employee, New Employee form (/employee) open → Enter Date of Birth 1995-06-15</t>
  </si>
  <si>
    <t>Read-only Age shows completed years (31 on 2026-10-20)</t>
  </si>
  <si>
    <t>§12.1</t>
  </si>
  <si>
    <t>TC-CHR-058</t>
  </si>
  <si>
    <t>Invalid phone format rejected</t>
  </si>
  <si>
    <t>98abc43210</t>
  </si>
  <si>
    <t xml:space="preserve">1. Enter Phone "98abc43210"
2. Save</t>
  </si>
  <si>
    <t>Logged in as HRMS admin amit (Amit Kumar Shaji, role HRMS / Administrator); on Core HR &gt; Employee, New Employee form (/employee) open → Enter Phone "98abc43210" → Save</t>
  </si>
  <si>
    <t>"The phone number is not valid." Save blocked</t>
  </si>
  <si>
    <t>§10.2</t>
  </si>
  <si>
    <t>TC-CHR-059</t>
  </si>
  <si>
    <t>Phone length boundaries</t>
  </si>
  <si>
    <t>1 / 16 / 10 digits</t>
  </si>
  <si>
    <t xml:space="preserve">1. Enter a 1-digit phone
2. Save
3. Enter a 16-digit phone
4. Save
5. Enter a valid 10-digit phone</t>
  </si>
  <si>
    <t>Logged in as HRMS admin amit (Amit Kumar Shaji, role HRMS / Administrator); on Core HR &gt; Employee, New Employee form (/employee) open → Enter a 1-digit phone → Save → Enter a 16-digit phone → Save → Enter a valid 10-digit phone</t>
  </si>
  <si>
    <t>Too short/too long rejected; 10 digits accepted (E.164 shape, max 15 digits)</t>
  </si>
  <si>
    <t>§7.3</t>
  </si>
  <si>
    <t>TC-CHR-060</t>
  </si>
  <si>
    <t>Phone starting with 0 rejected</t>
  </si>
  <si>
    <t>0987654321</t>
  </si>
  <si>
    <t xml:space="preserve">1. Enter Phone 0987654321
2. Save</t>
  </si>
  <si>
    <t>Logged in as HRMS admin amit (Amit Kumar Shaji, role HRMS / Administrator); on Core HR &gt; Employee, New Employee form (/employee) open → Enter Phone 0987654321 → Save</t>
  </si>
  <si>
    <t>Rejected — first digit must be 1–9</t>
  </si>
  <si>
    <t>TC-CHR-061</t>
  </si>
  <si>
    <t>Invalid WhatsApp number when Same as Phone is off</t>
  </si>
  <si>
    <t>12ab</t>
  </si>
  <si>
    <t xml:space="preserve">1. Untick Same as Phone
2. Enter WhatsApp "12ab"
3. Save</t>
  </si>
  <si>
    <t>Logged in as HRMS admin amit (Amit Kumar Shaji, role HRMS / Administrator); on Core HR &gt; Employee, New Employee form (/employee) open → Untick Same as Phone → Enter WhatsApp "12ab" → Save</t>
  </si>
  <si>
    <t>"The WhatsApp number is not valid." Save blocked</t>
  </si>
  <si>
    <t>TC-CHR-062</t>
  </si>
  <si>
    <t>Invalid e-mail formats rejected</t>
  </si>
  <si>
    <t>rohan@ ; rohan.example.com</t>
  </si>
  <si>
    <t xml:space="preserve">1. Enter Email "rohan@"
2. Save
3. Try "rohan.example.com"
4. Save</t>
  </si>
  <si>
    <t>Logged in as HRMS admin amit (Amit Kumar Shaji, role HRMS / Administrator); on Core HR &gt; Employee, New Employee form (/employee) open → Enter Email "rohan@" → Save → Try "rohan.example.com" → Save</t>
  </si>
  <si>
    <t>"Please provide a valid email address." Save blocked</t>
  </si>
  <si>
    <t>TC-CHR-063</t>
  </si>
  <si>
    <t>Non-numeric pincode rejected</t>
  </si>
  <si>
    <t>68A016</t>
  </si>
  <si>
    <t xml:space="preserve">1. Enter Present Pincode "68A016"
2. Save</t>
  </si>
  <si>
    <t>Logged in as HRMS admin amit (Amit Kumar Shaji, role HRMS / Administrator); on Core HR &gt; Employee, New Employee form (/employee) open → Enter Present Pincode "68A016" → Save</t>
  </si>
  <si>
    <t>"Present address: Pincode may contain only digits." Save blocked</t>
  </si>
  <si>
    <t>TC-CHR-064</t>
  </si>
  <si>
    <t>Pincode longer than 10 digits</t>
  </si>
  <si>
    <t>68201612345</t>
  </si>
  <si>
    <t xml:space="preserve">1. Enter Pincode with 11 digits
2. Save</t>
  </si>
  <si>
    <t>Logged in as HRMS admin amit (Amit Kumar Shaji, role HRMS / Administrator); on Core HR &gt; Employee, New Employee form (/employee) open → Enter Pincode with 11 digits → Save</t>
  </si>
  <si>
    <t>Rejected or input capped at 10 characters</t>
  </si>
  <si>
    <t>TC-CHR-065</t>
  </si>
  <si>
    <t>Script text in address is stored as plain text</t>
  </si>
  <si>
    <t xml:space="preserve">1. Enter Address Line 1 "&lt;script&gt;alert(1)&lt;/script&gt;"
2. Save
3. Open profile</t>
  </si>
  <si>
    <t>Logged in as HRMS admin amit (Amit Kumar Shaji, role HRMS / Administrator); on Core HR &gt; Employee, New Employee form (/employee) open → Enter Address Line 1 "&lt;script&gt;alert(1)&lt;/script&gt;" → Save → Open profile</t>
  </si>
  <si>
    <t>No script executes on save or on the profile; text shown escaped</t>
  </si>
  <si>
    <t>TC-CHR-066</t>
  </si>
  <si>
    <t>Duplicates</t>
  </si>
  <si>
    <t>Duplicate phone rejected</t>
  </si>
  <si>
    <t>Logged in as HRMS admin amit (Amit Kumar Shaji, role HRMS / Administrator); on Core HR &gt; Employee, New Employee form (/employee) open; an employee with phone 9555232501 exists</t>
  </si>
  <si>
    <t xml:space="preserve">1. Fill a new employee with phone 9555232501
2. Save</t>
  </si>
  <si>
    <t>Logged in as HRMS admin amit (Amit Kumar Shaji, role HRMS / Administrator); on Core HR &gt; Employee, New Employee form (/employee) open; an employee with phone 9555232501 exists → Fill a new employee with phone 9555232501 → Save</t>
  </si>
  <si>
    <t>"&lt;owner&gt; Already Exist" — nothing created</t>
  </si>
  <si>
    <t>FR-CH-004</t>
  </si>
  <si>
    <t>TC-CHR-067</t>
  </si>
  <si>
    <t>Duplicate phone with country code prefix rejected</t>
  </si>
  <si>
    <t xml:space="preserve">1. Enter phone 919555232501
2. Save</t>
  </si>
  <si>
    <t>Logged in as HRMS admin amit (Amit Kumar Shaji, role HRMS / Administrator); on Core HR &gt; Employee, New Employee form (/employee) open; an employee with phone 9555232501 exists → Enter phone 919555232501 → Save</t>
  </si>
  <si>
    <t>Rejected as duplicate — comparison ignores the country code</t>
  </si>
  <si>
    <t>TC-CHR-068</t>
  </si>
  <si>
    <t>Duplicate e-mail rejected case-insensitively</t>
  </si>
  <si>
    <t>Logged in as HRMS admin amit (Amit Kumar Shaji, role HRMS / Administrator); on Core HR &gt; Employee, New Employee form (/employee) open; employee with rohan.varghese@example.com exists</t>
  </si>
  <si>
    <t xml:space="preserve">1. Enter ROHAN.VARGHESE@EXAMPLE.COM
2. Save</t>
  </si>
  <si>
    <t>Logged in as HRMS admin amit (Amit Kumar Shaji, role HRMS / Administrator); on Core HR &gt; Employee, New Employee form (/employee) open; employee with rohan.varghese@example.com exists → Enter ROHAN.VARGHESE@EXAMPLE.COM → Save</t>
  </si>
  <si>
    <t>Rejected as duplicate e-mail</t>
  </si>
  <si>
    <t>FR-CH-005</t>
  </si>
  <si>
    <t>TC-CHR-069</t>
  </si>
  <si>
    <t>Duplicate login username rejected</t>
  </si>
  <si>
    <t>Logged in as HRMS admin amit (Amit Kumar Shaji, role HRMS / Administrator); on Core HR &gt; Employee, New Employee form (/employee) open; username rohan.varghese already exists</t>
  </si>
  <si>
    <t xml:space="preserve">1. Enter Login Username rohan.varghese
2. Save</t>
  </si>
  <si>
    <t>Logged in as HRMS admin amit (Amit Kumar Shaji, role HRMS / Administrator); on Core HR &gt; Employee, New Employee form (/employee) open; username rohan.varghese already exists → Enter Login Username rohan.varghese → Save</t>
  </si>
  <si>
    <t>"Login Username 'rohan.varghese' already exists." nothing created</t>
  </si>
  <si>
    <t>TC-CHR-070</t>
  </si>
  <si>
    <t>Same person name allowed with different phone/e-mail</t>
  </si>
  <si>
    <t>Logged in as HRMS admin amit (Amit Kumar Shaji, role HRMS / Administrator); on Core HR &gt; Employee, New Employee form (/employee) open; an employee named Rohan Varghese exists</t>
  </si>
  <si>
    <t xml:space="preserve">1. Create another Rohan Varghese with unique phone, e-mail, username
2. Save</t>
  </si>
  <si>
    <t>Logged in as HRMS admin amit (Amit Kumar Shaji, role HRMS / Administrator); on Core HR &gt; Employee, New Employee form (/employee) open; an employee named Rohan Varghese exists → Create another Rohan Varghese with unique phone, e-mail, username → Save</t>
  </si>
  <si>
    <t>Saved — names are not unique; employees are told apart by code/e-mail</t>
  </si>
  <si>
    <t>TC-CHR-071</t>
  </si>
  <si>
    <t>Duplicate check messages are field-specific</t>
  </si>
  <si>
    <t xml:space="preserve">1. Enter a phone used by employee A and an e-mail used by employee B
2. Save</t>
  </si>
  <si>
    <t>Logged in as HRMS admin amit (Amit Kumar Shaji, role HRMS / Administrator); on Core HR &gt; Employee, New Employee form (/employee) open → Enter a phone used by employee A and an e-mail used by employee B → Save</t>
  </si>
  <si>
    <t>Message identifies the clashing field(s); one clash is not masked by another</t>
  </si>
  <si>
    <t>§10.3</t>
  </si>
  <si>
    <t>TC-CHR-072</t>
  </si>
  <si>
    <t>Login creation</t>
  </si>
  <si>
    <t>Login is created on save and shown once</t>
  </si>
  <si>
    <t>Username: rohan.varghese</t>
  </si>
  <si>
    <t xml:space="preserve">1. Create a valid employee with Login Username set and Can Login ticked
2. Read the dialog</t>
  </si>
  <si>
    <t>Logged in as HRMS admin amit (Amit Kumar Shaji, role HRMS / Administrator); on Core HR &gt; Employee, New Employee form (/employee) open → Create a valid employee with Login Username set and Can Login ticked → Read the dialog</t>
  </si>
  <si>
    <t>"Login created for &lt;name&gt;" dialog shows the Username and Password = the new employee code</t>
  </si>
  <si>
    <t>TC-CHR-073</t>
  </si>
  <si>
    <t>Employee can sign in with username + employee code</t>
  </si>
  <si>
    <t>An employee created with Can Login ticked</t>
  </si>
  <si>
    <t xml:space="preserve">1. Log out
2. Sign in with company code pbhrms, the Login Username and the employee code as password</t>
  </si>
  <si>
    <t>An employee created with Can Login ticked → Log out → Sign in with company code pbhrms, the Login Username and the employee code as password</t>
  </si>
  <si>
    <t>Sign-in succeeds; employee lands on Home with self-service menus</t>
  </si>
  <si>
    <t>Linear 056 Leave Approval — employeeAppliesManagerApproves (run employee signs in with code password)</t>
  </si>
  <si>
    <t>TC-CHR-074</t>
  </si>
  <si>
    <t>Blank Login Username defaults to the employee code</t>
  </si>
  <si>
    <t xml:space="preserve">1. Fill mandatory fields
2. Leave Login Username empty
3. Save</t>
  </si>
  <si>
    <t>Logged in as HRMS admin amit (Amit Kumar Shaji, role HRMS / Administrator); on Core HR &gt; Employee, New Employee form (/employee) open → Fill mandatory fields → Leave Login Username empty → Save</t>
  </si>
  <si>
    <t>Login created with username = employee code (dialog shows it)</t>
  </si>
  <si>
    <t>FR-CH-006</t>
  </si>
  <si>
    <t>TC-CHR-075</t>
  </si>
  <si>
    <t>Can Login unticked creates no usable login</t>
  </si>
  <si>
    <t xml:space="preserve">1. Fill mandatory fields
2. Untick Can Login
3. Save
4. Try signing in as that user</t>
  </si>
  <si>
    <t>Logged in as HRMS admin amit (Amit Kumar Shaji, role HRMS / Administrator); on Core HR &gt; Employee, New Employee form (/employee) open → Fill mandatory fields → Untick Can Login → Save → Try signing in as that user</t>
  </si>
  <si>
    <t>No login dialog (or login disabled); sign-in is refused</t>
  </si>
  <si>
    <t>TC-CHR-076</t>
  </si>
  <si>
    <t>Can Login is ticked by default</t>
  </si>
  <si>
    <t xml:space="preserve">1. Choose Role Group and User Level
2. Observe Can Login</t>
  </si>
  <si>
    <t>Logged in as HRMS admin amit (Amit Kumar Shaji, role HRMS / Administrator); on Core HR &gt; Employee, New Employee form (/employee) open → Choose Role Group and User Level → Observe Can Login</t>
  </si>
  <si>
    <t>Can Login checkbox is ticked by default</t>
  </si>
  <si>
    <t>TC-CHR-077</t>
  </si>
  <si>
    <t>Role Group drives the employee's menus</t>
  </si>
  <si>
    <t>Employee created with Role Group Staff</t>
  </si>
  <si>
    <t xml:space="preserve">1. Sign in as the employee
2. Inspect the sidebar</t>
  </si>
  <si>
    <t>Employee created with Role Group Staff → Sign in as the employee → Inspect the sidebar</t>
  </si>
  <si>
    <t>Only Staff-permitted menus (My Workspace etc.) are shown</t>
  </si>
  <si>
    <t>TC-CHR-078</t>
  </si>
  <si>
    <t>All Branches access checkbox</t>
  </si>
  <si>
    <t xml:space="preserve">1. Tick All Branches
2. Save
3. Sign in as employee where branch pickers exist</t>
  </si>
  <si>
    <t>Logged in as HRMS admin amit (Amit Kumar Shaji, role HRMS / Administrator); on Core HR &gt; Employee, New Employee form (/employee) open → Tick All Branches → Save → Sign in as employee where branch pickers exist</t>
  </si>
  <si>
    <t>Employee can see/select all branches where their role permits</t>
  </si>
  <si>
    <t>TC-CHR-079</t>
  </si>
  <si>
    <t>Password is not displayed again after the dialog</t>
  </si>
  <si>
    <t>Logged in as HRMS admin amit (Amit Kumar Shaji, role HRMS / Administrator); employee created</t>
  </si>
  <si>
    <t xml:space="preserve">1. Close the login dialog
2. Open the employee Edit form</t>
  </si>
  <si>
    <t>Logged in as HRMS admin amit (Amit Kumar Shaji, role HRMS / Administrator); employee created → Close the login dialog → Open the employee Edit form</t>
  </si>
  <si>
    <t>No password field or plain-text password is shown anywhere afterwards</t>
  </si>
  <si>
    <t>TC-CHR-080</t>
  </si>
  <si>
    <t>Login username with spaces/special characters</t>
  </si>
  <si>
    <t xml:space="preserve">1. Enter Login Username "rohan v@#"
2. Save</t>
  </si>
  <si>
    <t>Logged in as HRMS admin amit (Amit Kumar Shaji, role HRMS / Administrator); on Core HR &gt; Employee, New Employee form (/employee) open → Enter Login Username "rohan v@#" → Save</t>
  </si>
  <si>
    <t>Rejected with a format message, or sanitised consistently; no broken login</t>
  </si>
  <si>
    <t>TC-CHR-081</t>
  </si>
  <si>
    <t>Reports To</t>
  </si>
  <si>
    <t>Reports To lists only higher-level users</t>
  </si>
  <si>
    <t xml:space="preserve">1. Choose User Level Team Member
2. Open Reports To</t>
  </si>
  <si>
    <t>Logged in as HRMS admin amit (Amit Kumar Shaji, role HRMS / Administrator); on Core HR &gt; Employee, New Employee form (/employee) open → Choose User Level Team Member → Open Reports To</t>
  </si>
  <si>
    <t>Options are people at a higher level (e.g. Amit Kumar Shaji); Team Members are not offered</t>
  </si>
  <si>
    <t>FR-CH-010</t>
  </si>
  <si>
    <t>TC-CHR-082</t>
  </si>
  <si>
    <t>Top level (Administrator) does not require Reports To</t>
  </si>
  <si>
    <t xml:space="preserve">1. Choose User Level Administrator
2. Fill other mandatory fields without Reports To
3. Save</t>
  </si>
  <si>
    <t>Logged in as HRMS admin amit (Amit Kumar Shaji, role HRMS / Administrator); on Core HR &gt; Employee, New Employee form (/employee) open → Choose User Level Administrator → Fill other mandatory fields without Reports To → Save</t>
  </si>
  <si>
    <t>Saved — Reports To is not mandatory at the top level</t>
  </si>
  <si>
    <t>TC-CHR-083</t>
  </si>
  <si>
    <t>Changing User Level reloads Reports To</t>
  </si>
  <si>
    <t xml:space="preserve">1. Pick User Level Team Member and a Reports To
2. Change User Level to Manager</t>
  </si>
  <si>
    <t>Logged in as HRMS admin amit (Amit Kumar Shaji, role HRMS / Administrator); on Core HR &gt; Employee, New Employee form (/employee) open → Pick User Level Team Member and a Reports To → Change User Level to Manager</t>
  </si>
  <si>
    <t>Reports To list reloads for the new level; an invalid previous choice is cleared</t>
  </si>
  <si>
    <t>TC-CHR-084</t>
  </si>
  <si>
    <t>Reporting manager appears in the employee's approvals chain</t>
  </si>
  <si>
    <t>Run employee reports to Amit; leave workflow uses Report Person</t>
  </si>
  <si>
    <t xml:space="preserve">1. Employee applies for leave
2. Amit opens Leave Approval</t>
  </si>
  <si>
    <t>Run employee reports to Amit; leave workflow uses Report Person → Employee applies for leave → Amit opens Leave Approval</t>
  </si>
  <si>
    <t>The request is routed to Amit (the Reports To person)</t>
  </si>
  <si>
    <t>Linear 056 Leave Approval — employeeAppliesManagerApproves</t>
  </si>
  <si>
    <t>TC-CHR-085</t>
  </si>
  <si>
    <t>Employee Profile</t>
  </si>
  <si>
    <t>Profile view</t>
  </si>
  <si>
    <t>Profile opens with the read-only tab strip</t>
  </si>
  <si>
    <t>1. Open the run employee from the list or Worker Directory</t>
  </si>
  <si>
    <t>Logged in as HRMS admin amit (Amit Kumar Shaji, role HRMS / Administrator); run employee exists → Open the run employee from the list or Worker Directory</t>
  </si>
  <si>
    <t>/employee-view/&lt;guid&gt; shows tabs Basic Details, Address, Bank Details, Documents, Emergency, History, Lifecycle, Probation, Salary History, Background Verification, Attendance History, Leave History; Edit button at top</t>
  </si>
  <si>
    <t>Linear 002 Worker Directory — findRunEmployeeAndCompleteProfile</t>
  </si>
  <si>
    <t>/employee-view/&lt;guid&gt;</t>
  </si>
  <si>
    <t>TC-CHR-086</t>
  </si>
  <si>
    <t>Basic Details shows saved values</t>
  </si>
  <si>
    <t>Logged in as HRMS admin amit (Amit Kumar Shaji, role HRMS / Administrator); profile completed</t>
  </si>
  <si>
    <t xml:space="preserve">1. Open the profile
2. Read the Basic Details panel</t>
  </si>
  <si>
    <t>Logged in as HRMS admin amit (Amit Kumar Shaji, role HRMS / Administrator); profile completed → Open the profile → Read the Basic Details panel</t>
  </si>
  <si>
    <t>Name, code, designation, branch, department, Blood Group and Nationality match what was saved</t>
  </si>
  <si>
    <t>TC-CHR-087</t>
  </si>
  <si>
    <t>Profile is read-only</t>
  </si>
  <si>
    <t>1. Open each profile tab</t>
  </si>
  <si>
    <t>Logged in as HRMS admin amit (Amit Kumar Shaji, role HRMS / Administrator) → Open each profile tab</t>
  </si>
  <si>
    <t>No Add/Upload/Edit controls in any tab panel; only the top Edit button leads to the editor</t>
  </si>
  <si>
    <t>Verified 2026-09-12</t>
  </si>
  <si>
    <t>TC-CHR-088</t>
  </si>
  <si>
    <t>Route uses GUID, not internal id</t>
  </si>
  <si>
    <t xml:space="preserve">1. Open a profile
2. Inspect the URL</t>
  </si>
  <si>
    <t>Logged in as HRMS admin amit (Amit Kumar Shaji, role HRMS / Administrator) → Open a profile → Inspect the URL</t>
  </si>
  <si>
    <t>URL is /employee-view/&lt;36-char GUID&gt;; no sequential numeric id exposed</t>
  </si>
  <si>
    <t>FR-CH-027</t>
  </si>
  <si>
    <t>TC-CHR-089</t>
  </si>
  <si>
    <t>Address tab shows present and permanent address</t>
  </si>
  <si>
    <t>Logged in as HRMS admin amit (Amit Kumar Shaji, role HRMS / Administrator); address saved</t>
  </si>
  <si>
    <t>1. Open Address tab</t>
  </si>
  <si>
    <t>Logged in as HRMS admin amit (Amit Kumar Shaji, role HRMS / Administrator); address saved → Open Address tab</t>
  </si>
  <si>
    <t>Both addresses shown with country/state/city/pincode/lines</t>
  </si>
  <si>
    <t>TC-CHR-090</t>
  </si>
  <si>
    <t>History / Lifecycle timeline shows changes newest first</t>
  </si>
  <si>
    <t>Logged in as HRMS admin amit (Amit Kumar Shaji, role HRMS / Administrator); department was changed via Edit</t>
  </si>
  <si>
    <t>1. Open History and Lifecycle tabs</t>
  </si>
  <si>
    <t>Logged in as HRMS admin amit (Amit Kumar Shaji, role HRMS / Administrator); department was changed via Edit → Open History and Lifecycle tabs</t>
  </si>
  <si>
    <t>Events (Joined, Department Change, etc.) shown with date, old → new value, acting user; newest first; no add/edit/delete</t>
  </si>
  <si>
    <t>TC-CHR-091</t>
  </si>
  <si>
    <t>Leave History reflects approved leave</t>
  </si>
  <si>
    <t>Run employee has an approved leave</t>
  </si>
  <si>
    <t>1. Open Leave History tab</t>
  </si>
  <si>
    <t>Run employee has an approved leave → Open Leave History tab</t>
  </si>
  <si>
    <t>Approved leave appears with type, dates and status</t>
  </si>
  <si>
    <t>TC-CHR-092</t>
  </si>
  <si>
    <t>Salary History is read-only projection</t>
  </si>
  <si>
    <t>Logged in as HRMS admin amit (Amit Kumar Shaji, role HRMS / Administrator); employee has a salary structure</t>
  </si>
  <si>
    <t>1. Open Salary History tab</t>
  </si>
  <si>
    <t>Logged in as HRMS admin amit (Amit Kumar Shaji, role HRMS / Administrator); employee has a salary structure → Open Salary History tab</t>
  </si>
  <si>
    <t>Current structure and revisions listed read-only</t>
  </si>
  <si>
    <t>Payroll owned by teammates</t>
  </si>
  <si>
    <t>TC-CHR-093</t>
  </si>
  <si>
    <t>Documents tab summarises ID proofs</t>
  </si>
  <si>
    <t>Employee has uploaded a document via ESS</t>
  </si>
  <si>
    <t>1. Open Documents tab</t>
  </si>
  <si>
    <t>Employee has uploaded a document via ESS → Open Documents tab</t>
  </si>
  <si>
    <t>Document type, number (masked if applicable), expiry and verification state shown read-only</t>
  </si>
  <si>
    <t>TC-CHR-094</t>
  </si>
  <si>
    <t>Edit button opens /employee/&lt;guid&gt;</t>
  </si>
  <si>
    <t>1. Click Edit on the profile</t>
  </si>
  <si>
    <t>Logged in as HRMS admin amit (Amit Kumar Shaji, role HRMS / Administrator) → Click Edit on the profile</t>
  </si>
  <si>
    <t>Edit form opens for the same GUID pre-filled</t>
  </si>
  <si>
    <t>TC-CHR-095</t>
  </si>
  <si>
    <t>Invalid GUID shows not-found</t>
  </si>
  <si>
    <t>1. Open /employee-view/00000000-0000-0000-0000-000000000000</t>
  </si>
  <si>
    <t>Logged in as HRMS admin amit (Amit Kumar Shaji, role HRMS / Administrator) → Open /employee-view/00000000-0000-0000-0000-000000000000</t>
  </si>
  <si>
    <t>Friendly not found / empty message; no unhandled error</t>
  </si>
  <si>
    <t>TC-CHR-096</t>
  </si>
  <si>
    <t>Employee Edit</t>
  </si>
  <si>
    <t>Edit profile</t>
  </si>
  <si>
    <t>Complete profile: department, blood group, nationality, honorific, address</t>
  </si>
  <si>
    <t>Logged in as HRMS admin amit (Amit Kumar Shaji, role HRMS / Administrator); run employee Edit form open (/employee/&lt;guid&gt;)</t>
  </si>
  <si>
    <t>Dept Testing; O+; India; 682016; 2nd Floor, QA Towers; MG Road</t>
  </si>
  <si>
    <t xml:space="preserve">1. Set Department Testing
2. Set Honorific
3. Set Nationality India
4. Set Blood Group O+
5. Fill Present Pincode and Address Line 1/2
6. Save
7. Open the profile</t>
  </si>
  <si>
    <t>Logged in as HRMS admin amit (Amit Kumar Shaji, role HRMS / Administrator); run employee Edit form open (/employee/&lt;guid&gt;) → Set Department Testing → Set Honorific → Set Nationality India → Set Blood Group O+ → Fill Present Pincode and Address Line 1/2 → Save → Open the profile</t>
  </si>
  <si>
    <t>Saved; profile Basic Details shows Blood Group O+ and Nationality India; Address shows the lines</t>
  </si>
  <si>
    <t>/employee/&lt;guid&gt;</t>
  </si>
  <si>
    <t>TC-CHR-097</t>
  </si>
  <si>
    <t>Edit form is pre-filled with saved values</t>
  </si>
  <si>
    <t>1. Open the Edit form</t>
  </si>
  <si>
    <t>Logged in as HRMS admin amit (Amit Kumar Shaji, role HRMS / Administrator); run employee Edit form open (/employee/&lt;guid&gt;) → Open the Edit form</t>
  </si>
  <si>
    <t>First name, code, phone, e-mail, designation, branch etc. are pre-filled</t>
  </si>
  <si>
    <t>TC-CHR-098</t>
  </si>
  <si>
    <t>Blood Group offers only valid values</t>
  </si>
  <si>
    <t>1. Open Blood Group</t>
  </si>
  <si>
    <t>Logged in as HRMS admin amit (Amit Kumar Shaji, role HRMS / Administrator); run employee Edit form open (/employee/&lt;guid&gt;) → Open Blood Group</t>
  </si>
  <si>
    <t>Options A+, A-, B+, B-, AB+, AB-, O+, O-</t>
  </si>
  <si>
    <t>TC-CHR-099</t>
  </si>
  <si>
    <t>Department list loads on the Edit form</t>
  </si>
  <si>
    <t>1. Open Department</t>
  </si>
  <si>
    <t>Logged in as HRMS admin amit (Amit Kumar Shaji, role HRMS / Administrator); run employee Edit form open (/employee/&lt;guid&gt;) → Open Department</t>
  </si>
  <si>
    <t>Departments of the tenant listed (DIGITAL MARKETING, Finance and Accounts, Human Resources, SEO, SOFTWARE DEVELOPMENT, Testing …)</t>
  </si>
  <si>
    <t>TC-CHR-100</t>
  </si>
  <si>
    <t>Department change writes a history event</t>
  </si>
  <si>
    <t xml:space="preserve">1. Change Department Testing → SEO
2. Save
3. Open History</t>
  </si>
  <si>
    <t>Logged in as HRMS admin amit (Amit Kumar Shaji, role HRMS / Administrator); run employee Edit form open (/employee/&lt;guid&gt;) → Change Department Testing → SEO → Save → Open History</t>
  </si>
  <si>
    <t>A Department Change event with old/new values and acting user is recorded</t>
  </si>
  <si>
    <t>TC-CHR-101</t>
  </si>
  <si>
    <t>Change designation and branch</t>
  </si>
  <si>
    <t xml:space="preserve">1. Change Designation to Business Analyst and Branch to Kannur
2. Save</t>
  </si>
  <si>
    <t>Logged in as HRMS admin amit (Amit Kumar Shaji, role HRMS / Administrator); run employee Edit form open (/employee/&lt;guid&gt;) → Change Designation to Business Analyst and Branch to Kannur → Save</t>
  </si>
  <si>
    <t>Saved; list and Worker Directory show the new designation and branch; history records Promotion/Transfer-type events</t>
  </si>
  <si>
    <t>TC-CHR-102</t>
  </si>
  <si>
    <t>Change Reports To</t>
  </si>
  <si>
    <t xml:space="preserve">1. Pick another higher-level person in Reports To
2. Save</t>
  </si>
  <si>
    <t>Logged in as HRMS admin amit (Amit Kumar Shaji, role HRMS / Administrator); run employee Edit form open (/employee/&lt;guid&gt;) → Pick another higher-level person in Reports To → Save</t>
  </si>
  <si>
    <t>Saved; Worker Directory "Reports to" and org chart reflect the new manager; Manager Change event logged</t>
  </si>
  <si>
    <t>TC-CHR-103</t>
  </si>
  <si>
    <t>Reports To change does not move in-flight approvals</t>
  </si>
  <si>
    <t>Employee has a pending leave request with approver frozen at raise</t>
  </si>
  <si>
    <t xml:space="preserve">1. Change their Reports To
2. Open the pending request trail</t>
  </si>
  <si>
    <t>Employee has a pending leave request with approver frozen at raise → Change their Reports To → Open the pending request trail</t>
  </si>
  <si>
    <t>The pending step stays with the original approver</t>
  </si>
  <si>
    <t>Approval Engine FR-AP-11</t>
  </si>
  <si>
    <t>TC-CHR-104</t>
  </si>
  <si>
    <t>Edit validation rules match create</t>
  </si>
  <si>
    <t xml:space="preserve">1. Clear First Name
2. Enter invalid e-mail
3. Save</t>
  </si>
  <si>
    <t>Logged in as HRMS admin amit (Amit Kumar Shaji, role HRMS / Administrator); run employee Edit form open (/employee/&lt;guid&gt;) → Clear First Name → Enter invalid e-mail → Save</t>
  </si>
  <si>
    <t>Same messages as on create; nothing saved</t>
  </si>
  <si>
    <t>TC-CHR-105</t>
  </si>
  <si>
    <t>Changing phone to another employee's phone rejected</t>
  </si>
  <si>
    <t xml:space="preserve">1. Enter a phone used by another employee
2. Save</t>
  </si>
  <si>
    <t>Logged in as HRMS admin amit (Amit Kumar Shaji, role HRMS / Administrator); run employee Edit form open (/employee/&lt;guid&gt;) → Enter a phone used by another employee → Save</t>
  </si>
  <si>
    <t>Duplicate rejected; original phone retained</t>
  </si>
  <si>
    <t>TC-CHR-106</t>
  </si>
  <si>
    <t>Status is display-only on Edit</t>
  </si>
  <si>
    <t>1. Try to change Employee Status on the Edit form</t>
  </si>
  <si>
    <t>Logged in as HRMS admin amit (Amit Kumar Shaji, role HRMS / Administrator); run employee Edit form open (/employee/&lt;guid&gt;) → Try to change Employee Status on the Edit form</t>
  </si>
  <si>
    <t>Status is read-only; lifecycle changes go through the lifecycle process</t>
  </si>
  <si>
    <t>§4.9</t>
  </si>
  <si>
    <t>TC-CHR-107</t>
  </si>
  <si>
    <t>Employee code cannot be edited after creation</t>
  </si>
  <si>
    <t>1. Try to change Employee Code</t>
  </si>
  <si>
    <t>Logged in as HRMS admin amit (Amit Kumar Shaji, role HRMS / Administrator); run employee Edit form open (/employee/&lt;guid&gt;) → Try to change Employee Code</t>
  </si>
  <si>
    <t>Code field is disabled</t>
  </si>
  <si>
    <t>TC-CHR-108</t>
  </si>
  <si>
    <t>Permanent address different from present</t>
  </si>
  <si>
    <t xml:space="preserve">1. Untick Same as Present
2. Fill a different permanent address
3. Save</t>
  </si>
  <si>
    <t>Logged in as HRMS admin amit (Amit Kumar Shaji, role HRMS / Administrator); run employee Edit form open (/employee/&lt;guid&gt;) → Untick Same as Present → Fill a different permanent address → Save</t>
  </si>
  <si>
    <t>Both addresses saved separately</t>
  </si>
  <si>
    <t>TC-CHR-109</t>
  </si>
  <si>
    <t>Unicode letters in names accepted</t>
  </si>
  <si>
    <t>Nāir</t>
  </si>
  <si>
    <t xml:space="preserve">1. Set Last Name "Nāir"
2. Save</t>
  </si>
  <si>
    <t>Logged in as HRMS admin amit (Amit Kumar Shaji, role HRMS / Administrator); run employee Edit form open (/employee/&lt;guid&gt;) → Set Last Name "Nāir" → Save</t>
  </si>
  <si>
    <t>Accepted — Unicode letters allowed</t>
  </si>
  <si>
    <t>TC-CHR-110</t>
  </si>
  <si>
    <t>Edit save keeps the user on the record</t>
  </si>
  <si>
    <t xml:space="preserve">1. Change Nationality
2. Save</t>
  </si>
  <si>
    <t>Logged in as HRMS admin amit (Amit Kumar Shaji, role HRMS / Administrator); run employee Edit form open (/employee/&lt;guid&gt;) → Change Nationality → Save</t>
  </si>
  <si>
    <t>Success message; record reloads (or returns to profile) with the new value</t>
  </si>
  <si>
    <t>TC-CHR-111</t>
  </si>
  <si>
    <t>Emergency contacts</t>
  </si>
  <si>
    <t>Add an emergency contact</t>
  </si>
  <si>
    <t>Anita Varghese; Spouse; 9876501234; anita.varghese@example.com</t>
  </si>
  <si>
    <t xml:space="preserve">1. Open My Workspace &gt; Profile
2. Emergency section
3. Add contact: First Name, Last Name, Relationship Spouse, Phone, Email
4. Save</t>
  </si>
  <si>
    <t>Logged in as an employee with access role Staff (User Level Team Member), login created via Core HR (initial password = employee code) → Open My Workspace &gt; Profile → Emergency section → Add contact: First Name, Last Name, Relationship Spouse, Phone, Email → Save</t>
  </si>
  <si>
    <t>Contact listed; also visible read-only on the HR profile Emergency tab</t>
  </si>
  <si>
    <t>Live build: no Emergency editor on the HR employee record (verified 2026-09-12) — verify where contacts are captured</t>
  </si>
  <si>
    <t>TC-CHR-112</t>
  </si>
  <si>
    <t>Emergency contact first name required</t>
  </si>
  <si>
    <t xml:space="preserve">1. Add contact with blank First Name
2. Save</t>
  </si>
  <si>
    <t>Logged in as an employee with access role Staff (User Level Team Member), login created via Core HR (initial password = employee code) → Add contact with blank First Name → Save</t>
  </si>
  <si>
    <t>"Please enter the contact's first name" — not saved</t>
  </si>
  <si>
    <t>TC-CHR-113</t>
  </si>
  <si>
    <t>Emergency contact relationship required</t>
  </si>
  <si>
    <t xml:space="preserve">1. Add contact without Relationship
2. Save</t>
  </si>
  <si>
    <t>Logged in as an employee with access role Staff (User Level Team Member), login created via Core HR (initial password = employee code) → Add contact without Relationship → Save</t>
  </si>
  <si>
    <t>"Please choose the relationship" — not saved</t>
  </si>
  <si>
    <t>TC-CHR-114</t>
  </si>
  <si>
    <t>Invalid phone / e-mail in emergency contact</t>
  </si>
  <si>
    <t xml:space="preserve">1. Enter Phone "12ab" and Email "anita@"
2. Save</t>
  </si>
  <si>
    <t>Logged in as an employee with access role Staff (User Level Team Member), login created via Core HR (initial password = employee code) → Enter Phone "12ab" and Email "anita@" → Save</t>
  </si>
  <si>
    <t>Format validation for both; not saved</t>
  </si>
  <si>
    <t>TC-CHR-115</t>
  </si>
  <si>
    <t>Only one primary contact</t>
  </si>
  <si>
    <t>Logged in as an employee with access role Staff (User Level Team Member), login created via Core HR (initial password = employee code); a primary contact exists</t>
  </si>
  <si>
    <t xml:space="preserve">1. Add a second contact flagged Primary
2. Save</t>
  </si>
  <si>
    <t>Logged in as an employee with access role Staff (User Level Team Member), login created via Core HR (initial password = employee code); a primary contact exists → Add a second contact flagged Primary → Save</t>
  </si>
  <si>
    <t>New contact becomes primary; previous primary flag cleared; primary listed first</t>
  </si>
  <si>
    <t>§4.7</t>
  </si>
  <si>
    <t>TC-CHR-116</t>
  </si>
  <si>
    <t>Delete emergency contact with confirmation</t>
  </si>
  <si>
    <t>Logged in as an employee with access role Staff (User Level Team Member), login created via Core HR (initial password = employee code); a contact exists</t>
  </si>
  <si>
    <t xml:space="preserve">1. Click delete on the contact
2. Confirm</t>
  </si>
  <si>
    <t>Logged in as an employee with access role Staff (User Level Team Member), login created via Core HR (initial password = employee code); a contact exists → Click delete on the contact → Confirm</t>
  </si>
  <si>
    <t>Yes/No confirmation naming the contact; on Yes it is removed</t>
  </si>
  <si>
    <t>TC-CHR-117</t>
  </si>
  <si>
    <t>Upload an ID document</t>
  </si>
  <si>
    <t>Test PAN from the project fixtures; sample-cv.pdf as scan</t>
  </si>
  <si>
    <t xml:space="preserve">1. Open My Workspace &gt; Documents
2. Add document of type PAN CARD with number, expiry and a scan
3. Save</t>
  </si>
  <si>
    <t>Logged in as an employee with access role Staff (User Level Team Member), login created via Core HR (initial password = employee code) → Open My Workspace &gt; Documents → Add document of type PAN CARD with number, expiry and a scan → Save</t>
  </si>
  <si>
    <t>Document listed with verification Pending; HR profile Documents tab shows it</t>
  </si>
  <si>
    <t>Use test identifiers only</t>
  </si>
  <si>
    <t>TC-CHR-118</t>
  </si>
  <si>
    <t>Aadhaar number must be exactly 12 digits</t>
  </si>
  <si>
    <t>11 digits</t>
  </si>
  <si>
    <t xml:space="preserve">1. Add document type Aadhar card with an 11-digit number
2. Save</t>
  </si>
  <si>
    <t>Logged in as an employee with access role Staff (User Level Team Member), login created via Core HR (initial password = employee code) → Add document type Aadhar card with an 11-digit number → Save</t>
  </si>
  <si>
    <t>"Aadhaar Number must be exactly 12 digits (numbers only)." not saved</t>
  </si>
  <si>
    <t>FR-CH-030</t>
  </si>
  <si>
    <t>TC-CHR-119</t>
  </si>
  <si>
    <t>Document number invalid characters</t>
  </si>
  <si>
    <t>AB#12$</t>
  </si>
  <si>
    <t xml:space="preserve">1. Enter number "AB#12$"
2. Save</t>
  </si>
  <si>
    <t>Logged in as an employee with access role Staff (User Level Team Member), login created via Core HR (initial password = employee code) → Enter number "AB#12$" → Save</t>
  </si>
  <si>
    <t>"Document Number may contain only letters, numbers, space, hyphen (-) and slash (/)." not saved</t>
  </si>
  <si>
    <t>TC-CHR-120</t>
  </si>
  <si>
    <t>Document number over 100 characters</t>
  </si>
  <si>
    <t xml:space="preserve">1. Enter a 101-character number
2. Save</t>
  </si>
  <si>
    <t>Logged in as an employee with access role Staff (User Level Team Member), login created via Core HR (initial password = employee code) → Enter a 101-character number → Save</t>
  </si>
  <si>
    <t>"Document Number cannot exceed 100 characters."</t>
  </si>
  <si>
    <t>TC-CHR-121</t>
  </si>
  <si>
    <t>Expiry mandatory for expiry-mandatory type</t>
  </si>
  <si>
    <t xml:space="preserve">1. Add a document of an expiry-mandatory type without expiry
2. Save</t>
  </si>
  <si>
    <t>Logged in as an employee with access role Staff (User Level Team Member), login created via Core HR (initial password = employee code) → Add a document of an expiry-mandatory type without expiry → Save</t>
  </si>
  <si>
    <t>Rejected — expiry date required</t>
  </si>
  <si>
    <t>FR-CH-031</t>
  </si>
  <si>
    <t>TC-CHR-122</t>
  </si>
  <si>
    <t>Editing a verified document resets verification</t>
  </si>
  <si>
    <t>A Verified document exists</t>
  </si>
  <si>
    <t xml:space="preserve">1. Edit its number
2. Save</t>
  </si>
  <si>
    <t>A Verified document exists → Edit its number → Save</t>
  </si>
  <si>
    <t>Verification returns to Pending and verifier stamp clears</t>
  </si>
  <si>
    <t>FR-CH-034</t>
  </si>
  <si>
    <t>TC-CHR-123</t>
  </si>
  <si>
    <t>Lifecycle</t>
  </si>
  <si>
    <t>Exit statuses cannot be set manually</t>
  </si>
  <si>
    <t>1. From the Lifecycle tab try to move an employee to Resigned</t>
  </si>
  <si>
    <t>Logged in as HRMS admin amit (Amit Kumar Shaji, role HRMS / Administrator) → From the Lifecycle tab try to move an employee to Resigned</t>
  </si>
  <si>
    <t>"Resignations and exits are handled through the Resignation &amp; Exit workflow. Please raise a resignation instead." (title Not allowed)</t>
  </si>
  <si>
    <t>FR-CH-051</t>
  </si>
  <si>
    <t>TC-CHR-124</t>
  </si>
  <si>
    <t>Pre-Employee to Active transition</t>
  </si>
  <si>
    <t>Logged in as HRMS admin amit (Amit Kumar Shaji, role HRMS / Administrator); a Pre-Employee employee</t>
  </si>
  <si>
    <t>1. Move status to Active with effective date and reason</t>
  </si>
  <si>
    <t>Logged in as HRMS admin amit (Amit Kumar Shaji, role HRMS / Administrator); a Pre-Employee employee → Move status to Active with effective date and reason</t>
  </si>
  <si>
    <t>Status Active; Status Change event written; badge updates in list</t>
  </si>
  <si>
    <t>TC-CHR-125</t>
  </si>
  <si>
    <t>Setting the same status is refused</t>
  </si>
  <si>
    <t>Logged in as HRMS admin amit (Amit Kumar Shaji, role HRMS / Administrator); an Active employee</t>
  </si>
  <si>
    <t>1. Move status to Active</t>
  </si>
  <si>
    <t>Logged in as HRMS admin amit (Amit Kumar Shaji, role HRMS / Administrator); an Active employee → Move status to Active</t>
  </si>
  <si>
    <t>"Employee is already Active"</t>
  </si>
  <si>
    <t>TC-CHR-126</t>
  </si>
  <si>
    <t>Archive</t>
  </si>
  <si>
    <t>Completed exit archives the employee</t>
  </si>
  <si>
    <t>An employee completed the Resignation &amp; Exit workflow</t>
  </si>
  <si>
    <t xml:space="preserve">1. Open Employee list
2. Search them
3. Switch on Include archived</t>
  </si>
  <si>
    <t>An employee completed the Resignation &amp; Exit workflow → Open Employee list → Search them → Switch on Include archived</t>
  </si>
  <si>
    <t>Hidden by default; shown only with Include archived; status badge Archived/Resigned; login disabled</t>
  </si>
  <si>
    <t>Module automation owned by teammates (base page checks in linear run)</t>
  </si>
  <si>
    <t>TC-CHR-127</t>
  </si>
  <si>
    <t>Archived employee excluded from pickers</t>
  </si>
  <si>
    <t>An archived employee exists</t>
  </si>
  <si>
    <t>1. Open Duty Handover employee lists and Generate Letter employee list</t>
  </si>
  <si>
    <t>An archived employee exists → Open Duty Handover employee lists and Generate Letter employee list</t>
  </si>
  <si>
    <t>Archived employee is not offered as an active choice</t>
  </si>
  <si>
    <t>TC-CHR-128</t>
  </si>
  <si>
    <t>Worker Directory opens and renders</t>
  </si>
  <si>
    <t>1. Open HRMS &gt; Core HR &gt; Worker Directory</t>
  </si>
  <si>
    <t>Logged in as HRMS admin amit (Amit Kumar Shaji, role HRMS / Administrator) → Open HRMS &gt; Core HR &gt; Worker Directory</t>
  </si>
  <si>
    <t>Heading, search, filters (branch, department, team), view toggle (cards / list / org chart) and employee cards render; no app error</t>
  </si>
  <si>
    <t>Linear 002 Worker Directory — page check</t>
  </si>
  <si>
    <t>TC-CHR-129</t>
  </si>
  <si>
    <t>Search by employee code finds exactly one card</t>
  </si>
  <si>
    <t>pbhrms0xxx</t>
  </si>
  <si>
    <t>1. Type the run employee code in search</t>
  </si>
  <si>
    <t>Logged in as HRMS admin amit (Amit Kumar Shaji, role HRMS / Administrator); run employee exists → Type the run employee code in search</t>
  </si>
  <si>
    <t>Exactly one card; shows name, designation, branch; links to /employee-view/&lt;guid&gt;</t>
  </si>
  <si>
    <t>TC-CHR-130</t>
  </si>
  <si>
    <t>Search by name, designation and department</t>
  </si>
  <si>
    <t xml:space="preserve">1. Search "SOFTWARE TESTER"
2. Search "Testing"
3. Search a first name</t>
  </si>
  <si>
    <t>Logged in as HRMS admin amit (Amit Kumar Shaji, role HRMS / Administrator) → Search "SOFTWARE TESTER" → Search "Testing" → Search a first name</t>
  </si>
  <si>
    <t>Each returns matching people</t>
  </si>
  <si>
    <t>§4.11</t>
  </si>
  <si>
    <t>TC-CHR-131</t>
  </si>
  <si>
    <t>No match shows empty state</t>
  </si>
  <si>
    <t>1. Search "zzqq"</t>
  </si>
  <si>
    <t>Logged in as HRMS admin amit (Amit Kumar Shaji, role HRMS / Administrator) → Search "zzqq"</t>
  </si>
  <si>
    <t>Empty-state message; no error</t>
  </si>
  <si>
    <t>TC-CHR-132</t>
  </si>
  <si>
    <t>Filters</t>
  </si>
  <si>
    <t>Filter by branch and department</t>
  </si>
  <si>
    <t xml:space="preserve">1. Choose Branch Main Branch
2. Choose Department Testing</t>
  </si>
  <si>
    <t>Logged in as HRMS admin amit (Amit Kumar Shaji, role HRMS / Administrator) → Choose Branch Main Branch → Choose Department Testing</t>
  </si>
  <si>
    <t>Only matching people shown</t>
  </si>
  <si>
    <t>TC-CHR-133</t>
  </si>
  <si>
    <t>Include people who have left</t>
  </si>
  <si>
    <t>Logged in as HRMS admin amit (Amit Kumar Shaji, role HRMS / Administrator); an exited employee exists</t>
  </si>
  <si>
    <t xml:space="preserve">1. Search the exited person
2. Toggle include people who have left</t>
  </si>
  <si>
    <t>Logged in as HRMS admin amit (Amit Kumar Shaji, role HRMS / Administrator); an exited employee exists → Search the exited person → Toggle include people who have left</t>
  </si>
  <si>
    <t>Hidden by default; shown when toggled</t>
  </si>
  <si>
    <t>TC-CHR-134</t>
  </si>
  <si>
    <t>Views</t>
  </si>
  <si>
    <t>List view columns</t>
  </si>
  <si>
    <t>1. Switch to List view</t>
  </si>
  <si>
    <t>Logged in as HRMS admin amit (Amit Kumar Shaji, role HRMS / Administrator) → Switch to List view</t>
  </si>
  <si>
    <t>Columns Employee, Code, Designation, Department, Branch, Reports to, Joined, Contact</t>
  </si>
  <si>
    <t>TC-CHR-135</t>
  </si>
  <si>
    <t>Org chart view shows reporting tree</t>
  </si>
  <si>
    <t xml:space="preserve">1. Switch to Org chart
2. Find the run employee</t>
  </si>
  <si>
    <t>Logged in as HRMS admin amit (Amit Kumar Shaji, role HRMS / Administrator) → Switch to Org chart → Find the run employee</t>
  </si>
  <si>
    <t>Run employee appears under Amit Kumar Shaji; direct-reports chip folds/unfolds; zoom 40–150%; Expand all / Collapse all work</t>
  </si>
  <si>
    <t>§11.5</t>
  </si>
  <si>
    <t>TC-CHR-136</t>
  </si>
  <si>
    <t>Org chart search highlights manager chain</t>
  </si>
  <si>
    <t>1. In org chart search the run employee</t>
  </si>
  <si>
    <t>Logged in as HRMS admin amit (Amit Kumar Shaji, role HRMS / Administrator) → In org chart search the run employee</t>
  </si>
  <si>
    <t>Chart scrolls to the card and highlights the manager chain</t>
  </si>
  <si>
    <t>TC-CHR-137</t>
  </si>
  <si>
    <t>Insights</t>
  </si>
  <si>
    <t>Insights panel figures</t>
  </si>
  <si>
    <t>1. Open the insights panel</t>
  </si>
  <si>
    <t>Logged in as HRMS admin amit (Amit Kumar Shaji, role HRMS / Administrator) → Open the insights panel</t>
  </si>
  <si>
    <t>Headcount, on probation, joined this month, headcount by department and celebrations (birthdays, anniversaries, new joiners) shown; run employee counted as new joiner this month if joined this month</t>
  </si>
  <si>
    <t>TC-CHR-138</t>
  </si>
  <si>
    <t>Privacy</t>
  </si>
  <si>
    <t>Contact details masked without Employee grant</t>
  </si>
  <si>
    <t>Logged in as an employee with access role Staff (User Level Team Member), login created via Core HR (initial password = employee code) (WorkerDirectory/ESS Directory without Employee grant)</t>
  </si>
  <si>
    <t xml:space="preserve">1. Open My Workspace &gt; Directory
2. Inspect a colleague card and the network response</t>
  </si>
  <si>
    <t>Logged in as an employee with access role Staff (User Level Team Member), login created via Core HR (initial password = employee code) (WorkerDirectory/ESS Directory without Employee grant) → Open My Workspace &gt; Directory → Inspect a colleague card and the network response</t>
  </si>
  <si>
    <t>Phone and e-mail absent from the response (server-side masking); salary never shown</t>
  </si>
  <si>
    <t>TC-CHR-139</t>
  </si>
  <si>
    <t>Birthday shows day and month only</t>
  </si>
  <si>
    <t>1. Open celebrations / birthday list</t>
  </si>
  <si>
    <t>Logged in as HRMS admin amit (Amit Kumar Shaji, role HRMS / Administrator) → Open celebrations / birthday list</t>
  </si>
  <si>
    <t>Birth year is never displayed or returned</t>
  </si>
  <si>
    <t>TC-CHR-140</t>
  </si>
  <si>
    <t>Navigation</t>
  </si>
  <si>
    <t>Card profile link opens the employee profile</t>
  </si>
  <si>
    <t>1. Click the run employee card name/profile link</t>
  </si>
  <si>
    <t>Logged in as HRMS admin amit (Amit Kumar Shaji, role HRMS / Administrator) → Click the run employee card name/profile link</t>
  </si>
  <si>
    <t>Opens /employee-view/&lt;guid&gt; of that employee</t>
  </si>
  <si>
    <t>TC-CHR-141</t>
  </si>
  <si>
    <t>Profile link hidden without EmployeeManage</t>
  </si>
  <si>
    <t xml:space="preserve">1. Open the directory as Staff
2. Look for profile links</t>
  </si>
  <si>
    <t>Logged in as an employee with access role Staff (User Level Team Member), login created via Core HR (initial password = employee code) → Open the directory as Staff → Look for profile links</t>
  </si>
  <si>
    <t>Cards have no link to /employee-view; direct URL is denied</t>
  </si>
  <si>
    <t>TC-CHR-142</t>
  </si>
  <si>
    <t>Document Compliance page opens and renders</t>
  </si>
  <si>
    <t>1. Open Core HR &gt; Document Compliance</t>
  </si>
  <si>
    <t>Logged in as HRMS admin amit (Amit Kumar Shaji, role HRMS / Administrator) → Open Core HR &gt; Document Compliance</t>
  </si>
  <si>
    <t>Tabs Missing Mandatory and Expiring; filters Employee, Branch, Department, Designation, Document Type; Run report and Reset; grid with pagination; no error</t>
  </si>
  <si>
    <t>Linear 003 Document Compliance — page check</t>
  </si>
  <si>
    <t>TC-CHR-143</t>
  </si>
  <si>
    <t>Missing Mandatory</t>
  </si>
  <si>
    <t>Run the Missing Mandatory report</t>
  </si>
  <si>
    <t>Logged in as HRMS admin amit (Amit Kumar Shaji, role HRMS / Administrator); Aadhar card and PAN CARD are mandatory types</t>
  </si>
  <si>
    <t xml:space="preserve">1. Open Missing Mandatory
2. Click Run report</t>
  </si>
  <si>
    <t>Logged in as HRMS admin amit (Amit Kumar Shaji, role HRMS / Administrator); Aadhar card and PAN CARD are mandatory types → Open Missing Mandatory → Click Run report</t>
  </si>
  <si>
    <t>One row per employee × mandatory type lacking a current verified document, columns Employee, Department, Branch, Document Type, State</t>
  </si>
  <si>
    <t>§4.5</t>
  </si>
  <si>
    <t>TC-CHR-144</t>
  </si>
  <si>
    <t>Missing and not-verified counted separately</t>
  </si>
  <si>
    <t>One employee has no PAN; another has an unverified PAN</t>
  </si>
  <si>
    <t>1. Run Missing Mandatory</t>
  </si>
  <si>
    <t>One employee has no PAN; another has an unverified PAN → Run Missing Mandatory</t>
  </si>
  <si>
    <t>Summary shows missing count and not-verified count as separate figures, never summed; rows show State missing / not verified</t>
  </si>
  <si>
    <t>TC-CHR-145</t>
  </si>
  <si>
    <t>Uploading and verifying a document clears the row</t>
  </si>
  <si>
    <t>Run employee is listed missing PAN CARD</t>
  </si>
  <si>
    <t xml:space="preserve">1. Employee uploads PAN via ESS Documents
2. HR verifies it
3. Re-run report</t>
  </si>
  <si>
    <t>Run employee is listed missing PAN CARD → Employee uploads PAN via ESS Documents → HR verifies it → Re-run report</t>
  </si>
  <si>
    <t>Run employee no longer listed for PAN CARD; non-compliant count drops</t>
  </si>
  <si>
    <t>TC-CHR-146</t>
  </si>
  <si>
    <t>Only mandatory types are evaluated</t>
  </si>
  <si>
    <t>A non-mandatory document type exists</t>
  </si>
  <si>
    <t>1. Run report with Document Type = All</t>
  </si>
  <si>
    <t>A non-mandatory document type exists → Run report with Document Type = All</t>
  </si>
  <si>
    <t>Only mandatory types appear; Document Type filter lists Aadhar card and PAN CARD</t>
  </si>
  <si>
    <t>TC-CHR-147</t>
  </si>
  <si>
    <t>Filter by Branch, Department, Designation</t>
  </si>
  <si>
    <t xml:space="preserve">1. Choose Branch Main Branch, Department Testing, Designation SOFTWARE TESTER
2. Run report</t>
  </si>
  <si>
    <t>Logged in as HRMS admin amit (Amit Kumar Shaji, role HRMS / Administrator) → Choose Branch Main Branch, Department Testing, Designation SOFTWARE TESTER → Run report</t>
  </si>
  <si>
    <t>Only matching employees listed; summary recalculated</t>
  </si>
  <si>
    <t>TC-CHR-148</t>
  </si>
  <si>
    <t>Filter by a single document type</t>
  </si>
  <si>
    <t xml:space="preserve">1. Choose Document Type PAN CARD
2. Run report</t>
  </si>
  <si>
    <t>Logged in as HRMS admin amit (Amit Kumar Shaji, role HRMS / Administrator) → Choose Document Type PAN CARD → Run report</t>
  </si>
  <si>
    <t>Only PAN CARD rows listed</t>
  </si>
  <si>
    <t>TC-CHR-149</t>
  </si>
  <si>
    <t>Employee text filter</t>
  </si>
  <si>
    <t xml:space="preserve">1. Type the run employee name in Employee
2. Run report</t>
  </si>
  <si>
    <t>Logged in as HRMS admin amit (Amit Kumar Shaji, role HRMS / Administrator) → Type the run employee name in Employee → Run report</t>
  </si>
  <si>
    <t>Only that employee's rows</t>
  </si>
  <si>
    <t>TC-CHR-150</t>
  </si>
  <si>
    <t>Reset clears all filters</t>
  </si>
  <si>
    <t>Logged in as HRMS admin amit (Amit Kumar Shaji, role HRMS / Administrator); filters set</t>
  </si>
  <si>
    <t>1. Click Reset</t>
  </si>
  <si>
    <t>Logged in as HRMS admin amit (Amit Kumar Shaji, role HRMS / Administrator); filters set → Click Reset</t>
  </si>
  <si>
    <t>Filters back to All …; grid shows unfiltered result</t>
  </si>
  <si>
    <t>TC-CHR-151</t>
  </si>
  <si>
    <t>Filter combination with no result</t>
  </si>
  <si>
    <t xml:space="preserve">1. Choose a branch/department with no employees
2. Run report</t>
  </si>
  <si>
    <t>Logged in as HRMS admin amit (Amit Kumar Shaji, role HRMS / Administrator) → Choose a branch/department with no employees → Run report</t>
  </si>
  <si>
    <t>Empty-state row; summary zeros; no error</t>
  </si>
  <si>
    <t>TC-CHR-152</t>
  </si>
  <si>
    <t>Expiring</t>
  </si>
  <si>
    <t>Expiring tab lists documents by bucket</t>
  </si>
  <si>
    <t>Documents expiring within 7, 15 and 30 days and one expired exist</t>
  </si>
  <si>
    <t xml:space="preserve">1. Open Expiring
2. Run report</t>
  </si>
  <si>
    <t>Documents expiring within 7, 15 and 30 days and one expired exist → Open Expiring → Run report</t>
  </si>
  <si>
    <t>Columns Employee, Branch, Document Type, Number, Expiry, Days, Bucket; buckets Expired / within 7 / within 15 / within 30; Days = expiry − today</t>
  </si>
  <si>
    <t>TC-CHR-153</t>
  </si>
  <si>
    <t>Within-days bound defaults to 30</t>
  </si>
  <si>
    <t xml:space="preserve">1. Open Expiring
2. Observe the within-days value
3. Set 7
4. Run</t>
  </si>
  <si>
    <t>Logged in as HRMS admin amit (Amit Kumar Shaji, role HRMS / Administrator) → Open Expiring → Observe the within-days value → Set 7 → Run</t>
  </si>
  <si>
    <t>Default 30; with 7 only Expired and within-7 rows remain</t>
  </si>
  <si>
    <t>TC-CHR-154</t>
  </si>
  <si>
    <t>Only current versions evaluated</t>
  </si>
  <si>
    <t>A renewed document whose old version expired</t>
  </si>
  <si>
    <t>1. Run Expiring</t>
  </si>
  <si>
    <t>A renewed document whose old version expired → Run Expiring</t>
  </si>
  <si>
    <t>Old (non-current) version not listed</t>
  </si>
  <si>
    <t>TC-CHR-155</t>
  </si>
  <si>
    <t xml:space="preserve">1. Change page size 10 → 50
2. Click next / last</t>
  </si>
  <si>
    <t>Logged in as HRMS admin amit (Amit Kumar Shaji, role HRMS / Administrator) → Change page size 10 → 50 → Click next / last</t>
  </si>
  <si>
    <t>Rows per page update; pager navigates correctly</t>
  </si>
  <si>
    <t>TC-CHR-156</t>
  </si>
  <si>
    <t>Staff cannot open Document Compliance</t>
  </si>
  <si>
    <t>1. Open /document-compliance by URL</t>
  </si>
  <si>
    <t>Logged in as an employee with access role Staff (User Level Team Member), login created via Core HR (initial password = employee code) → Open /document-compliance by URL</t>
  </si>
  <si>
    <t>Access denied; menu item hidden</t>
  </si>
  <si>
    <t>TC-CHR-157</t>
  </si>
  <si>
    <t>HR Reminders page opens and renders</t>
  </si>
  <si>
    <t>1. Open Core HR &gt; HR Reminders</t>
  </si>
  <si>
    <t>Logged in as HRMS admin amit (Amit Kumar Shaji, role HRMS / Administrator) → Open Core HR &gt; HR Reminders</t>
  </si>
  <si>
    <t>Rules listed for Birthday, Work Anniversary, Document Expiry, Probation Review Due, Probation End Due, Contract Expiry Due, Joiner Not Started, Onboarding Task Due, Onboarding Task Overdue, Onboarding Doc Expiry, Onboarding Digest — each with enabled switch, timing, channel, Recipients; Save</t>
  </si>
  <si>
    <t>Linear 004 HR Reminders — page check</t>
  </si>
  <si>
    <t>TC-CHR-158</t>
  </si>
  <si>
    <t>Defaults</t>
  </si>
  <si>
    <t>Default timing offsets shown</t>
  </si>
  <si>
    <t>1. Read the timing fields</t>
  </si>
  <si>
    <t>Logged in as HRMS admin amit (Amit Kumar Shaji, role HRMS / Administrator) → Read the timing fields</t>
  </si>
  <si>
    <t>Document Expiry 30,15,7; Probation Review Due 7,3,1; Probation End Due 14,7,1; Contract Expiry 30,15,7; Joiner Not Started 1,3; Onboarding Task Due 1,0; Task Overdue 1,3 with escalation 1,3,7; Onboarding Doc Expiry 30,15,7; Digest 8</t>
  </si>
  <si>
    <t>§4.13</t>
  </si>
  <si>
    <t>TC-CHR-159</t>
  </si>
  <si>
    <t>Edit rule</t>
  </si>
  <si>
    <t>Change Document Expiry offsets and channel</t>
  </si>
  <si>
    <t>45,30,10; Both</t>
  </si>
  <si>
    <t xml:space="preserve">1. Set Document Expiry timing to 45,30,10
2. Set channel Both
3. Save
4. Reload</t>
  </si>
  <si>
    <t>Logged in as HRMS admin amit (Amit Kumar Shaji, role HRMS / Administrator) → Set Document Expiry timing to 45,30,10 → Set channel Both → Save → Reload</t>
  </si>
  <si>
    <t>Success; values persist after reload</t>
  </si>
  <si>
    <t>Shared tenant config — restore 30,15,7 / In-app afterwards</t>
  </si>
  <si>
    <t>TC-CHR-160</t>
  </si>
  <si>
    <t>Disable and re-enable a rule</t>
  </si>
  <si>
    <t xml:space="preserve">1. Untick Birthday enabled
2. Save
3. Reload
4. Tick again
5. Save</t>
  </si>
  <si>
    <t>Logged in as HRMS admin amit (Amit Kumar Shaji, role HRMS / Administrator) → Untick Birthday enabled → Save → Reload → Tick again → Save</t>
  </si>
  <si>
    <t>Switch state persists; disabled rule raises no alerts</t>
  </si>
  <si>
    <t>TC-CHR-161</t>
  </si>
  <si>
    <t>Channel options</t>
  </si>
  <si>
    <t>1. Open any Channel dropdown</t>
  </si>
  <si>
    <t>Logged in as HRMS admin amit (Amit Kumar Shaji, role HRMS / Administrator) → Open any Channel dropdown</t>
  </si>
  <si>
    <t>Options In-app, Email, Both</t>
  </si>
  <si>
    <t>TC-CHR-162</t>
  </si>
  <si>
    <t>Recipients audience selection</t>
  </si>
  <si>
    <t xml:space="preserve">1. Click Recipients on Document Expiry
2. Choose Reporting manager
3. Save</t>
  </si>
  <si>
    <t>Logged in as HRMS admin amit (Amit Kumar Shaji, role HRMS / Administrator) → Click Recipients on Document Expiry → Choose Reporting manager → Save</t>
  </si>
  <si>
    <t>Audience saved; shown on the rule</t>
  </si>
  <si>
    <t>§7.9</t>
  </si>
  <si>
    <t>TC-CHR-163</t>
  </si>
  <si>
    <t>Escalation with fall back to HR</t>
  </si>
  <si>
    <t xml:space="preserve">1. On Onboarding Task Overdue set escalation 1,3
2. Tick Fall back to HR when nobody is set at that level
3. Save</t>
  </si>
  <si>
    <t>Logged in as HRMS admin amit (Amit Kumar Shaji, role HRMS / Administrator) → On Onboarding Task Overdue set escalation 1,3 → Tick Fall back to HR when nobody is set at that level → Save</t>
  </si>
  <si>
    <t>Saved and persists</t>
  </si>
  <si>
    <t>TC-CHR-164</t>
  </si>
  <si>
    <t>Non-numeric timing rejected</t>
  </si>
  <si>
    <t>a,b</t>
  </si>
  <si>
    <t xml:space="preserve">1. Enter "a,b" in Document Expiry timing
2. Save</t>
  </si>
  <si>
    <t>Logged in as HRMS admin amit (Amit Kumar Shaji, role HRMS / Administrator) → Enter "a,b" in Document Expiry timing → Save</t>
  </si>
  <si>
    <t>Validation message; value not saved</t>
  </si>
  <si>
    <t>TC-CHR-165</t>
  </si>
  <si>
    <t>Negative or duplicate offsets</t>
  </si>
  <si>
    <t>-5,7,7</t>
  </si>
  <si>
    <t xml:space="preserve">1. Enter "-5,7,7"
2. Save</t>
  </si>
  <si>
    <t>Logged in as HRMS admin amit (Amit Kumar Shaji, role HRMS / Administrator) → Enter "-5,7,7" → Save</t>
  </si>
  <si>
    <t>Rejected or normalised (no negative, duplicates removed); no server error</t>
  </si>
  <si>
    <t>TC-CHR-166</t>
  </si>
  <si>
    <t>Blank timing falls back to defaults</t>
  </si>
  <si>
    <t xml:space="preserve">1. Clear Probation End Due timing
2. Save
3. Reload</t>
  </si>
  <si>
    <t>Logged in as HRMS admin amit (Amit Kumar Shaji, role HRMS / Administrator) → Clear Probation End Due timing → Save → Reload</t>
  </si>
  <si>
    <t>Stays blank and the trigger's built-in defaults are used</t>
  </si>
  <si>
    <t>TC-CHR-167</t>
  </si>
  <si>
    <t>Birthday reminder delivered in-app</t>
  </si>
  <si>
    <t>Birthday rule enabled In-app; an employee's birthday is today</t>
  </si>
  <si>
    <t xml:space="preserve">1. Wait for the nightly scan
2. Check bell of the employee/manager</t>
  </si>
  <si>
    <t>Birthday rule enabled In-app; an employee's birthday is today → Wait for the nightly scan → Check bell of the employee/manager</t>
  </si>
  <si>
    <t>One birthday alert per recipient; re-running the scan the same day sends no duplicate</t>
  </si>
  <si>
    <t>TC-CHR-168</t>
  </si>
  <si>
    <t>Work anniversary not raised on joining day</t>
  </si>
  <si>
    <t>An employee joined today</t>
  </si>
  <si>
    <t>1. After nightly scan check notifications</t>
  </si>
  <si>
    <t>An employee joined today → After nightly scan check notifications</t>
  </si>
  <si>
    <t>No anniversary alert for the joining day</t>
  </si>
  <si>
    <t>TC-CHR-169</t>
  </si>
  <si>
    <t>Manager audience with no manager falls back to employee</t>
  </si>
  <si>
    <t>Rule audience Reporting manager; employee without Reports To has a document expiring in 7 days</t>
  </si>
  <si>
    <t>Rule audience Reporting manager; employee without Reports To has a document expiring in 7 days → After nightly scan check notifications</t>
  </si>
  <si>
    <t>Alert goes to the employee instead of being dropped</t>
  </si>
  <si>
    <t>TC-CHR-170</t>
  </si>
  <si>
    <t>Staff cannot edit reminder rules</t>
  </si>
  <si>
    <t>1. Open /hrms/reminder-rules by URL</t>
  </si>
  <si>
    <t>Logged in as an employee with access role Staff (User Level Team Member), login created via Core HR (initial password = employee code) → Open /hrms/reminder-rules by URL</t>
  </si>
  <si>
    <t>Access denied</t>
  </si>
  <si>
    <t>TC-CHR-171</t>
  </si>
  <si>
    <t>Employee Excel Import page opens and renders</t>
  </si>
  <si>
    <t>1. Open Core HR &gt; Employee Excel Import</t>
  </si>
  <si>
    <t>Logged in as HRMS admin amit (Amit Kumar Shaji, role HRMS / Administrator) → Open Core HR &gt; Employee Excel Import</t>
  </si>
  <si>
    <t>Branch select (Choose, Main Branch, Kannur), Upload Excel file input, Excel Rules and Upload buttons, upload history grid; no error</t>
  </si>
  <si>
    <t>Linear 005 Employee Excel Import — page check</t>
  </si>
  <si>
    <t>TC-CHR-172</t>
  </si>
  <si>
    <t>Rules</t>
  </si>
  <si>
    <t>Excel Rules panel lists mandatory/optional columns</t>
  </si>
  <si>
    <t>1. Click Excel Rules</t>
  </si>
  <si>
    <t>Logged in as HRMS admin amit (Amit Kumar Shaji, role HRMS / Administrator) → Click Excel Rules</t>
  </si>
  <si>
    <t>States mandatory: First Name, Country Code, Mobile Number, Email Address, Designation, Branch, Department, Joining Date, Role Group, User Level; optional: Last Name, Username, Work Type, Employee Code; defaults explained</t>
  </si>
  <si>
    <t>§4.12</t>
  </si>
  <si>
    <t>TC-CHR-173</t>
  </si>
  <si>
    <t>Template</t>
  </si>
  <si>
    <t>Download the sample workbook</t>
  </si>
  <si>
    <t>1. Click the sample/template download link</t>
  </si>
  <si>
    <t>Logged in as HRMS admin amit (Amit Kumar Shaji, role HRMS / Administrator) → Click the sample/template download link</t>
  </si>
  <si>
    <t>An .xlsx with the 14 columns in order is downloaded</t>
  </si>
  <si>
    <t>TC-CHR-174</t>
  </si>
  <si>
    <t>Import</t>
  </si>
  <si>
    <t>Import a valid file with two employees</t>
  </si>
  <si>
    <t>2 realistic people, unique mobiles/e-mails @example.com, Designation SOFTWARE TESTER, Department Testing, Role Group Staff, User Level Team Member</t>
  </si>
  <si>
    <t xml:space="preserve">1. Choose Branch Main Branch
2. Select a valid .xlsx with 2 rows
3. Click Upload
4. Open the upload record</t>
  </si>
  <si>
    <t>Logged in as HRMS admin amit (Amit Kumar Shaji, role HRMS / Administrator) → Choose Branch Main Branch → Select a valid .xlsx with 2 rows → Click Upload → Open the upload record</t>
  </si>
  <si>
    <t>Upload queued and processed; both rows succeed; employees appear in the list with auto codes; login username = code when blank</t>
  </si>
  <si>
    <t>TC-CHR-175</t>
  </si>
  <si>
    <t>Mixed file imports valid rows and lists failures</t>
  </si>
  <si>
    <t>1. Upload a file with 2 valid rows and 1 invalid row</t>
  </si>
  <si>
    <t>Logged in as HRMS admin amit (Amit Kumar Shaji, role HRMS / Administrator) → Upload a file with 2 valid rows and 1 invalid row</t>
  </si>
  <si>
    <t>Valid rows imported; invalid row listed with reason and Excel row number; failed rows exportable</t>
  </si>
  <si>
    <t>TC-CHR-176</t>
  </si>
  <si>
    <t>Non-Excel file rejected</t>
  </si>
  <si>
    <t>employees.csv</t>
  </si>
  <si>
    <t xml:space="preserve">1. Select a .csv or .pdf
2. Click Upload</t>
  </si>
  <si>
    <t>Logged in as HRMS admin amit (Amit Kumar Shaji, role HRMS / Administrator) → Select a .csv or .pdf → Click Upload</t>
  </si>
  <si>
    <t>"Only .xls and .xlsx files are allowed" — upload refused</t>
  </si>
  <si>
    <t>TC-CHR-177</t>
  </si>
  <si>
    <t>Upload without choosing a file</t>
  </si>
  <si>
    <t>1. Click Upload with no file</t>
  </si>
  <si>
    <t>Logged in as HRMS admin amit (Amit Kumar Shaji, role HRMS / Administrator) → Click Upload with no file</t>
  </si>
  <si>
    <t>Message asking to choose a file; nothing queued</t>
  </si>
  <si>
    <t>TC-CHR-178</t>
  </si>
  <si>
    <t>Upload without choosing a branch</t>
  </si>
  <si>
    <t xml:space="preserve">1. Leave Branch on Choose
2. Select a valid file
3. Upload</t>
  </si>
  <si>
    <t>Logged in as HRMS admin amit (Amit Kumar Shaji, role HRMS / Administrator) → Leave Branch on Choose → Select a valid file → Upload</t>
  </si>
  <si>
    <t>Branch required message, or rows use their own Branch column as documented in Excel Rules</t>
  </si>
  <si>
    <t>TC-CHR-179</t>
  </si>
  <si>
    <t>Row missing a mandatory column</t>
  </si>
  <si>
    <t>1. Upload a row with blank Email Address</t>
  </si>
  <si>
    <t>Logged in as HRMS admin amit (Amit Kumar Shaji, role HRMS / Administrator) → Upload a row with blank Email Address</t>
  </si>
  <si>
    <t>Row failed: "Email Address is missing (row 2)"; others continue</t>
  </si>
  <si>
    <t>TC-CHR-180</t>
  </si>
  <si>
    <t>Unknown master value</t>
  </si>
  <si>
    <t>1. Upload a row with Designation "Astronaut"</t>
  </si>
  <si>
    <t>Logged in as HRMS admin amit (Amit Kumar Shaji, role HRMS / Administrator) → Upload a row with Designation "Astronaut"</t>
  </si>
  <si>
    <t>Row failed: "Designation 'Astronaut' does not exist (row n)"</t>
  </si>
  <si>
    <t>TC-CHR-181</t>
  </si>
  <si>
    <t>Duplicate mobile within the file</t>
  </si>
  <si>
    <t>1. Upload 2 rows with the same mobile number</t>
  </si>
  <si>
    <t>Logged in as HRMS admin amit (Amit Kumar Shaji, role HRMS / Administrator) → Upload 2 rows with the same mobile number</t>
  </si>
  <si>
    <t>Second row failed: "Mobile Number '…' is repeated in the file (row n)"</t>
  </si>
  <si>
    <t>TC-CHR-182</t>
  </si>
  <si>
    <t>E-mail already used by an existing employee</t>
  </si>
  <si>
    <t>1. Upload a row with an existing employee's e-mail</t>
  </si>
  <si>
    <t>Logged in as HRMS admin amit (Amit Kumar Shaji, role HRMS / Administrator) → Upload a row with an existing employee's e-mail</t>
  </si>
  <si>
    <t>Row failed: "An employee with Email Address '…' already exists (row n)"</t>
  </si>
  <si>
    <t>TC-CHR-183</t>
  </si>
  <si>
    <t>Invalid joining date text</t>
  </si>
  <si>
    <t>1. Upload Joining Date "31/31/2026"</t>
  </si>
  <si>
    <t>Logged in as HRMS admin amit (Amit Kumar Shaji, role HRMS / Administrator) → Upload Joining Date "31/31/2026"</t>
  </si>
  <si>
    <t>Row failed: "Joining Date '31/31/2026' at row n is not a valid date (use dd-MM-yyyy)"</t>
  </si>
  <si>
    <t>TC-CHR-184</t>
  </si>
  <si>
    <t>Joining date more than one year ahead</t>
  </si>
  <si>
    <t>1. Upload Joining Date today + 366 days</t>
  </si>
  <si>
    <t>Logged in as HRMS admin amit (Amit Kumar Shaji, role HRMS / Administrator) → Upload Joining Date today + 366 days</t>
  </si>
  <si>
    <t>Row rejected; today + 365 accepted</t>
  </si>
  <si>
    <t>TC-CHR-185</t>
  </si>
  <si>
    <t>Invalid Work Type</t>
  </si>
  <si>
    <t>1. Upload Work Type "Moon"</t>
  </si>
  <si>
    <t>Logged in as HRMS admin amit (Amit Kumar Shaji, role HRMS / Administrator) → Upload Work Type "Moon"</t>
  </si>
  <si>
    <t>Row rejected; allowed Office, Remote, Field, Hybrid, ClientSite</t>
  </si>
  <si>
    <t>TC-CHR-186</t>
  </si>
  <si>
    <t>Mobile number length 7–15</t>
  </si>
  <si>
    <t>1. Upload rows with 6, 7, 15 and 16 digit mobiles</t>
  </si>
  <si>
    <t>Logged in as HRMS admin amit (Amit Kumar Shaji, role HRMS / Administrator) → Upload rows with 6, 7, 15 and 16 digit mobiles</t>
  </si>
  <si>
    <t>6 and 16 rejected; 7 and 15 accepted</t>
  </si>
  <si>
    <t>§7.10</t>
  </si>
  <si>
    <t>TC-CHR-187</t>
  </si>
  <si>
    <t>Digits in First Name row</t>
  </si>
  <si>
    <t>1. Upload a row with First Name "Rohan2"</t>
  </si>
  <si>
    <t>Logged in as HRMS admin amit (Amit Kumar Shaji, role HRMS / Administrator) → Upload a row with First Name "Rohan2"</t>
  </si>
  <si>
    <t>Row rejected with the same name rule as the form</t>
  </si>
  <si>
    <t>TC-CHR-188</t>
  </si>
  <si>
    <t>Imported employee can sign in with code</t>
  </si>
  <si>
    <t>An employee imported successfully</t>
  </si>
  <si>
    <t>1. Sign in with the imported username (or code) and password = employee code</t>
  </si>
  <si>
    <t>An employee imported successfully → Sign in with the imported username (or code) and password = employee code</t>
  </si>
  <si>
    <t>Sign-in succeeds</t>
  </si>
  <si>
    <t>TC-CHR-189</t>
  </si>
  <si>
    <t>Staff cannot open Excel Import</t>
  </si>
  <si>
    <t>1. Open /upload-employee by URL</t>
  </si>
  <si>
    <t>Logged in as an employee with access role Staff (User Level Team Member), login created via Core HR (initial password = employee code) → Open /upload-employee by URL</t>
  </si>
  <si>
    <t>TC-CHR-190</t>
  </si>
  <si>
    <t>Letter Templates page opens and renders</t>
  </si>
  <si>
    <t>1. Open Core HR &gt; Letters &gt; Letter Templates</t>
  </si>
  <si>
    <t>Logged in as HRMS admin amit (Amit Kumar Shaji, role HRMS / Administrator) → Open Core HR &gt; Letters &gt; Letter Templates</t>
  </si>
  <si>
    <t>Template list renders; buttons Letterheads, Merge Fields, Generate Letter, New Template; no error</t>
  </si>
  <si>
    <t>Linear 006 Letter Templates — page check</t>
  </si>
  <si>
    <t>TC-CHR-191</t>
  </si>
  <si>
    <t>Create template</t>
  </si>
  <si>
    <t>Create a template with mandatory fields</t>
  </si>
  <si>
    <t>Logged in as HRMS admin amit (Amit Kumar Shaji, role HRMS / Administrator); Letter Templates page open, New Template form opened</t>
  </si>
  <si>
    <t>Name: Experience Letter (Auto 20-Oct 10.15.00); Type: Experience; Subject: Experience Certificate; Body: This is to certify that {{EmployeeName}} …</t>
  </si>
  <si>
    <t xml:space="preserve">1. Enter Template Name
2. Letter is about Employee
3. Choose Type
4. Enter Subject
5. Enter body text with a token
6. Save</t>
  </si>
  <si>
    <t>Logged in as HRMS admin amit (Amit Kumar Shaji, role HRMS / Administrator); Letter Templates page open, New Template form opened → Enter Template Name → Letter is about Employee → Choose Type → Enter Subject → Enter body text with a token → Save</t>
  </si>
  <si>
    <t>"Letter template saved successfully"; template listed</t>
  </si>
  <si>
    <t>Linear 006 Letter Templates — createLetterTemplate</t>
  </si>
  <si>
    <t>TC-CHR-192</t>
  </si>
  <si>
    <t>Type is disabled until Letter is about is chosen</t>
  </si>
  <si>
    <t xml:space="preserve">1. Observe Type
2. Choose Letter is about Employee</t>
  </si>
  <si>
    <t>Logged in as HRMS admin amit (Amit Kumar Shaji, role HRMS / Administrator); Letter Templates page open, New Template form opened → Observe Type → Choose Letter is about Employee</t>
  </si>
  <si>
    <t>Type shows "-- Choose what the letter is about first --" and is disabled; enables with Employee types after choosing</t>
  </si>
  <si>
    <t>TC-CHR-193</t>
  </si>
  <si>
    <t>Type list depends on owner</t>
  </si>
  <si>
    <t xml:space="preserve">1. Choose Employee and open Type
2. Choose Candidate and open Type</t>
  </si>
  <si>
    <t>Logged in as HRMS admin amit (Amit Kumar Shaji, role HRMS / Administrator); Letter Templates page open, New Template form opened → Choose Employee and open Type → Choose Candidate and open Type</t>
  </si>
  <si>
    <t>Employee: Appointment, Confirmation, Experience, Promotion, Increment, NOC, Address Proof, Relieving, Termination, Probation Extension, Service Certificate, Custom; Candidate: Offer, Appointment, Custom</t>
  </si>
  <si>
    <t>FR-L-02</t>
  </si>
  <si>
    <t>TC-CHR-194</t>
  </si>
  <si>
    <t>Insert merge token from the token panel</t>
  </si>
  <si>
    <t xml:space="preserve">1. Type "Employee" in Search tokens…
2. Click {{EmployeeName}}</t>
  </si>
  <si>
    <t>Logged in as HRMS admin amit (Amit Kumar Shaji, role HRMS / Administrator); Letter Templates page open, New Template form opened → Type "Employee" in Search tokens… → Click {{EmployeeName}}</t>
  </si>
  <si>
    <t>Token is inserted at the cursor in the body editor</t>
  </si>
  <si>
    <t>TC-CHR-195</t>
  </si>
  <si>
    <t>Choose a letterhead</t>
  </si>
  <si>
    <t xml:space="preserve">1. Choose Letterhead CP LETTER
2. Fill required
3. Save
4. Preview</t>
  </si>
  <si>
    <t>Logged in as HRMS admin amit (Amit Kumar Shaji, role HRMS / Administrator); Letter Templates page open, New Template form opened → Choose Letterhead CP LETTER → Fill required → Save → Preview</t>
  </si>
  <si>
    <t>Saved; preview renders on the letterhead (logo/header/footer)</t>
  </si>
  <si>
    <t>TC-CHR-196</t>
  </si>
  <si>
    <t>Token in subject</t>
  </si>
  <si>
    <t xml:space="preserve">1. Subject "Experience Certificate – {{EmployeeName}}"
2. Save
3. Generate for an employee</t>
  </si>
  <si>
    <t>Logged in as HRMS admin amit (Amit Kumar Shaji, role HRMS / Administrator); Letter Templates page open, New Template form opened → Subject "Experience Certificate – {{EmployeeName}}" → Save → Generate for an employee</t>
  </si>
  <si>
    <t>Subject is merged with the employee name</t>
  </si>
  <si>
    <t>BR-06</t>
  </si>
  <si>
    <t>TC-CHR-197</t>
  </si>
  <si>
    <t>Template Name missing</t>
  </si>
  <si>
    <t xml:space="preserve">1. Leave Template Name empty
2. Fill other fields
3. Save</t>
  </si>
  <si>
    <t>Logged in as HRMS admin amit (Amit Kumar Shaji, role HRMS / Administrator); Letter Templates page open, New Template form opened → Leave Template Name empty → Fill other fields → Save</t>
  </si>
  <si>
    <t>"Please enter a template name"</t>
  </si>
  <si>
    <t>§10</t>
  </si>
  <si>
    <t>TC-CHR-198</t>
  </si>
  <si>
    <t>Letter is about missing</t>
  </si>
  <si>
    <t xml:space="preserve">1. Leave Letter is about on -- Select --
2. Save</t>
  </si>
  <si>
    <t>Logged in as HRMS admin amit (Amit Kumar Shaji, role HRMS / Administrator); Letter Templates page open, New Template form opened → Leave Letter is about on -- Select -- → Save</t>
  </si>
  <si>
    <t>"Please select who this letter is for"</t>
  </si>
  <si>
    <t>TC-CHR-199</t>
  </si>
  <si>
    <t>Type missing</t>
  </si>
  <si>
    <t xml:space="preserve">1. Choose Employee but no Type
2. Save</t>
  </si>
  <si>
    <t>Logged in as HRMS admin amit (Amit Kumar Shaji, role HRMS / Administrator); Letter Templates page open, New Template form opened → Choose Employee but no Type → Save</t>
  </si>
  <si>
    <t>"Please select a letter type"</t>
  </si>
  <si>
    <t>TC-CHR-200</t>
  </si>
  <si>
    <t>Subject missing</t>
  </si>
  <si>
    <t xml:space="preserve">1. Leave Subject empty
2. Save</t>
  </si>
  <si>
    <t>Logged in as HRMS admin amit (Amit Kumar Shaji, role HRMS / Administrator); Letter Templates page open, New Template form opened → Leave Subject empty → Save</t>
  </si>
  <si>
    <t>"Please enter a subject"</t>
  </si>
  <si>
    <t>TC-CHR-201</t>
  </si>
  <si>
    <t>Body missing</t>
  </si>
  <si>
    <t xml:space="preserve">1. Fill name, owner, type, subject
2. Leave body empty
3. Save</t>
  </si>
  <si>
    <t>Logged in as HRMS admin amit (Amit Kumar Shaji, role HRMS / Administrator); Letter Templates page open, New Template form opened → Fill name, owner, type, subject → Leave body empty → Save</t>
  </si>
  <si>
    <t>"Please enter the letter body" — not saved</t>
  </si>
  <si>
    <t>Observed: the linear run saves a template without typing a body — verify whether the body is really enforced (SRS says mandatory)</t>
  </si>
  <si>
    <t>FR-L-01</t>
  </si>
  <si>
    <t>TC-CHR-202</t>
  </si>
  <si>
    <t>Template name with only digits/punctuation rejected</t>
  </si>
  <si>
    <t xml:space="preserve">1. Enter Template Name "12345"
2. Save
3. Try "!!!"</t>
  </si>
  <si>
    <t>Logged in as HRMS admin amit (Amit Kumar Shaji, role HRMS / Administrator); Letter Templates page open, New Template form opened → Enter Template Name "12345" → Save → Try "!!!"</t>
  </si>
  <si>
    <t>"Template name must contain letters, and may only use letters, numbers, spaces and - _ / &amp; . , ( ) ' [ ]"</t>
  </si>
  <si>
    <t>§7.1</t>
  </si>
  <si>
    <t>TC-CHR-203</t>
  </si>
  <si>
    <t>Template name with emoji rejected</t>
  </si>
  <si>
    <t xml:space="preserve">1. Enter "Offer 😀"
2. Save</t>
  </si>
  <si>
    <t>Logged in as HRMS admin amit (Amit Kumar Shaji, role HRMS / Administrator); Letter Templates page open, New Template form opened → Enter "Offer 😀" → Save</t>
  </si>
  <si>
    <t>Rejected with the invalid-name message</t>
  </si>
  <si>
    <t>TC-CHR-204</t>
  </si>
  <si>
    <t>Template name 200 / 201 characters</t>
  </si>
  <si>
    <t xml:space="preserve">1. Enter 200 characters
2. Save
3. Enter 201
4. Save</t>
  </si>
  <si>
    <t>Logged in as HRMS admin amit (Amit Kumar Shaji, role HRMS / Administrator); Letter Templates page open, New Template form opened → Enter 200 characters → Save → Enter 201 → Save</t>
  </si>
  <si>
    <t>200 accepted; 201 rejected or capped</t>
  </si>
  <si>
    <t>TC-CHR-205</t>
  </si>
  <si>
    <t>Body over 15,000 characters</t>
  </si>
  <si>
    <t xml:space="preserve">1. Paste 15,001 visible characters into the body
2. Save</t>
  </si>
  <si>
    <t>Logged in as HRMS admin amit (Amit Kumar Shaji, role HRMS / Administrator); Letter Templates page open, New Template form opened → Paste 15,001 visible characters into the body → Save</t>
  </si>
  <si>
    <t>"The letter body is too long. Please keep it under 15,000 characters."</t>
  </si>
  <si>
    <t>TC-CHR-206</t>
  </si>
  <si>
    <t>Duplicate template name rejected</t>
  </si>
  <si>
    <t>Logged in as HRMS admin amit (Amit Kumar Shaji, role HRMS / Administrator); Letter Templates page open, New Template form opened; template "Experience Letter (Auto …)" exists</t>
  </si>
  <si>
    <t xml:space="preserve">1. Enter the same name
2. Fill rest
3. Save</t>
  </si>
  <si>
    <t>Logged in as HRMS admin amit (Amit Kumar Shaji, role HRMS / Administrator); Letter Templates page open, New Template form opened; template "Experience Letter (Auto …)" exists → Enter the same name → Fill rest → Save</t>
  </si>
  <si>
    <t>"A template named "X" already exists. Please use a different name."</t>
  </si>
  <si>
    <t>FR-L-03</t>
  </si>
  <si>
    <t>TC-CHR-207</t>
  </si>
  <si>
    <t>Edit</t>
  </si>
  <si>
    <t>Edit a template</t>
  </si>
  <si>
    <t>Logged in as HRMS admin amit (Amit Kumar Shaji, role HRMS / Administrator); a test template exists</t>
  </si>
  <si>
    <t xml:space="preserve">1. Click edit
2. Change Subject
3. Save</t>
  </si>
  <si>
    <t>Logged in as HRMS admin amit (Amit Kumar Shaji, role HRMS / Administrator); a test template exists → Click edit → Change Subject → Save</t>
  </si>
  <si>
    <t>Saved; list shows the change; renaming to its own name is allowed</t>
  </si>
  <si>
    <t>TC-CHR-208</t>
  </si>
  <si>
    <t>Deactivate a template hides it from Generate</t>
  </si>
  <si>
    <t>Logged in as HRMS admin amit (Amit Kumar Shaji, role HRMS / Administrator); test template active</t>
  </si>
  <si>
    <t xml:space="preserve">1. Edit
2. Untick Active
3. Save
4. Open Generate Letter template list</t>
  </si>
  <si>
    <t>Logged in as HRMS admin amit (Amit Kumar Shaji, role HRMS / Administrator); test template active → Edit → Untick Active → Save → Open Generate Letter template list</t>
  </si>
  <si>
    <t>Template no longer offered in Generate or any module picker</t>
  </si>
  <si>
    <t>BR-04</t>
  </si>
  <si>
    <t>TC-CHR-209</t>
  </si>
  <si>
    <t>Preview</t>
  </si>
  <si>
    <t>Preview template shows tokens as chips</t>
  </si>
  <si>
    <t>Logged in as HRMS admin amit (Amit Kumar Shaji, role HRMS / Administrator); a template with tokens</t>
  </si>
  <si>
    <t>1. Click Preview on the template</t>
  </si>
  <si>
    <t>Logged in as HRMS admin amit (Amit Kumar Shaji, role HRMS / Administrator); a template with tokens → Click Preview on the template</t>
  </si>
  <si>
    <t>Paper-sized preview with {{tokens}} highlighted as chips, not resolved; nothing saved</t>
  </si>
  <si>
    <t>FR-L-05</t>
  </si>
  <si>
    <t>TC-CHR-210</t>
  </si>
  <si>
    <t>Delete</t>
  </si>
  <si>
    <t>Delete an unused template with confirmation</t>
  </si>
  <si>
    <t>Logged in as HRMS admin amit (Amit Kumar Shaji, role HRMS / Administrator); a template with no generated letters</t>
  </si>
  <si>
    <t xml:space="preserve">1. Click delete
2. Confirm</t>
  </si>
  <si>
    <t>Logged in as HRMS admin amit (Amit Kumar Shaji, role HRMS / Administrator); a template with no generated letters → Click delete → Confirm</t>
  </si>
  <si>
    <t>Confirmation dialog; template removed from list</t>
  </si>
  <si>
    <t>TC-CHR-211</t>
  </si>
  <si>
    <t>Template with issued letters cannot be deleted</t>
  </si>
  <si>
    <t>Logged in as HRMS admin amit (Amit Kumar Shaji, role HRMS / Administrator); template "Appoinment" has generated letters</t>
  </si>
  <si>
    <t xml:space="preserve">1. Click delete on it
2. Confirm</t>
  </si>
  <si>
    <t>Logged in as HRMS admin amit (Amit Kumar Shaji, role HRMS / Administrator); template "Appoinment" has generated letters → Click delete on it → Confirm</t>
  </si>
  <si>
    <t>"This template has issued letters and cannot be deleted. Deactivate it instead."</t>
  </si>
  <si>
    <t>FR-L-04</t>
  </si>
  <si>
    <t>TC-CHR-212</t>
  </si>
  <si>
    <t>Search / filter templates</t>
  </si>
  <si>
    <t>1. Use the list filter/search for "Experience"</t>
  </si>
  <si>
    <t>Logged in as HRMS admin amit (Amit Kumar Shaji, role HRMS / Administrator) → Use the list filter/search for "Experience"</t>
  </si>
  <si>
    <t>Only matching templates listed</t>
  </si>
  <si>
    <t>TC-CHR-213</t>
  </si>
  <si>
    <t>Header buttons open related pages</t>
  </si>
  <si>
    <t xml:space="preserve">1. Click Letterheads
2. Back
3. Click Merge Fields
4. Back
5. Click Generate Letter</t>
  </si>
  <si>
    <t>Logged in as HRMS admin amit (Amit Kumar Shaji, role HRMS / Administrator) → Click Letterheads → Back → Click Merge Fields → Back → Click Generate Letter</t>
  </si>
  <si>
    <t>Open /letters/letterheads, /letters/fields, /letters/generate</t>
  </si>
  <si>
    <t>TC-CHR-214</t>
  </si>
  <si>
    <t>Staff cannot manage templates</t>
  </si>
  <si>
    <t>1. Open /letters/templates by URL</t>
  </si>
  <si>
    <t>Logged in as an employee with access role Staff (User Level Team Member), login created via Core HR (initial password = employee code) → Open /letters/templates by URL</t>
  </si>
  <si>
    <t>TC-CHR-215</t>
  </si>
  <si>
    <t>Generate Letter page opens and renders</t>
  </si>
  <si>
    <t>1. Open Core HR &gt; Letters &gt; Generate Letter</t>
  </si>
  <si>
    <t>Logged in as HRMS admin amit (Amit Kumar Shaji, role HRMS / Administrator) → Open Core HR &gt; Letters &gt; Generate Letter</t>
  </si>
  <si>
    <t>Fields Letter is about*, Template*, Branch*, Employee*, Email the letter, buttons Preview and Generate; no error</t>
  </si>
  <si>
    <t>Linear 007 Generate Letter — page check</t>
  </si>
  <si>
    <t>TC-CHR-216</t>
  </si>
  <si>
    <t>Generate</t>
  </si>
  <si>
    <t>Generate an employee letter</t>
  </si>
  <si>
    <t>Logged in as HRMS admin amit (Amit Kumar Shaji, role HRMS / Administrator); Generate Letter page open; run employee exists; active template "Appoinment"</t>
  </si>
  <si>
    <t xml:space="preserve">1. Letter is about Employee
2. Template Appoinment
3. Branch Main Branch
4. Employee = run employee
5. Click Generate</t>
  </si>
  <si>
    <t>Logged in as HRMS admin amit (Amit Kumar Shaji, role HRMS / Administrator); Generate Letter page open; run employee exists; active template "Appoinment" → Letter is about Employee → Template Appoinment → Branch Main Branch → Employee = run employee → Click Generate</t>
  </si>
  <si>
    <t>"Letter generated" confirmation; View and Download offered</t>
  </si>
  <si>
    <t>Linear 007 Generate Letter — generateLetter</t>
  </si>
  <si>
    <t>TC-CHR-217</t>
  </si>
  <si>
    <t>Employee list loads after Branch</t>
  </si>
  <si>
    <t xml:space="preserve">1. Choose Branch Main Branch
2. Open Employee</t>
  </si>
  <si>
    <t>Logged in as HRMS admin amit (Amit Kumar Shaji, role HRMS / Administrator); Generate Letter page open; run employee exists; active template "Appoinment" → Choose Branch Main Branch → Open Employee</t>
  </si>
  <si>
    <t>Employee list populated with employees of that branch (incl. run employee with code)</t>
  </si>
  <si>
    <t>TC-CHR-218</t>
  </si>
  <si>
    <t>Preview merges against the chosen employee</t>
  </si>
  <si>
    <t xml:space="preserve">1. Choose owner, template, branch, employee
2. Click Preview</t>
  </si>
  <si>
    <t>Logged in as HRMS admin amit (Amit Kumar Shaji, role HRMS / Administrator); Generate Letter page open; run employee exists; active template "Appoinment" → Choose owner, template, branch, employee → Click Preview</t>
  </si>
  <si>
    <t>Merged subject/body show the employee's name, code, designation; nothing saved</t>
  </si>
  <si>
    <t>FR-L-06</t>
  </si>
  <si>
    <t>TC-CHR-219</t>
  </si>
  <si>
    <t>Download the generated letter</t>
  </si>
  <si>
    <t>Logged in as HRMS admin amit (Amit Kumar Shaji, role HRMS / Administrator); Generate Letter page open; run employee exists; active template "Appoinment"; letter just generated</t>
  </si>
  <si>
    <t>1. Click Download</t>
  </si>
  <si>
    <t>Logged in as HRMS admin amit (Amit Kumar Shaji, role HRMS / Administrator); Generate Letter page open; run employee exists; active template "Appoinment"; letter just generated → Click Download</t>
  </si>
  <si>
    <t>File downloads and shows merged content on the letterhead</t>
  </si>
  <si>
    <t>TC-CHR-220</t>
  </si>
  <si>
    <t>Generated letter appears in employee ESS Letters</t>
  </si>
  <si>
    <t>Letter generated for the run employee</t>
  </si>
  <si>
    <t xml:space="preserve">1. Sign in as the run employee
2. Open My Workspace &gt; Letters</t>
  </si>
  <si>
    <t>Letter generated for the run employee → Sign in as the run employee → Open My Workspace &gt; Letters</t>
  </si>
  <si>
    <t>Letter listed newest first with issuer and date; can be viewed and acknowledged once</t>
  </si>
  <si>
    <t>BR-19</t>
  </si>
  <si>
    <t>TC-CHR-221</t>
  </si>
  <si>
    <t>Letter Issued event on the employee timeline</t>
  </si>
  <si>
    <t>1. Open the employee profile History tab</t>
  </si>
  <si>
    <t>Letter generated for the run employee → Open the employee profile History tab</t>
  </si>
  <si>
    <t>LetterIssued event recorded</t>
  </si>
  <si>
    <t>BR-20</t>
  </si>
  <si>
    <t>TC-CHR-222</t>
  </si>
  <si>
    <t>Unknown token resolves blank</t>
  </si>
  <si>
    <t>Logged in as HRMS admin amit (Amit Kumar Shaji, role HRMS / Administrator); template body contains {{NoSuchToken}}</t>
  </si>
  <si>
    <t>1. Generate for an employee</t>
  </si>
  <si>
    <t>Logged in as HRMS admin amit (Amit Kumar Shaji, role HRMS / Administrator); template body contains {{NoSuchToken}} → Generate for an employee</t>
  </si>
  <si>
    <t>Letter generated; unknown token rendered empty; no failure</t>
  </si>
  <si>
    <t>FR-L-09</t>
  </si>
  <si>
    <t>TC-CHR-223</t>
  </si>
  <si>
    <t>Empty template body guard</t>
  </si>
  <si>
    <t>Logged in as HRMS admin amit (Amit Kumar Shaji, role HRMS / Administrator); a template with an empty body</t>
  </si>
  <si>
    <t>1. Generate with that template</t>
  </si>
  <si>
    <t>Logged in as HRMS admin amit (Amit Kumar Shaji, role HRMS / Administrator); a template with an empty body → Generate with that template</t>
  </si>
  <si>
    <t>"The letter template "X" has no content. Add the letter body under Letters &gt; Templates before generating."</t>
  </si>
  <si>
    <t>FR-L-08</t>
  </si>
  <si>
    <t>TC-CHR-224</t>
  </si>
  <si>
    <t>Candidate letter</t>
  </si>
  <si>
    <t>Logged in as HRMS admin amit (Amit Kumar Shaji, role HRMS / Administrator); a candidate exists; Candidate template exists</t>
  </si>
  <si>
    <t xml:space="preserve">1. Letter is about Candidate
2. Choose template
3. Search and pick the candidate
4. Generate</t>
  </si>
  <si>
    <t>Logged in as HRMS admin amit (Amit Kumar Shaji, role HRMS / Administrator); a candidate exists; Candidate template exists → Letter is about Candidate → Choose template → Search and pick the candidate → Generate</t>
  </si>
  <si>
    <t>Letter generated with candidate tokens (Name, Position, CTC) merged</t>
  </si>
  <si>
    <t>FR-L-12</t>
  </si>
  <si>
    <t>TC-CHR-225</t>
  </si>
  <si>
    <t>Generate without Template</t>
  </si>
  <si>
    <t xml:space="preserve">1. Choose Employee owner, Branch, Employee
2. Leave Template
3. Generate</t>
  </si>
  <si>
    <t>Logged in as HRMS admin amit (Amit Kumar Shaji, role HRMS / Administrator); Generate Letter page open; run employee exists; active template "Appoinment" → Choose Employee owner, Branch, Employee → Leave Template → Generate</t>
  </si>
  <si>
    <t>Template required message; nothing generated</t>
  </si>
  <si>
    <t>TC-CHR-226</t>
  </si>
  <si>
    <t>Generate without Branch / Employee</t>
  </si>
  <si>
    <t xml:space="preserve">1. Choose template
2. Leave Branch and Employee
3. Generate</t>
  </si>
  <si>
    <t>Logged in as HRMS admin amit (Amit Kumar Shaji, role HRMS / Administrator); Generate Letter page open; run employee exists; active template "Appoinment" → Choose template → Leave Branch and Employee → Generate</t>
  </si>
  <si>
    <t>Branch and Employee required messages</t>
  </si>
  <si>
    <t>TC-CHR-227</t>
  </si>
  <si>
    <t>Email</t>
  </si>
  <si>
    <t>Email the letter requires recipient</t>
  </si>
  <si>
    <t xml:space="preserve">1. Tick Email the letter
2. Clear recipient
3. Generate</t>
  </si>
  <si>
    <t>Logged in as HRMS admin amit (Amit Kumar Shaji, role HRMS / Administrator); Generate Letter page open; run employee exists; active template "Appoinment" → Tick Email the letter → Clear recipient → Generate</t>
  </si>
  <si>
    <t>Recipient e-mail mandatory message</t>
  </si>
  <si>
    <t>FR-L-10</t>
  </si>
  <si>
    <t>TC-CHR-228</t>
  </si>
  <si>
    <t>Email the letter to the employee</t>
  </si>
  <si>
    <t xml:space="preserve">1. Tick Email the letter
2. Keep prefilled @example.com e-mail
3. Generate</t>
  </si>
  <si>
    <t>Logged in as HRMS admin amit (Amit Kumar Shaji, role HRMS / Administrator); Generate Letter page open; run employee exists; active template "Appoinment" → Tick Email the letter → Keep prefilled @example.com e-mail → Generate</t>
  </si>
  <si>
    <t>Letter generated and e-mailed; EmailedOn/EmailedTo stamped</t>
  </si>
  <si>
    <t>Linear run leaves e-mail off</t>
  </si>
  <si>
    <t>TC-CHR-229</t>
  </si>
  <si>
    <t>Form behaviour</t>
  </si>
  <si>
    <t>Changing Letter is about resets template and owner</t>
  </si>
  <si>
    <t xml:space="preserve">1. Pick all fields
2. Change Letter is about to Candidate</t>
  </si>
  <si>
    <t>Logged in as HRMS admin amit (Amit Kumar Shaji, role HRMS / Administrator); Generate Letter page open; run employee exists; active template "Appoinment" → Pick all fields → Change Letter is about to Candidate</t>
  </si>
  <si>
    <t>Template list reloads; previous employee cleared</t>
  </si>
  <si>
    <t>§7.4</t>
  </si>
  <si>
    <t>TC-CHR-230</t>
  </si>
  <si>
    <t>Inactive templates not offered</t>
  </si>
  <si>
    <t>Logged in as HRMS admin amit (Amit Kumar Shaji, role HRMS / Administrator); an inactive template</t>
  </si>
  <si>
    <t>1. Open Template list</t>
  </si>
  <si>
    <t>Logged in as HRMS admin amit (Amit Kumar Shaji, role HRMS / Administrator); an inactive template → Open Template list</t>
  </si>
  <si>
    <t>Inactive template absent</t>
  </si>
  <si>
    <t>TC-CHR-231</t>
  </si>
  <si>
    <t>Staff cannot generate letters</t>
  </si>
  <si>
    <t>1. Open /letters/generate by URL</t>
  </si>
  <si>
    <t>Logged in as an employee with access role Staff (User Level Team Member), login created via Core HR (initial password = employee code) → Open /letters/generate by URL</t>
  </si>
  <si>
    <t>TC-CHR-232</t>
  </si>
  <si>
    <t>Letterheads page opens and renders</t>
  </si>
  <si>
    <t>1. Open Core HR &gt; Letters &gt; Letterheads</t>
  </si>
  <si>
    <t>Logged in as HRMS admin amit (Amit Kumar Shaji, role HRMS / Administrator) → Open Core HR &gt; Letters &gt; Letterheads</t>
  </si>
  <si>
    <t>Letterhead list with "used by N templates" count (e.g. CP LETTER) and a New button; no error</t>
  </si>
  <si>
    <t>Linear 008 Letterheads — page check</t>
  </si>
  <si>
    <t>TC-CHR-233</t>
  </si>
  <si>
    <t>Create</t>
  </si>
  <si>
    <t>Create a letterhead with defaults</t>
  </si>
  <si>
    <t>Name: QA Letterhead (Auto 20-Oct 10.20.00)</t>
  </si>
  <si>
    <t xml:space="preserve">1. Click New
2. Enter Name
3. Keep A4 Portrait and default margins
4. Add header text
5. Save</t>
  </si>
  <si>
    <t>Logged in as HRMS admin amit (Amit Kumar Shaji, role HRMS / Administrator) → Click New → Enter Name → Keep A4 Portrait and default margins → Add header text → Save</t>
  </si>
  <si>
    <t>Saved; listed with 0 templates</t>
  </si>
  <si>
    <t>FR-L-13</t>
  </si>
  <si>
    <t>TC-CHR-234</t>
  </si>
  <si>
    <t>Letterhead name required</t>
  </si>
  <si>
    <t xml:space="preserve">1. New letterhead with blank Name
2. Save</t>
  </si>
  <si>
    <t>Logged in as HRMS admin amit (Amit Kumar Shaji, role HRMS / Administrator) → New letterhead with blank Name → Save</t>
  </si>
  <si>
    <t>Name required message</t>
  </si>
  <si>
    <t>TC-CHR-235</t>
  </si>
  <si>
    <t>Duplicate letterhead name rejected</t>
  </si>
  <si>
    <t>Logged in as HRMS admin amit (Amit Kumar Shaji, role HRMS / Administrator); CP LETTER exists</t>
  </si>
  <si>
    <t xml:space="preserve">1. Create another named CP LETTER
2. Save</t>
  </si>
  <si>
    <t>Logged in as HRMS admin amit (Amit Kumar Shaji, role HRMS / Administrator); CP LETTER exists → Create another named CP LETTER → Save</t>
  </si>
  <si>
    <t>Rejected as duplicate</t>
  </si>
  <si>
    <t>BR-07</t>
  </si>
  <si>
    <t>TC-CHR-236</t>
  </si>
  <si>
    <t>Margins leave no room for text</t>
  </si>
  <si>
    <t xml:space="preserve">1. Set left 100 and right 100 on A4 Portrait (210 mm)
2. Save</t>
  </si>
  <si>
    <t>Logged in as HRMS admin amit (Amit Kumar Shaji, role HRMS / Administrator) → Set left 100 and right 100 on A4 Portrait (210 mm) → Save</t>
  </si>
  <si>
    <t>Rejected — margins must leave room (L+R &lt; width, T+B &lt; height)</t>
  </si>
  <si>
    <t>FR-L-14</t>
  </si>
  <si>
    <t>TC-CHR-237</t>
  </si>
  <si>
    <t>Margin and height ranges</t>
  </si>
  <si>
    <t xml:space="preserve">1. Enter margin 101
2. Enter logo height 4 and 61
3. Save</t>
  </si>
  <si>
    <t>Logged in as HRMS admin amit (Amit Kumar Shaji, role HRMS / Administrator) → Enter margin 101 → Enter logo height 4 and 61 → Save</t>
  </si>
  <si>
    <t>Out-of-range values rejected (margins 0–100, logo height 5–60)</t>
  </si>
  <si>
    <t>TC-CHR-238</t>
  </si>
  <si>
    <t>Landscape swaps page dimensions</t>
  </si>
  <si>
    <t xml:space="preserve">1. Choose Orientation Landscape
2. Preview a template using it</t>
  </si>
  <si>
    <t>Logged in as HRMS admin amit (Amit Kumar Shaji, role HRMS / Administrator) → Choose Orientation Landscape → Preview a template using it</t>
  </si>
  <si>
    <t>Page renders landscape</t>
  </si>
  <si>
    <t>TC-CHR-239</t>
  </si>
  <si>
    <t>Default</t>
  </si>
  <si>
    <t>Only one default letterhead</t>
  </si>
  <si>
    <t>Logged in as HRMS admin amit (Amit Kumar Shaji, role HRMS / Administrator); CP LETTER is default</t>
  </si>
  <si>
    <t xml:space="preserve">1. Edit QA Letterhead
2. Tick Default
3. Save</t>
  </si>
  <si>
    <t>Logged in as HRMS admin amit (Amit Kumar Shaji, role HRMS / Administrator); CP LETTER is default → Edit QA Letterhead → Tick Default → Save</t>
  </si>
  <si>
    <t>QA Letterhead becomes default; CP LETTER loses the flag</t>
  </si>
  <si>
    <t>FR-L-15</t>
  </si>
  <si>
    <t>TC-CHR-240</t>
  </si>
  <si>
    <t>Letterhead in use cannot be deleted</t>
  </si>
  <si>
    <t>Logged in as HRMS admin amit (Amit Kumar Shaji, role HRMS / Administrator); CP LETTER used by a template</t>
  </si>
  <si>
    <t xml:space="preserve">1. Delete CP LETTER
2. Confirm</t>
  </si>
  <si>
    <t>Logged in as HRMS admin amit (Amit Kumar Shaji, role HRMS / Administrator); CP LETTER used by a template → Delete CP LETTER → Confirm</t>
  </si>
  <si>
    <t>"This letterhead is used by one or more templates. Point them at another letterhead first."</t>
  </si>
  <si>
    <t>FR-L-16</t>
  </si>
  <si>
    <t>TC-CHR-241</t>
  </si>
  <si>
    <t>Delete an unused letterhead</t>
  </si>
  <si>
    <t>Logged in as HRMS admin amit (Amit Kumar Shaji, role HRMS / Administrator); QA Letterhead unused</t>
  </si>
  <si>
    <t xml:space="preserve">1. Delete it
2. Confirm</t>
  </si>
  <si>
    <t>Logged in as HRMS admin amit (Amit Kumar Shaji, role HRMS / Administrator); QA Letterhead unused → Delete it → Confirm</t>
  </si>
  <si>
    <t>Removed after confirmation</t>
  </si>
  <si>
    <t>TC-CHR-242</t>
  </si>
  <si>
    <t>Active</t>
  </si>
  <si>
    <t>Inactive letterhead renders a plain page</t>
  </si>
  <si>
    <t>Template uses a letterhead that is then deactivated</t>
  </si>
  <si>
    <t>1. Generate a letter with that template</t>
  </si>
  <si>
    <t>Template uses a letterhead that is then deactivated → Generate a letter with that template</t>
  </si>
  <si>
    <t>Letter renders on a plain page</t>
  </si>
  <si>
    <t>BR-10</t>
  </si>
  <si>
    <t>TC-CHR-243</t>
  </si>
  <si>
    <t>Merge Fields page opens and renders</t>
  </si>
  <si>
    <t>1. Open Core HR &gt; Letters &gt; Merge Fields</t>
  </si>
  <si>
    <t>Logged in as HRMS admin amit (Amit Kumar Shaji, role HRMS / Administrator) → Open Core HR &gt; Letters &gt; Merge Fields</t>
  </si>
  <si>
    <t>Field list with token, label, owner type, active; Add button; no error</t>
  </si>
  <si>
    <t>Linear 009 Merge Fields — page check</t>
  </si>
  <si>
    <t>TC-CHR-244</t>
  </si>
  <si>
    <t>Add a field from the catalogue</t>
  </si>
  <si>
    <t>Token: QAJoiningMonth</t>
  </si>
  <si>
    <t xml:space="preserve">1. Click Add
2. Choose Letter is about Employee
3. Pick a catalogue field
4. Keep/edit Token Name and Label
5. Save</t>
  </si>
  <si>
    <t>Logged in as HRMS admin amit (Amit Kumar Shaji, role HRMS / Administrator) → Click Add → Choose Letter is about Employee → Pick a catalogue field → Keep/edit Token Name and Label → Save</t>
  </si>
  <si>
    <t>Saved; token usable as {{QAJoiningMonth}}; query shown read-only (no SQL entry box)</t>
  </si>
  <si>
    <t>FR-L-20</t>
  </si>
  <si>
    <t>TC-CHR-245</t>
  </si>
  <si>
    <t>Test a field before saving</t>
  </si>
  <si>
    <t xml:space="preserve">1. Pick a catalogue field
2. Click Test with a sample employee</t>
  </si>
  <si>
    <t>Logged in as HRMS admin amit (Amit Kumar Shaji, role HRMS / Administrator) → Pick a catalogue field → Click Test with a sample employee</t>
  </si>
  <si>
    <t>Resolved value (or DB error) and the executed statement shown; nothing saved</t>
  </si>
  <si>
    <t>FR-L-19</t>
  </si>
  <si>
    <t>TC-CHR-246</t>
  </si>
  <si>
    <t>Token name allows only A–Z, 0–9, _</t>
  </si>
  <si>
    <t xml:space="preserve">1. Enter Token Name "Joining Month!"
2. Save</t>
  </si>
  <si>
    <t>Logged in as HRMS admin amit (Amit Kumar Shaji, role HRMS / Administrator) → Enter Token Name "Joining Month!" → Save</t>
  </si>
  <si>
    <t>Rejected — letters, digits and underscore only, max 100</t>
  </si>
  <si>
    <t>TC-CHR-247</t>
  </si>
  <si>
    <t>Duplicate token per owner type</t>
  </si>
  <si>
    <t>Logged in as HRMS admin amit (Amit Kumar Shaji, role HRMS / Administrator); QAJoiningMonth exists for Employee</t>
  </si>
  <si>
    <t xml:space="preserve">1. Add another Employee field with the same token
2. Save</t>
  </si>
  <si>
    <t>Logged in as HRMS admin amit (Amit Kumar Shaji, role HRMS / Administrator); QAJoiningMonth exists for Employee → Add another Employee field with the same token → Save</t>
  </si>
  <si>
    <t>Rejected as duplicate; same token for Candidate is allowed</t>
  </si>
  <si>
    <t>BR-11</t>
  </si>
  <si>
    <t>TC-CHR-248</t>
  </si>
  <si>
    <t>Label required</t>
  </si>
  <si>
    <t xml:space="preserve">1. Leave Label empty
2. Save</t>
  </si>
  <si>
    <t>Logged in as HRMS admin amit (Amit Kumar Shaji, role HRMS / Administrator) → Leave Label empty → Save</t>
  </si>
  <si>
    <t>Label required message</t>
  </si>
  <si>
    <t>TC-CHR-249</t>
  </si>
  <si>
    <t>Resolution</t>
  </si>
  <si>
    <t>Tenant field overrides built-in token</t>
  </si>
  <si>
    <t>Logged in as HRMS admin amit (Amit Kumar Shaji, role HRMS / Administrator); tenant field named Designation exists</t>
  </si>
  <si>
    <t>1. Generate a letter using {{Designation}}</t>
  </si>
  <si>
    <t>Logged in as HRMS admin amit (Amit Kumar Shaji, role HRMS / Administrator); tenant field named Designation exists → Generate a letter using {{Designation}}</t>
  </si>
  <si>
    <t>Tenant field value used instead of the built-in</t>
  </si>
  <si>
    <t>BR-15</t>
  </si>
  <si>
    <t>TC-CHR-250</t>
  </si>
  <si>
    <t>Inactive field resolves blank</t>
  </si>
  <si>
    <t xml:space="preserve">1. Deactivate QAJoiningMonth
2. Generate a letter using it</t>
  </si>
  <si>
    <t>Logged in as HRMS admin amit (Amit Kumar Shaji, role HRMS / Administrator) → Deactivate QAJoiningMonth → Generate a letter using it</t>
  </si>
  <si>
    <t>Token renders blank; letter still generated</t>
  </si>
  <si>
    <t>TC-CHR-251</t>
  </si>
  <si>
    <t>Delete a merge field</t>
  </si>
  <si>
    <t xml:space="preserve">1. Delete QAJoiningMonth
2. Confirm</t>
  </si>
  <si>
    <t>Logged in as HRMS admin amit (Amit Kumar Shaji, role HRMS / Administrator) → Delete QAJoiningMonth → Confirm</t>
  </si>
  <si>
    <t>TC-CHR-252</t>
  </si>
  <si>
    <t>Legacy hand-written query is read-only</t>
  </si>
  <si>
    <t>Logged in as HRMS admin amit (Amit Kumar Shaji, role HRMS / Administrator); a field created before 13 Aug 2026 with a hand-written query</t>
  </si>
  <si>
    <t>1. Open it</t>
  </si>
  <si>
    <t>Logged in as HRMS admin amit (Amit Kumar Shaji, role HRMS / Administrator); a field created before 13 Aug 2026 with a hand-written query → Open it</t>
  </si>
  <si>
    <t>Query shown read-only with an explanatory note; no SQL box</t>
  </si>
  <si>
    <t>Missing SQL box is by design — not a defect</t>
  </si>
  <si>
    <t>FEAT-03</t>
  </si>
  <si>
    <t>TC-CHR-253</t>
  </si>
  <si>
    <t>Approval Config page opens and renders</t>
  </si>
  <si>
    <t>1. Open Core HR &gt; Approvals &gt; Approval Config</t>
  </si>
  <si>
    <t>Logged in as HRMS admin amit (Amit Kumar Shaji, role HRMS / Administrator) → Open Core HR &gt; Approvals &gt; Approval Config</t>
  </si>
  <si>
    <t>Editor card (Type, Workflow Name, Default for this type, + Add level, Save Workflow) and Configured Workflows list with pagination; no error</t>
  </si>
  <si>
    <t>Linear 010 Approval Config — page check</t>
  </si>
  <si>
    <t>TC-CHR-254</t>
  </si>
  <si>
    <t>Create workflow</t>
  </si>
  <si>
    <t>Create a two-level workflow</t>
  </si>
  <si>
    <t>Logged in as HRMS admin amit (Amit Kumar Shaji, role HRMS / Administrator); Approval Config page open</t>
  </si>
  <si>
    <t>Name: QA Leave Two Level (Auto 20-Oct 10.30.00)</t>
  </si>
  <si>
    <t xml:space="preserve">1. Type Leave Request
2. Workflow Name
3. + Add level: Report Person
4. + Add level: Designation HR Manager
5. Save Workflow</t>
  </si>
  <si>
    <t>Logged in as HRMS admin amit (Amit Kumar Shaji, role HRMS / Administrator); Approval Config page open → Type Leave Request → Workflow Name → + Add level: Report Person → + Add level: Designation HR Manager → Save Workflow</t>
  </si>
  <si>
    <t>Saved; list shows chain Report Person → Designation: HR Manager</t>
  </si>
  <si>
    <t>FR-AP-01</t>
  </si>
  <si>
    <t>TC-CHR-255</t>
  </si>
  <si>
    <t>Zero levels = Direct auto-approve</t>
  </si>
  <si>
    <t>QA Direct OT (Auto …)</t>
  </si>
  <si>
    <t xml:space="preserve">1. Type Overtime
2. Name
3. No levels
4. Save Workflow</t>
  </si>
  <si>
    <t>Logged in as HRMS admin amit (Amit Kumar Shaji, role HRMS / Administrator); Approval Config page open → Type Overtime → Name → No levels → Save Workflow</t>
  </si>
  <si>
    <t>Saved; chain shows "Direct (auto-approve)"</t>
  </si>
  <si>
    <t>FR-AP-02</t>
  </si>
  <si>
    <t>TC-CHR-256</t>
  </si>
  <si>
    <t>Type options</t>
  </si>
  <si>
    <t>1. Open Type</t>
  </si>
  <si>
    <t>Logged in as HRMS admin amit (Amit Kumar Shaji, role HRMS / Administrator); Approval Config page open → Open Type</t>
  </si>
  <si>
    <t>Leave Request, Attendance Regularization, Overtime, Encashment Request, Geo Fence Request, Late In Early Out Request, Policy Publish, Document Verification, Benefit Enrollment, Profile Change Request, Probation Decision, Letter Request, Resignation Request</t>
  </si>
  <si>
    <t>TC-CHR-257</t>
  </si>
  <si>
    <t>Approver kinds per level</t>
  </si>
  <si>
    <t xml:space="preserve">1. + Add level
2. Open Approver</t>
  </si>
  <si>
    <t>Logged in as HRMS admin amit (Amit Kumar Shaji, role HRMS / Administrator); Approval Config page open → + Add level → Open Approver</t>
  </si>
  <si>
    <t>Report Person, Designation, User Level, Specific Employee; choosing each shows its dependent field</t>
  </si>
  <si>
    <t>FEAT-AP-01</t>
  </si>
  <si>
    <t>TC-CHR-258</t>
  </si>
  <si>
    <t>Type required</t>
  </si>
  <si>
    <t xml:space="preserve">1. Leave Type on -- Select type --
2. Enter name
3. Save Workflow</t>
  </si>
  <si>
    <t>Logged in as HRMS admin amit (Amit Kumar Shaji, role HRMS / Administrator); Approval Config page open → Leave Type on -- Select type -- → Enter name → Save Workflow</t>
  </si>
  <si>
    <t>"Please choose an approval type"</t>
  </si>
  <si>
    <t>TC-CHR-259</t>
  </si>
  <si>
    <t>Workflow name required</t>
  </si>
  <si>
    <t xml:space="preserve">1. Choose Type
2. Leave name blank
3. Save Workflow</t>
  </si>
  <si>
    <t>Logged in as HRMS admin amit (Amit Kumar Shaji, role HRMS / Administrator); Approval Config page open → Choose Type → Leave name blank → Save Workflow</t>
  </si>
  <si>
    <t>"Please enter a workflow name"</t>
  </si>
  <si>
    <t>TC-CHR-260</t>
  </si>
  <si>
    <t>Designation level without designation</t>
  </si>
  <si>
    <t xml:space="preserve">1. Add level Designation without choosing one
2. Save</t>
  </si>
  <si>
    <t>Logged in as HRMS admin amit (Amit Kumar Shaji, role HRMS / Administrator); Approval Config page open → Add level Designation without choosing one → Save</t>
  </si>
  <si>
    <t>"Choose a designation for the Designation approval level"</t>
  </si>
  <si>
    <t>TC-CHR-261</t>
  </si>
  <si>
    <t>Specific Employee level without person</t>
  </si>
  <si>
    <t xml:space="preserve">1. Add level Specific Employee without a person
2. Save</t>
  </si>
  <si>
    <t>Logged in as HRMS admin amit (Amit Kumar Shaji, role HRMS / Administrator); Approval Config page open → Add level Specific Employee without a person → Save</t>
  </si>
  <si>
    <t>"Choose a specific person for the Specific Employee approval level"</t>
  </si>
  <si>
    <t>TC-CHR-262</t>
  </si>
  <si>
    <t>Same approver on two levels</t>
  </si>
  <si>
    <t xml:space="preserve">1. Add level Designation HR Manager twice
2. Save</t>
  </si>
  <si>
    <t>Logged in as HRMS admin amit (Amit Kumar Shaji, role HRMS / Administrator); Approval Config page open → Add level Designation HR Manager twice → Save</t>
  </si>
  <si>
    <t>"Level 1 and level 2 both use the same designation. Each approval level needs a different approver."</t>
  </si>
  <si>
    <t>FR-AP-05</t>
  </si>
  <si>
    <t>TC-CHR-263</t>
  </si>
  <si>
    <t>Duplicate workflow name within a type</t>
  </si>
  <si>
    <t>Logged in as HRMS admin amit (Amit Kumar Shaji, role HRMS / Administrator); Approval Config page open; "QA Leave Two Level" exists for Leave Request</t>
  </si>
  <si>
    <t xml:space="preserve">1. Create another Leave Request workflow with the same name
2. Save</t>
  </si>
  <si>
    <t>Logged in as HRMS admin amit (Amit Kumar Shaji, role HRMS / Administrator); Approval Config page open; "QA Leave Two Level" exists for Leave Request → Create another Leave Request workflow with the same name → Save</t>
  </si>
  <si>
    <t>Rejected as duplicate workflow; same name under another type allowed</t>
  </si>
  <si>
    <t>FR-AP-06</t>
  </si>
  <si>
    <t>TC-CHR-264</t>
  </si>
  <si>
    <t>Levels</t>
  </si>
  <si>
    <t>Removing a middle level renumbers</t>
  </si>
  <si>
    <t xml:space="preserve">1. Create 3 levels
2. Remove level 2
3. Save</t>
  </si>
  <si>
    <t>Logged in as HRMS admin amit (Amit Kumar Shaji, role HRMS / Administrator); Approval Config page open → Create 3 levels → Remove level 2 → Save</t>
  </si>
  <si>
    <t>Levels renumbered 1, 2; chain shows two approvers</t>
  </si>
  <si>
    <t>FR-AP-03</t>
  </si>
  <si>
    <t>TC-CHR-265</t>
  </si>
  <si>
    <t>One default per type</t>
  </si>
  <si>
    <t>Logged in as HRMS admin amit (Amit Kumar Shaji, role HRMS / Administrator); Approval Config page open; another Leave Request workflow is default</t>
  </si>
  <si>
    <t xml:space="preserve">1. Edit QA workflow
2. Tick Default for this type
3. Save</t>
  </si>
  <si>
    <t>Logged in as HRMS admin amit (Amit Kumar Shaji, role HRMS / Administrator); Approval Config page open; another Leave Request workflow is default → Edit QA workflow → Tick Default for this type → Save</t>
  </si>
  <si>
    <t>QA workflow shows Default badge; the other loses it</t>
  </si>
  <si>
    <t>FR-AP-07</t>
  </si>
  <si>
    <t>TC-CHR-266</t>
  </si>
  <si>
    <t>Edit a workflow does not move in-flight requests</t>
  </si>
  <si>
    <t>A request is pending on the workflow</t>
  </si>
  <si>
    <t xml:space="preserve">1. Change level 2 approver
2. Save
3. Open the request trail</t>
  </si>
  <si>
    <t>A request is pending on the workflow → Change level 2 approver → Save → Open the request trail</t>
  </si>
  <si>
    <t>Pending request keeps its original steps; trail flags "the workflow has been edited since this request was raised"</t>
  </si>
  <si>
    <t>FR-AP-32</t>
  </si>
  <si>
    <t>TC-CHR-267</t>
  </si>
  <si>
    <t>Delete an unused workflow with confirmation</t>
  </si>
  <si>
    <t>Logged in as HRMS admin amit (Amit Kumar Shaji, role HRMS / Administrator); Approval Config page open; QA Direct OT unused</t>
  </si>
  <si>
    <t xml:space="preserve">1. Click Delete
2. Confirm</t>
  </si>
  <si>
    <t>Logged in as HRMS admin amit (Amit Kumar Shaji, role HRMS / Administrator); Approval Config page open; QA Direct OT unused → Click Delete → Confirm</t>
  </si>
  <si>
    <t>Confirmation shown; workflow removed from the list</t>
  </si>
  <si>
    <t>TC-CHR-268</t>
  </si>
  <si>
    <t>Delete a workflow in use is refused</t>
  </si>
  <si>
    <t>A workflow used by a leave pattern / in-flight request</t>
  </si>
  <si>
    <t>A workflow used by a leave pattern / in-flight request → Click Delete → Confirm</t>
  </si>
  <si>
    <t>Refused naming the count, e.g. "N leave pattern(s) route their approvals through this workflow. Point them at another one first."</t>
  </si>
  <si>
    <t>FR-AP-08</t>
  </si>
  <si>
    <t>TC-CHR-269</t>
  </si>
  <si>
    <t>Filter configured workflows</t>
  </si>
  <si>
    <t xml:space="preserve">1. Open the filter drawer
2. Filter by Approval Type Leave Request</t>
  </si>
  <si>
    <t>Logged in as HRMS admin amit (Amit Kumar Shaji, role HRMS / Administrator); Approval Config page open → Open the filter drawer → Filter by Approval Type Leave Request</t>
  </si>
  <si>
    <t>Only Leave Request workflows; chip removable; "No workflows match these filters." when none</t>
  </si>
  <si>
    <t>§11.1</t>
  </si>
  <si>
    <t>TC-CHR-270</t>
  </si>
  <si>
    <t>Workflow drives leave approval routing</t>
  </si>
  <si>
    <t>Leave pattern of run employee uses a Report Person workflow</t>
  </si>
  <si>
    <t xml:space="preserve">1. Employee applies leave
2. Amit approves on Leave Approval</t>
  </si>
  <si>
    <t>Leave pattern of run employee uses a Report Person workflow → Employee applies leave → Amit approves on Leave Approval</t>
  </si>
  <si>
    <t>Request routed to the reporting manager and approved; balance drops</t>
  </si>
  <si>
    <t>TC-CHR-271</t>
  </si>
  <si>
    <t>Staff cannot open Approval Config</t>
  </si>
  <si>
    <t>Known (access-roles review): Designation: HR Manager levels allow self-approval risk — verify an HR Manager cannot approve own request</t>
  </si>
  <si>
    <t>TC-CHR-272</t>
  </si>
  <si>
    <t>Duty Handover page opens and renders</t>
  </si>
  <si>
    <t>1. Open Core HR &gt; Approvals &gt; Duty Handover</t>
  </si>
  <si>
    <t>Logged in as HRMS admin amit (Amit Kumar Shaji, role HRMS / Administrator) → Open Core HR &gt; Approvals &gt; Duty Handover</t>
  </si>
  <si>
    <t>Form (Employee going away*, Assign duties to*, From*, To*, Cover approvals, Cover HRMS tasks, Active, Note (optional), Save, Clear) and list with filters Employee, Assignee, Status, Active, From date, To date, Clear Filters; no error</t>
  </si>
  <si>
    <t>Linear 011 Duty Handover — page check</t>
  </si>
  <si>
    <t>TC-CHR-273</t>
  </si>
  <si>
    <t>Create handover</t>
  </si>
  <si>
    <t>Create a duty handover</t>
  </si>
  <si>
    <t>Logged in as HRMS admin amit (Amit Kumar Shaji, role HRMS / Administrator); Duty Handover page open; run employee exists</t>
  </si>
  <si>
    <t>Note: Covering approvals and HR tasks during annual leave (Auto 20-Oct 10.40.00)</t>
  </si>
  <si>
    <t xml:space="preserve">1. Employee going away = run employee
2. Assign duties to = another employee
3. From / To in the future
4. Tick Cover approvals and Cover HRMS tasks
5. Note
6. Save</t>
  </si>
  <si>
    <t>Logged in as HRMS admin amit (Amit Kumar Shaji, role HRMS / Administrator); Duty Handover page open; run employee exists → Employee going away = run employee → Assign duties to = another employee → From / To in the future → Tick Cover approvals and Cover HRMS tasks → Note → Save</t>
  </si>
  <si>
    <t>Saved with no conflict message; handover listed with status Pending</t>
  </si>
  <si>
    <t>Linear 011 Duty Handover — createDutyHandover</t>
  </si>
  <si>
    <t>TC-CHR-274</t>
  </si>
  <si>
    <t>Handover with only mandatory fields</t>
  </si>
  <si>
    <t>Logged in as HRMS admin amit (Amit Kumar Shaji, role HRMS / Administrator); Duty Handover page open</t>
  </si>
  <si>
    <t xml:space="preserve">1. Pick away employee, assignee, From, To
2. Save</t>
  </si>
  <si>
    <t>Logged in as HRMS admin amit (Amit Kumar Shaji, role HRMS / Administrator); Duty Handover page open → Pick away employee, assignee, From, To → Save</t>
  </si>
  <si>
    <t>Saved; note blank; listed</t>
  </si>
  <si>
    <t>TC-CHR-275</t>
  </si>
  <si>
    <t>Employee going away missing</t>
  </si>
  <si>
    <t xml:space="preserve">1. Leave Employee going away
2. Fill rest
3. Save</t>
  </si>
  <si>
    <t>Logged in as HRMS admin amit (Amit Kumar Shaji, role HRMS / Administrator); Duty Handover page open → Leave Employee going away → Fill rest → Save</t>
  </si>
  <si>
    <t>Required message; not saved</t>
  </si>
  <si>
    <t>TC-CHR-276</t>
  </si>
  <si>
    <t>Assign duties to missing</t>
  </si>
  <si>
    <t xml:space="preserve">1. Leave Assign duties to
2. Save</t>
  </si>
  <si>
    <t>Logged in as HRMS admin amit (Amit Kumar Shaji, role HRMS / Administrator); Duty Handover page open → Leave Assign duties to → Save</t>
  </si>
  <si>
    <t>TC-CHR-277</t>
  </si>
  <si>
    <t>From / To missing</t>
  </si>
  <si>
    <t xml:space="preserve">1. Leave From and To empty
2. Save</t>
  </si>
  <si>
    <t>Logged in as HRMS admin amit (Amit Kumar Shaji, role HRMS / Administrator); Duty Handover page open → Leave From and To empty → Save</t>
  </si>
  <si>
    <t>Required messages; not saved</t>
  </si>
  <si>
    <t>TC-CHR-278</t>
  </si>
  <si>
    <t>Same person as away and assignee</t>
  </si>
  <si>
    <t xml:space="preserve">1. Pick the same employee in both lists
2. Save</t>
  </si>
  <si>
    <t>Logged in as HRMS admin amit (Amit Kumar Shaji, role HRMS / Administrator); Duty Handover page open → Pick the same employee in both lists → Save</t>
  </si>
  <si>
    <t>Rejected — duties cannot be assigned to oneself</t>
  </si>
  <si>
    <t>TC-CHR-279</t>
  </si>
  <si>
    <t>To date before From date</t>
  </si>
  <si>
    <t xml:space="preserve">1. From 2026-12-10, To 2026-12-05
2. Save</t>
  </si>
  <si>
    <t>Logged in as HRMS admin amit (Amit Kumar Shaji, role HRMS / Administrator); Duty Handover page open → From 2026-12-10, To 2026-12-05 → Save</t>
  </si>
  <si>
    <t>Rejected with a date-range message</t>
  </si>
  <si>
    <t>TC-CHR-280</t>
  </si>
  <si>
    <t>Single-day handover (From = To)</t>
  </si>
  <si>
    <t xml:space="preserve">1. From = To = a future date
2. Save</t>
  </si>
  <si>
    <t>Logged in as HRMS admin amit (Amit Kumar Shaji, role HRMS / Administrator); Duty Handover page open → From = To = a future date → Save</t>
  </si>
  <si>
    <t>Accepted as a one-day window</t>
  </si>
  <si>
    <t>TC-CHR-281</t>
  </si>
  <si>
    <t>Past dates</t>
  </si>
  <si>
    <t xml:space="preserve">1. From and To in the past
2. Save</t>
  </si>
  <si>
    <t>Logged in as HRMS admin amit (Amit Kumar Shaji, role HRMS / Administrator); Duty Handover page open → From and To in the past → Save</t>
  </si>
  <si>
    <t>Rejected or saved as Expired consistently; documented</t>
  </si>
  <si>
    <t>TC-CHR-282</t>
  </si>
  <si>
    <t>Overlapping handover for the same pair rejected</t>
  </si>
  <si>
    <t>Logged in as HRMS admin amit (Amit Kumar Shaji, role HRMS / Administrator); Duty Handover page open; a handover exists for run employee → assignee in a window</t>
  </si>
  <si>
    <t xml:space="preserve">1. Create another for the same pair overlapping that window
2. Save</t>
  </si>
  <si>
    <t>Logged in as HRMS admin amit (Amit Kumar Shaji, role HRMS / Administrator); Duty Handover page open; a handover exists for run employee → assignee in a window → Create another for the same pair overlapping that window → Save</t>
  </si>
  <si>
    <t>Rejected with an overlap/conflict message</t>
  </si>
  <si>
    <t>Proven behaviour from automation</t>
  </si>
  <si>
    <t>TC-CHR-283</t>
  </si>
  <si>
    <t>Non-overlapping second handover allowed</t>
  </si>
  <si>
    <t>Logged in as HRMS admin amit (Amit Kumar Shaji, role HRMS / Administrator); Duty Handover page open; one handover exists</t>
  </si>
  <si>
    <t xml:space="preserve">1. Create the same pair with a later non-overlapping window
2. Save</t>
  </si>
  <si>
    <t>Logged in as HRMS admin amit (Amit Kumar Shaji, role HRMS / Administrator); Duty Handover page open; one handover exists → Create the same pair with a later non-overlapping window → Save</t>
  </si>
  <si>
    <t>Saved</t>
  </si>
  <si>
    <t>TC-CHR-284</t>
  </si>
  <si>
    <t>Form</t>
  </si>
  <si>
    <t>Clear resets the form</t>
  </si>
  <si>
    <t xml:space="preserve">1. Fill fields
2. Click Clear</t>
  </si>
  <si>
    <t>Logged in as HRMS admin amit (Amit Kumar Shaji, role HRMS / Administrator); Duty Handover page open → Fill fields → Click Clear</t>
  </si>
  <si>
    <t>All form fields reset; nothing saved</t>
  </si>
  <si>
    <t>TC-CHR-285</t>
  </si>
  <si>
    <t>Filter by Status</t>
  </si>
  <si>
    <t xml:space="preserve">1. Set Status Pending
2. Then Accepted, Rejected, Expired, Withdrawn</t>
  </si>
  <si>
    <t>Logged in as HRMS admin amit (Amit Kumar Shaji, role HRMS / Administrator); Duty Handover page open → Set Status Pending → Then Accepted, Rejected, Expired, Withdrawn</t>
  </si>
  <si>
    <t>List shows only handovers of the chosen status</t>
  </si>
  <si>
    <t>TC-CHR-286</t>
  </si>
  <si>
    <t>Filter by Employee, Assignee, Active and dates; Clear Filters</t>
  </si>
  <si>
    <t xml:space="preserve">1. Set Employee = run employee
2. Assignee
3. Active Yes
4. date range
5. Click Clear Filters</t>
  </si>
  <si>
    <t>Logged in as HRMS admin amit (Amit Kumar Shaji, role HRMS / Administrator); Duty Handover page open → Set Employee = run employee → Assignee → Active Yes → date range → Click Clear Filters</t>
  </si>
  <si>
    <t>Each filter narrows the list; Clear Filters restores All</t>
  </si>
  <si>
    <t>TC-CHR-287</t>
  </si>
  <si>
    <t>Workflow</t>
  </si>
  <si>
    <t>Assignee accepts the handover</t>
  </si>
  <si>
    <t>A Pending handover to a test employee who has a login</t>
  </si>
  <si>
    <t xml:space="preserve">1. Sign in as the assignee
2. Open My Workspace &gt; Handover
3. Accept</t>
  </si>
  <si>
    <t>A Pending handover to a test employee who has a login → Sign in as the assignee → Open My Workspace &gt; Handover → Accept</t>
  </si>
  <si>
    <t>Status becomes Accepted in both ESS and the admin list</t>
  </si>
  <si>
    <t>TC-CHR-288</t>
  </si>
  <si>
    <t>Assignee rejects the handover</t>
  </si>
  <si>
    <t>A Pending handover</t>
  </si>
  <si>
    <t xml:space="preserve">1. As assignee open My Workspace &gt; Handover
2. Reject</t>
  </si>
  <si>
    <t>A Pending handover → As assignee open My Workspace &gt; Handover → Reject</t>
  </si>
  <si>
    <t>Status Rejected; no coverage applies</t>
  </si>
  <si>
    <t>TC-CHR-289</t>
  </si>
  <si>
    <t>Withdraw / deactivate a handover</t>
  </si>
  <si>
    <t>Logged in as HRMS admin amit (Amit Kumar Shaji, role HRMS / Administrator); Duty Handover page open; an active handover</t>
  </si>
  <si>
    <t xml:space="preserve">1. Edit the handover
2. Untick Active (or Withdraw)
3. Save</t>
  </si>
  <si>
    <t>Logged in as HRMS admin amit (Amit Kumar Shaji, role HRMS / Administrator); Duty Handover page open; an active handover → Edit the handover → Untick Active (or Withdraw) → Save</t>
  </si>
  <si>
    <t>Status Withdrawn / Active No; coverage stops</t>
  </si>
  <si>
    <t>TC-CHR-290</t>
  </si>
  <si>
    <t>Handover expires after To date</t>
  </si>
  <si>
    <t>An accepted handover whose To date has passed</t>
  </si>
  <si>
    <t>1. Open the list</t>
  </si>
  <si>
    <t>An accepted handover whose To date has passed → Open the list</t>
  </si>
  <si>
    <t>Status shows Expired; coverage ended</t>
  </si>
  <si>
    <t>TC-CHR-291</t>
  </si>
  <si>
    <t>Coverage</t>
  </si>
  <si>
    <t>Assignee decides away approver's steps on behalf</t>
  </si>
  <si>
    <t>Approver on an accepted handover with Cover approvals; a request pending at their level</t>
  </si>
  <si>
    <t xml:space="preserve">1. Sign in as assignee
2. Open approvals inbox</t>
  </si>
  <si>
    <t>Approver on an accepted handover with Cover approvals; a request pending at their level → Sign in as assignee → Open approvals inbox</t>
  </si>
  <si>
    <t>Step shown with "On behalf of X"; decision records actor and away approver</t>
  </si>
  <si>
    <t>FR-AP-23</t>
  </si>
  <si>
    <t>TC-CHR-292</t>
  </si>
  <si>
    <t>Cover approvals unticked gives no approval coverage</t>
  </si>
  <si>
    <t>Accepted handover with Cover approvals unticked</t>
  </si>
  <si>
    <t>Accepted handover with Cover approvals unticked → Sign in as assignee → Open approvals inbox</t>
  </si>
  <si>
    <t>Away approver's steps are not shown to the assignee</t>
  </si>
  <si>
    <t>TC-CHR-293</t>
  </si>
  <si>
    <t>Handover start/end notifications</t>
  </si>
  <si>
    <t>A handover window starting today</t>
  </si>
  <si>
    <t>1. Check notifications of away employee and assignee</t>
  </si>
  <si>
    <t>A handover window starting today → Check notifications of away employee and assignee</t>
  </si>
  <si>
    <t>Both receive in-app notifications at window start and end</t>
  </si>
  <si>
    <t>Core HR §13</t>
  </si>
  <si>
    <t>TC-CHR-294</t>
  </si>
  <si>
    <t>Staff cannot open admin Duty Handover</t>
  </si>
  <si>
    <t>1. Open /employee-handover by URL</t>
  </si>
  <si>
    <t>Logged in as an employee with access role Staff (User Level Team Member), login created via Core HR (initial password = employee code) → Open /employee-handover by URL</t>
  </si>
  <si>
    <t>Access denied; Staff uses My Workspace &gt; Handover</t>
  </si>
  <si>
    <t>TC-REC-001</t>
  </si>
  <si>
    <t>Job Requisitions page opens and renders correctly</t>
  </si>
  <si>
    <t>Logged in as HRMS admin (amit); Departments, Designations and Branches exist</t>
  </si>
  <si>
    <t xml:space="preserve">1. Open Recruitment &gt; Job Requisitions
2. Wait for the loading indicator to clear
3. Observe heading, toolbar and table</t>
  </si>
  <si>
    <t>Logged in as HRMS admin (amit); Departments, Designations and Branches exist → Open Recruitment &gt; Job Requisitions → Wait for the loading indicator to clear → Observe heading, toolbar and table</t>
  </si>
  <si>
    <t>Page loads without login redirect, 404 or app error; heading shown; New Requisition button, "Search designation..." box, Requested By filter, page-size selector (10/25/50/100) and requisitions table with REQUESTED ON column render</t>
  </si>
  <si>
    <t>Linear 012 Job Requisitions — page check</t>
  </si>
  <si>
    <t>TC-REC-002</t>
  </si>
  <si>
    <t>Requisition list shows the expected columns</t>
  </si>
  <si>
    <t xml:space="preserve">1. Open Job Requisitions
2. Inspect the table header
3. Compare the screen with the expected result</t>
  </si>
  <si>
    <t>Logged in as HRMS admin (amit); Departments, Designations and Branches exist → Open Job Requisitions → Inspect the table header → Compare the screen with the expected result</t>
  </si>
  <si>
    <t>Columns Sl.No, Designation, Department, Positions, Request Type, Status, Action (and REQUESTED ON) are displayed</t>
  </si>
  <si>
    <t>Tester Ed. S1</t>
  </si>
  <si>
    <t>TC-REC-003</t>
  </si>
  <si>
    <t>Create requisition</t>
  </si>
  <si>
    <t>Raise a requisition with all mandatory fields and submit it</t>
  </si>
  <si>
    <t>Department: SOFTWARE DEVELOPMENT; Designation: SOFTWARE TESTER; Branch: Main Branch; Positions: 1; Employee Type: Full Time Employee; Work Type: Office; Justification: "Additional Software Tester for Q4 delivery (Auto DD-Mon HH.MM.SS)"</t>
  </si>
  <si>
    <t xml:space="preserve">1. Click New Requisition
2. Select Department, then Designation (cascade)
3. Select Branch, enter Positions, select Employee Type and Work Type
4. Enter Business Justification
5. Click Submit
6. If "Requisition Already Exists" appears, click "Yes, raise it anyway"</t>
  </si>
  <si>
    <t>Logged in as HRMS admin (amit); Departments, Designations and Branches exist → Click New Requisition → Select Department, then Designation (cascade) → Select Branch, enter Positions, select Employee Type and Work Type → Enter Business Justification → Click Submit → If "Requisition Already Exists" appears, click "Yes, raise it anyway"</t>
  </si>
  <si>
    <t>Form closes; requisition listed with status Submitted (or Approved when no workflow is configured); justification visible as tooltip on the row</t>
  </si>
  <si>
    <t>Linear 012 Job Requisitions — raiseAndApproveRequisition</t>
  </si>
  <si>
    <t>FR-REC-001..006</t>
  </si>
  <si>
    <t>TC-REC-004</t>
  </si>
  <si>
    <t>Raise a requisition with all fields filled</t>
  </si>
  <si>
    <t>Salary 50000–80000; Expected Joining: today+30; Skills: Selenium, Playwright, API testing</t>
  </si>
  <si>
    <t xml:space="preserve">1. Click New Requisition
2. Fill Department, Designation, Branch, Positions, Request Type = New Position, Employee Type, Work Type
3. Enter Salary Range From/To, Expected Joining Date (+30 days), Required Skills, Business Justification
4. Click Submit</t>
  </si>
  <si>
    <t>Logged in as HRMS admin (amit); Departments, Designations and Branches exist → Click New Requisition → Fill Department, Designation, Branch, Positions, Request Type = New Position, Employee Type, Work Type → Enter Salary Range From/To, Expected Joining Date (+30 days), Required Skills, Business Justification → Click Submit</t>
  </si>
  <si>
    <t>Requisition saved; all entered values shown in the row View popup exactly as entered</t>
  </si>
  <si>
    <t>FR-REC-003</t>
  </si>
  <si>
    <t>TC-REC-005</t>
  </si>
  <si>
    <t>Save a requisition as Draft</t>
  </si>
  <si>
    <t xml:space="preserve">1. Click New Requisition
2. Fill all mandatory fields
3. Click Save Draft</t>
  </si>
  <si>
    <t>Logged in as HRMS admin (amit); Departments, Designations and Branches exist → Click New Requisition → Fill all mandatory fields → Click Save Draft</t>
  </si>
  <si>
    <t>Message "Requisition saved as draft"; row listed with status Draft; Edit and Submit-for-approval icons available</t>
  </si>
  <si>
    <t>FR-REC-006</t>
  </si>
  <si>
    <t>TC-REC-006</t>
  </si>
  <si>
    <t>Designation dropdown is disabled until a Department is chosen</t>
  </si>
  <si>
    <t xml:space="preserve">1. Click New Requisition
2. Observe Designation before choosing a Department
3. Choose Department SOFTWARE DEVELOPMENT</t>
  </si>
  <si>
    <t>Logged in as HRMS admin (amit); Departments, Designations and Branches exist → Click New Requisition → Observe Designation before choosing a Department → Choose Department SOFTWARE DEVELOPMENT</t>
  </si>
  <si>
    <t>Designation is disabled showing "-- Choose --" until a Department is picked; then it lists only that department's designations</t>
  </si>
  <si>
    <t>TC-REC-007</t>
  </si>
  <si>
    <t>Changing Department resets the selected Designation</t>
  </si>
  <si>
    <t xml:space="preserve">1. Click New Requisition
2. Pick Department and Designation
3. Change Department to Human Resources</t>
  </si>
  <si>
    <t>Logged in as HRMS admin (amit); Departments, Designations and Branches exist → Click New Requisition → Pick Department and Designation → Change Department to Human Resources</t>
  </si>
  <si>
    <t>Designation is cleared and reloaded with the new department's designations; stale designation cannot be submitted</t>
  </si>
  <si>
    <t>TC-REC-008</t>
  </si>
  <si>
    <t>Duplicate requisition for the same role asks for confirmation</t>
  </si>
  <si>
    <t xml:space="preserve">1. Raise a requisition for SOFTWARE TESTER / SOFTWARE DEVELOPMENT / Main Branch
2. Raise another identical requisition
3. Click Submit</t>
  </si>
  <si>
    <t>Logged in as HRMS admin (amit); Departments, Designations and Branches exist → Raise a requisition for SOFTWARE TESTER / SOFTWARE DEVELOPMENT / Main Branch → Raise another identical requisition → Click Submit</t>
  </si>
  <si>
    <t>SweetAlert "Requisition Already Exists" appears offering "Yes, raise it anyway"; nothing is saved until confirmed</t>
  </si>
  <si>
    <t>Proven app behaviour: duplicate role prompts "raise it anyway"</t>
  </si>
  <si>
    <t>TC-REC-009</t>
  </si>
  <si>
    <t>Cancel the duplicate-requisition prompt</t>
  </si>
  <si>
    <t xml:space="preserve">1. Open Recruitment &gt; Job Requisitions
2. Trigger the "Requisition Already Exists" prompt
3. Click Cancel / No</t>
  </si>
  <si>
    <t>Logged in as HRMS admin (amit); Departments, Designations and Branches exist → Open Recruitment &gt; Job Requisitions → Trigger the "Requisition Already Exists" prompt → Click Cancel / No</t>
  </si>
  <si>
    <t>Prompt closes; no second requisition is created; form stays open with entered values</t>
  </si>
  <si>
    <t>TC-REC-010</t>
  </si>
  <si>
    <t>Replacement request type requires Employee Being Replaced</t>
  </si>
  <si>
    <t xml:space="preserve">1. Click New Requisition
2. Set Request Type = Replacement
3. Leave Employee Being Replaced empty
4. Fill other mandatory fields and Submit</t>
  </si>
  <si>
    <t>Logged in as HRMS admin (amit); Departments, Designations and Branches exist → Click New Requisition → Set Request Type = Replacement → Leave Employee Being Replaced empty → Fill other mandatory fields and Submit</t>
  </si>
  <si>
    <t>Employee Being Replaced field appears and is mandatory; submit blocked with a validation message</t>
  </si>
  <si>
    <t>FR-REC-001</t>
  </si>
  <si>
    <t>TC-REC-011</t>
  </si>
  <si>
    <t>Mandatory field validation</t>
  </si>
  <si>
    <t>Submit requisition without Department</t>
  </si>
  <si>
    <t xml:space="preserve">1. Click New Requisition
2. Fill every mandatory field except Department
3. Click Submit</t>
  </si>
  <si>
    <t>Logged in as HRMS admin (amit); Departments, Designations and Branches exist → Click New Requisition → Fill every mandatory field except Department → Click Submit</t>
  </si>
  <si>
    <t>Submit blocked; message "Please select a Department"; field highlighted; no record created</t>
  </si>
  <si>
    <t>Tester Ed. 8.1</t>
  </si>
  <si>
    <t>TC-REC-012</t>
  </si>
  <si>
    <t>Submit requisition without Designation</t>
  </si>
  <si>
    <t xml:space="preserve">1. Click New Requisition
2. Fill every mandatory field except Designation
3. Click Submit</t>
  </si>
  <si>
    <t>Logged in as HRMS admin (amit); Departments, Designations and Branches exist → Click New Requisition → Fill every mandatory field except Designation → Click Submit</t>
  </si>
  <si>
    <t>Submit blocked; message "Please select a Designation"; field highlighted; no record created</t>
  </si>
  <si>
    <t>TC-REC-013</t>
  </si>
  <si>
    <t>Submit requisition without Branch</t>
  </si>
  <si>
    <t xml:space="preserve">1. Click New Requisition
2. Fill every mandatory field except Branch
3. Click Submit</t>
  </si>
  <si>
    <t>Logged in as HRMS admin (amit); Departments, Designations and Branches exist → Click New Requisition → Fill every mandatory field except Branch → Click Submit</t>
  </si>
  <si>
    <t>Submit blocked; message "Please select a Branch"; field highlighted; no record created</t>
  </si>
  <si>
    <t>TC-REC-014</t>
  </si>
  <si>
    <t>Submit requisition without Employee Type</t>
  </si>
  <si>
    <t xml:space="preserve">1. Click New Requisition
2. Fill every mandatory field except Employee Type
3. Click Submit</t>
  </si>
  <si>
    <t>Logged in as HRMS admin (amit); Departments, Designations and Branches exist → Click New Requisition → Fill every mandatory field except Employee Type → Click Submit</t>
  </si>
  <si>
    <t>Submit blocked; message "Please select an Employment Type"; field highlighted; no record created</t>
  </si>
  <si>
    <t>TC-REC-015</t>
  </si>
  <si>
    <t>Submit requisition without Work Type</t>
  </si>
  <si>
    <t xml:space="preserve">1. Click New Requisition
2. Fill every mandatory field except Work Type
3. Click Submit</t>
  </si>
  <si>
    <t>Logged in as HRMS admin (amit); Departments, Designations and Branches exist → Click New Requisition → Fill every mandatory field except Work Type → Click Submit</t>
  </si>
  <si>
    <t>Submit blocked; message "Please select a Work Type"; field highlighted; no record created</t>
  </si>
  <si>
    <t>TC-REC-016</t>
  </si>
  <si>
    <t>Submit requisition with Positions blank</t>
  </si>
  <si>
    <t xml:space="preserve">1. Click New Requisition
2. Fill all mandatory fields, clear Positions
3. Click Submit</t>
  </si>
  <si>
    <t>Logged in as HRMS admin (amit); Departments, Designations and Branches exist → Click New Requisition → Fill all mandatory fields, clear Positions → Click Submit</t>
  </si>
  <si>
    <t>Message "Positions is required."; not saved</t>
  </si>
  <si>
    <t>TC-REC-017</t>
  </si>
  <si>
    <t>Submit an empty requisition form</t>
  </si>
  <si>
    <t xml:space="preserve">1. Open Recruitment &gt; Job Requisitions
2. Click New Requisition
3. Click Submit without entering anything</t>
  </si>
  <si>
    <t>Logged in as HRMS admin (amit); Departments, Designations and Branches exist → Open Recruitment &gt; Job Requisitions → Click New Requisition → Click Submit without entering anything</t>
  </si>
  <si>
    <t>All mandatory fields (Department, Designation, Branch, Positions, Employee Type, Work Type) flagged; nothing saved</t>
  </si>
  <si>
    <t>TC-REC-018</t>
  </si>
  <si>
    <t>Field limits</t>
  </si>
  <si>
    <t>Positions = 0 is rejected</t>
  </si>
  <si>
    <t>Positions: 0</t>
  </si>
  <si>
    <t xml:space="preserve">1. Open New Requisition
2. Enter Positions 0 with other mandatory fields
3. Submit</t>
  </si>
  <si>
    <t>Logged in as HRMS admin (amit); Departments, Designations and Branches exist → Open New Requisition → Enter Positions 0 with other mandatory fields → Submit</t>
  </si>
  <si>
    <t>Message "Positions must be at least 1."</t>
  </si>
  <si>
    <t>FR-REC-002</t>
  </si>
  <si>
    <t>TC-REC-019</t>
  </si>
  <si>
    <t>Negative Positions is rejected</t>
  </si>
  <si>
    <t>Positions: -5</t>
  </si>
  <si>
    <t xml:space="preserve">1. Open New Requisition
2. Enter Positions -5
3. Submit</t>
  </si>
  <si>
    <t>Logged in as HRMS admin (amit); Departments, Designations and Branches exist → Open New Requisition → Enter Positions -5 → Submit</t>
  </si>
  <si>
    <t>Message "Positions cannot be negative. Enter a value between 1 and 9,999."</t>
  </si>
  <si>
    <t>TC-REC-020</t>
  </si>
  <si>
    <t>Positions = 10000 is rejected</t>
  </si>
  <si>
    <t>Positions: 10000</t>
  </si>
  <si>
    <t xml:space="preserve">1. Open New Requisition
2. Enter Positions 10000
3. Submit</t>
  </si>
  <si>
    <t>Logged in as HRMS admin (amit); Departments, Designations and Branches exist → Open New Requisition → Enter Positions 10000 → Submit</t>
  </si>
  <si>
    <t>Message "Positions cannot exceed 9,999."</t>
  </si>
  <si>
    <t>TC-REC-021</t>
  </si>
  <si>
    <t>Positions boundary values 1 and 9999 are accepted</t>
  </si>
  <si>
    <t>Positions: 1, 9999</t>
  </si>
  <si>
    <t xml:space="preserve">1. Raise a requisition with Positions 1
2. Raise another with Positions 9999
3. Compare the screen with the expected result</t>
  </si>
  <si>
    <t>Logged in as HRMS admin (amit); Departments, Designations and Branches exist → Raise a requisition with Positions 1 → Raise another with Positions 9999 → Compare the screen with the expected result</t>
  </si>
  <si>
    <t>Both requisitions save successfully</t>
  </si>
  <si>
    <t>TC-REC-022</t>
  </si>
  <si>
    <t>Decimal or text Positions is not accepted</t>
  </si>
  <si>
    <t>1.5, abc</t>
  </si>
  <si>
    <t xml:space="preserve">1. Open New Requisition
2. Type 1.5 then "abc" in Positions
3. Submit</t>
  </si>
  <si>
    <t>Logged in as HRMS admin (amit); Departments, Designations and Branches exist → Open New Requisition → Type 1.5 then "abc" in Positions → Submit</t>
  </si>
  <si>
    <t>Field accepts integers only; 1.5 rejected / letters cannot be typed</t>
  </si>
  <si>
    <t>TC-REC-023</t>
  </si>
  <si>
    <t>Negative salary is rejected</t>
  </si>
  <si>
    <t>Salary From: -1</t>
  </si>
  <si>
    <t xml:space="preserve">1. Open New Requisition
2. Enter Salary Range From -1
3. Submit</t>
  </si>
  <si>
    <t>Logged in as HRMS admin (amit); Departments, Designations and Branches exist → Open New Requisition → Enter Salary Range From -1 → Submit</t>
  </si>
  <si>
    <t>Message "Salary cannot be negative"</t>
  </si>
  <si>
    <t>TC-REC-024</t>
  </si>
  <si>
    <t>Salary Range To lower than From is rejected</t>
  </si>
  <si>
    <t>From 80000, To 50000</t>
  </si>
  <si>
    <t xml:space="preserve">1. Open New Requisition
2. Enter Salary From 80000 and To 50000
3. Submit</t>
  </si>
  <si>
    <t>Logged in as HRMS admin (amit); Departments, Designations and Branches exist → Open New Requisition → Enter Salary From 80000 and To 50000 → Submit</t>
  </si>
  <si>
    <t>Message "Salary Range To must be greater than or equal to From"</t>
  </si>
  <si>
    <t>TC-REC-025</t>
  </si>
  <si>
    <t>Expected Joining Date in the past is rejected</t>
  </si>
  <si>
    <t>Expected Joining: today-1</t>
  </si>
  <si>
    <t xml:space="preserve">1. Open New Requisition
2. Set Expected Joining Date to yesterday
3. Submit</t>
  </si>
  <si>
    <t>Logged in as HRMS admin (amit); Departments, Designations and Branches exist → Open New Requisition → Set Expected Joining Date to yesterday → Submit</t>
  </si>
  <si>
    <t>Message "Expected Joining Date cannot be in the past"</t>
  </si>
  <si>
    <t>TC-REC-026</t>
  </si>
  <si>
    <t>Business Justification accepts long text and special characters</t>
  </si>
  <si>
    <t>1000-char text with &lt;b&gt;tags&lt;/b&gt; &amp; quotes</t>
  </si>
  <si>
    <t xml:space="preserve">1. Open New Requisition
2. Enter 1000 characters incl. &amp; &lt; &gt; " ' in Business Justification
3. Submit</t>
  </si>
  <si>
    <t>Logged in as HRMS admin (amit); Departments, Designations and Branches exist → Open New Requisition → Enter 1000 characters incl. &amp; &lt; &gt; " ' in Business Justification → Submit</t>
  </si>
  <si>
    <t>Saved; text shown escaped (no HTML injection) in the tooltip/View</t>
  </si>
  <si>
    <t>TC-REC-027</t>
  </si>
  <si>
    <t>Edit / view / delete</t>
  </si>
  <si>
    <t>Edit a Draft requisition</t>
  </si>
  <si>
    <t xml:space="preserve">1. Click Edit on a Draft row
2. Change Positions from 1 to 2
3. Save</t>
  </si>
  <si>
    <t>Logged in as HRMS admin (amit); Departments, Designations and Branches exist → Click Edit on a Draft row → Change Positions from 1 to 2 → Save</t>
  </si>
  <si>
    <t>Changes saved; row shows Positions 2</t>
  </si>
  <si>
    <t>TC-REC-028</t>
  </si>
  <si>
    <t>Submitted or Approved requisition cannot be edited</t>
  </si>
  <si>
    <t xml:space="preserve">1. Open Recruitment &gt; Job Requisitions
2. Locate a Submitted or Approved requisition
3. Try Edit</t>
  </si>
  <si>
    <t>Logged in as HRMS admin (amit); Departments, Designations and Branches exist → Open Recruitment &gt; Job Requisitions → Locate a Submitted or Approved requisition → Try Edit</t>
  </si>
  <si>
    <t>Edit hidden/blocked; message "A submitted or approved requisition cannot be edited."</t>
  </si>
  <si>
    <t>TC-REC-029</t>
  </si>
  <si>
    <t>View a requisition read-only</t>
  </si>
  <si>
    <t xml:space="preserve">1. Open Recruitment &gt; Job Requisitions
2. Click the View icon on any row
3. Compare the screen with the expected result</t>
  </si>
  <si>
    <t>Logged in as HRMS admin (amit); Departments, Designations and Branches exist → Open Recruitment &gt; Job Requisitions → Click the View icon on any row → Compare the screen with the expected result</t>
  </si>
  <si>
    <t>Read-only popup shows all requisition fields; no editable inputs</t>
  </si>
  <si>
    <t>TC-REC-030</t>
  </si>
  <si>
    <t>Delete a Draft requisition with confirmation</t>
  </si>
  <si>
    <t xml:space="preserve">1. Open Recruitment &gt; Job Requisitions
2. Click Delete on a Draft row
3. Confirm "Delete this requisition?"</t>
  </si>
  <si>
    <t>Logged in as HRMS admin (amit); Departments, Designations and Branches exist → Open Recruitment &gt; Job Requisitions → Click Delete on a Draft row → Confirm "Delete this requisition?"</t>
  </si>
  <si>
    <t>Row removed from the list; success message shown</t>
  </si>
  <si>
    <t>TC-REC-031</t>
  </si>
  <si>
    <t>Cancel requisition delete</t>
  </si>
  <si>
    <t xml:space="preserve">1. Open Recruitment &gt; Job Requisitions
2. Click Delete on a Draft row
3. Click Cancel in the confirmation</t>
  </si>
  <si>
    <t>Logged in as HRMS admin (amit); Departments, Designations and Branches exist → Open Recruitment &gt; Job Requisitions → Click Delete on a Draft row → Click Cancel in the confirmation</t>
  </si>
  <si>
    <t>Dialog closes; requisition remains</t>
  </si>
  <si>
    <t>TC-REC-032</t>
  </si>
  <si>
    <t>Approval trail popup shows the approval history</t>
  </si>
  <si>
    <t xml:space="preserve">1. Open Recruitment &gt; Job Requisitions
2. Click the Approval trail icon on an Approved / Rejected row
3. Compare the screen with the expected result</t>
  </si>
  <si>
    <t>Logged in as HRMS admin (amit); Departments, Designations and Branches exist → Open Recruitment &gt; Job Requisitions → Click the Approval trail icon on an Approved / Rejected row → Compare the screen with the expected result</t>
  </si>
  <si>
    <t>Trail lists each level, approver, decision, remarks and date; Rejected rows read "Rejection reason / approval trail"</t>
  </si>
  <si>
    <t>FR-REC-010</t>
  </si>
  <si>
    <t>TC-REC-033</t>
  </si>
  <si>
    <t>Approval workflow</t>
  </si>
  <si>
    <t>Approved requisition shows Approved and auto-creates a job opening</t>
  </si>
  <si>
    <t xml:space="preserve">1. Raise a requisition
2. Approve it in My Approvals (Confirm Approval)
3. Return to Job Requisitions
4. Open Job Board</t>
  </si>
  <si>
    <t>Logged in as HRMS admin (amit); Departments, Designations and Branches exist → Raise a requisition → Approve it in My Approvals (Confirm Approval) → Return to Job Requisitions → Open Job Board</t>
  </si>
  <si>
    <t>Requisition status Approved (with Job Code once the opening exists); a new opening for the designation is created on Job Board</t>
  </si>
  <si>
    <t>FR-REC-012</t>
  </si>
  <si>
    <t>TC-REC-034</t>
  </si>
  <si>
    <t>Re-submitting an unchanged rejected requisition is blocked</t>
  </si>
  <si>
    <t xml:space="preserve">1. Have a requisition rejected in My Approvals
2. Re-submit it without changes
3. Compare the screen with the expected result</t>
  </si>
  <si>
    <t>Logged in as HRMS admin (amit); Departments, Designations and Branches exist → Have a requisition rejected in My Approvals → Re-submit it without changes → Compare the screen with the expected result</t>
  </si>
  <si>
    <t>Message "This requisition was rejected. Please update it based on the rejection reason before submitting it again."</t>
  </si>
  <si>
    <t>BR-REQ-05</t>
  </si>
  <si>
    <t>TC-REC-035</t>
  </si>
  <si>
    <t>Rejected requisition re-submits after an edit</t>
  </si>
  <si>
    <t xml:space="preserve">1. Edit the rejected requisition (Positions 2→3)
2. Save
3. Submit for approval</t>
  </si>
  <si>
    <t>Logged in as HRMS admin (amit); Departments, Designations and Branches exist → Edit the rejected requisition (Positions 2→3) → Save → Submit for approval</t>
  </si>
  <si>
    <t>Accepted; status Submitted again; appears in approver queue</t>
  </si>
  <si>
    <t>TC-REC-036</t>
  </si>
  <si>
    <t>Submit for approval only on Draft/Rejected/Returned rows</t>
  </si>
  <si>
    <t xml:space="preserve">1. Open Recruitment &gt; Job Requisitions
2. Inspect the Action icons on Draft, Submitted and Approved rows
3. Compare the screen with the expected result</t>
  </si>
  <si>
    <t>Logged in as HRMS admin (amit); Departments, Designations and Branches exist → Open Recruitment &gt; Job Requisitions → Inspect the Action icons on Draft, Submitted and Approved rows → Compare the screen with the expected result</t>
  </si>
  <si>
    <t>Submit-for-approval icon shown only on Draft / Rejected / Returned rows</t>
  </si>
  <si>
    <t>TC-REC-037</t>
  </si>
  <si>
    <t>List operations</t>
  </si>
  <si>
    <t>Search requisitions by designation</t>
  </si>
  <si>
    <t xml:space="preserve">1. Open Recruitment &gt; Job Requisitions
2. Type "SOFTWARE TESTER" in "Search designation..."
3. Compare the screen with the expected result</t>
  </si>
  <si>
    <t>Logged in as HRMS admin (amit); Departments, Designations and Branches exist → Open Recruitment &gt; Job Requisitions → Type "SOFTWARE TESTER" in "Search designation..." → Compare the screen with the expected result</t>
  </si>
  <si>
    <t>Only matching requisitions are listed</t>
  </si>
  <si>
    <t>TC-REC-038</t>
  </si>
  <si>
    <t>Search with no match shows empty state</t>
  </si>
  <si>
    <t xml:space="preserve">1. Open Recruitment &gt; Job Requisitions
2. Search "zzzz-no-such-role"
3. Compare the screen with the expected result</t>
  </si>
  <si>
    <t>Logged in as HRMS admin (amit); Departments, Designations and Branches exist → Open Recruitment &gt; Job Requisitions → Search "zzzz-no-such-role" → Compare the screen with the expected result</t>
  </si>
  <si>
    <t>Table shows a "no records" empty state; no error</t>
  </si>
  <si>
    <t>TC-REC-039</t>
  </si>
  <si>
    <t>Filter by Requested By</t>
  </si>
  <si>
    <t xml:space="preserve">1. Open Recruitment &gt; Job Requisitions
2. Type "Amit" in the Requested By filter
3. Compare the screen with the expected result</t>
  </si>
  <si>
    <t>Logged in as HRMS admin (amit); Departments, Designations and Branches exist → Open Recruitment &gt; Job Requisitions → Type "Amit" in the Requested By filter → Compare the screen with the expected result</t>
  </si>
  <si>
    <t>Only requisitions raised by Amit are listed</t>
  </si>
  <si>
    <t>TC-REC-040</t>
  </si>
  <si>
    <t>Filter by Department / Branch / Work Type / Status and Clear All</t>
  </si>
  <si>
    <t xml:space="preserve">1. Open filters
2. Pick Department, Branch, Work Type, Status = Approved
3. Apply Filters
4. Clear All</t>
  </si>
  <si>
    <t>Logged in as HRMS admin (amit); Departments, Designations and Branches exist → Open filters → Pick Department, Branch, Work Type, Status = Approved → Apply Filters → Clear All</t>
  </si>
  <si>
    <t>List narrows to matches; Clear All restores the full list</t>
  </si>
  <si>
    <t>TC-REC-041</t>
  </si>
  <si>
    <t>Sort by REQUESTED ON</t>
  </si>
  <si>
    <t xml:space="preserve">1. Open Recruitment &gt; Job Requisitions
2. Click REQUESTED ON header twice
3. Compare the screen with the expected result</t>
  </si>
  <si>
    <t>Logged in as HRMS admin (amit); Departments, Designations and Branches exist → Open Recruitment &gt; Job Requisitions → Click REQUESTED ON header twice → Compare the screen with the expected result</t>
  </si>
  <si>
    <t>Rows sort ascending then descending by request date</t>
  </si>
  <si>
    <t>TC-REC-042</t>
  </si>
  <si>
    <t>Change page size and paginate</t>
  </si>
  <si>
    <t xml:space="preserve">1. Open Recruitment &gt; Job Requisitions
2. Set page size 25, then 100
3. Use the pager</t>
  </si>
  <si>
    <t>Logged in as HRMS admin (amit); Departments, Designations and Branches exist → Open Recruitment &gt; Job Requisitions → Set page size 25, then 100 → Use the pager</t>
  </si>
  <si>
    <t>Row count follows the page size; pager navigates correctly</t>
  </si>
  <si>
    <t>TC-REC-043</t>
  </si>
  <si>
    <t>Permissions</t>
  </si>
  <si>
    <t>Staff user cannot access Job Requisitions</t>
  </si>
  <si>
    <t>A test-created Staff employee with login exists</t>
  </si>
  <si>
    <t xml:space="preserve">1. Log in as a Staff employee (test-created, password = employee code)
2. Look for Recruitment &gt; Job Requisitions
3. Open /requisition-list directly</t>
  </si>
  <si>
    <t>A test-created Staff employee with login exists → Log in as a Staff employee (test-created, password = employee code) → Look for Recruitment &gt; Job Requisitions → Open /requisition-list directly</t>
  </si>
  <si>
    <t>Menu item hidden; direct URL refused / access denied</t>
  </si>
  <si>
    <t>Tester Ed. 9.2</t>
  </si>
  <si>
    <t>TC-REC-044</t>
  </si>
  <si>
    <t>Logged-out user is redirected to login</t>
  </si>
  <si>
    <t>Not logged in</t>
  </si>
  <si>
    <t xml:space="preserve">1. Log out
2. Open https://hrms-test.progbiz.in/requisition-list
3. Compare the screen with the expected result</t>
  </si>
  <si>
    <t>Not logged in → Log out → Open https://hrms-test.progbiz.in/requisition-list → Compare the screen with the expected result</t>
  </si>
  <si>
    <t>Redirected to the login page; no data shown</t>
  </si>
  <si>
    <t>TC-REC-045</t>
  </si>
  <si>
    <t>Read-only role sees no New Requisition / Edit / Delete</t>
  </si>
  <si>
    <t>Read-only recruitment role user exists</t>
  </si>
  <si>
    <t xml:space="preserve">1. Log in as a user with JobRequisition Has Access only
2. Open Job Requisitions
3. Compare the screen with the expected result</t>
  </si>
  <si>
    <t>Read-only recruitment role user exists → Log in as a user with JobRequisition Has Access only → Open Job Requisitions → Compare the screen with the expected result</t>
  </si>
  <si>
    <t>List visible; New Requisition button and Edit/Delete icons absent</t>
  </si>
  <si>
    <t>P-01</t>
  </si>
  <si>
    <t>TC-REC-046</t>
  </si>
  <si>
    <t>Job Board page opens and renders correctly</t>
  </si>
  <si>
    <t>Logged in as HRMS admin (amit); designation SOFTWARE TESTER exists</t>
  </si>
  <si>
    <t xml:space="preserve">1. Open Recruitment &gt; Job Board
2. Wait for loading to clear
3. Compare the screen with the expected result</t>
  </si>
  <si>
    <t>Logged in as HRMS admin (amit); designation SOFTWARE TESTER exists → Open Recruitment &gt; Job Board → Wait for loading to clear → Compare the screen with the expected result</t>
  </si>
  <si>
    <t>Page loads; Job Openings / Candidates / Talent Pools tab strip, Add Job Opening, Refresh, Open public career page and Copy Indeed XML feed icons, table with JOB CODE, JOB OPENING, CREATED ON, Candidates, Hiring Lead, Status, Action</t>
  </si>
  <si>
    <t>Linear 013 Job Board — page check</t>
  </si>
  <si>
    <t>TC-REC-047</t>
  </si>
  <si>
    <t>Tab strip navigates between Job Openings, Candidates and Talent Pools</t>
  </si>
  <si>
    <t xml:space="preserve">1. On Job Board click Candidates
2. Click Talent Pools
3. Click Job Openings</t>
  </si>
  <si>
    <t>Logged in as HRMS admin (amit); designation SOFTWARE TESTER exists → On Job Board click Candidates → Click Talent Pools → Click Job Openings</t>
  </si>
  <si>
    <t>Each tab navigates (/recruitment-candidates, /talent-pool, /vacancy-list); the current tab is highlighted and inert</t>
  </si>
  <si>
    <t>Tester Ed. T1</t>
  </si>
  <si>
    <t>TC-REC-048</t>
  </si>
  <si>
    <t>Create job opening</t>
  </si>
  <si>
    <t>Create a job opening with all mandatory fields</t>
  </si>
  <si>
    <t>SOFTWARE TESTER; FullTime; SOFTWARE DEVELOPMENT; Open; Office; Main Branch; Vacancies 1</t>
  </si>
  <si>
    <t xml:space="preserve">1. Click Add Job Opening
2. Select Designation, Employment Type, Department, Status = Open, Work Type, Branch
3. Enter Number of Vacancies
4. Click Save</t>
  </si>
  <si>
    <t>Logged in as HRMS admin (amit); designation SOFTWARE TESTER exists → Click Add Job Opening → Select Designation, Employment Type, Department, Status = Open, Work Type, Branch → Enter Number of Vacancies → Click Save</t>
  </si>
  <si>
    <t>Success message; opening listed with a new JOBnnnn code, status Open, not yet published</t>
  </si>
  <si>
    <t>Linear 013 Job Board — openingAndCandidate</t>
  </si>
  <si>
    <t>TC-REC-049</t>
  </si>
  <si>
    <t>Create a job opening with all fields incl. salary range and Vacancy Type</t>
  </si>
  <si>
    <t xml:space="preserve">1. Click Add Job Opening
2. Fill all mandatory fields
3. Enter Salary Range From 300000 / To 600000, Vacancy Type = New Position
4. Save
5. Open the row View popup</t>
  </si>
  <si>
    <t>Logged in as HRMS admin (amit); designation SOFTWARE TESTER exists → Click Add Job Opening → Fill all mandatory fields → Enter Salary Range From 300000 / To 600000, Vacancy Type = New Position → Save → Open the row View popup</t>
  </si>
  <si>
    <t>Saved; detail popup shows Salary Range, Opening Type, Department, Branch, Work Type, Employment Type as entered</t>
  </si>
  <si>
    <t>TC-REC-050</t>
  </si>
  <si>
    <t>Create a job opening as Draft</t>
  </si>
  <si>
    <t xml:space="preserve">1. Click Add Job Opening
2. Fill mandatory fields with Status = Draft
3. Save</t>
  </si>
  <si>
    <t>Logged in as HRMS admin (amit); designation SOFTWARE TESTER exists → Click Add Job Opening → Fill mandatory fields with Status = Draft → Save</t>
  </si>
  <si>
    <t>Opening saved as Draft; row menu does NOT offer Publish (must be moved to Open first)</t>
  </si>
  <si>
    <t>Intended behaviour per SRS N-02</t>
  </si>
  <si>
    <t>N-02</t>
  </si>
  <si>
    <t>TC-REC-051</t>
  </si>
  <si>
    <t>Save job opening without Designation</t>
  </si>
  <si>
    <t xml:space="preserve">1. Click Add Job Opening
2. Fill all mandatory fields except Designation
3. Click Save</t>
  </si>
  <si>
    <t>Logged in as HRMS admin (amit); designation SOFTWARE TESTER exists → Click Add Job Opening → Fill all mandatory fields except Designation → Click Save</t>
  </si>
  <si>
    <t>Save blocked; Designation flagged as required; no opening created</t>
  </si>
  <si>
    <t>TC-REC-052</t>
  </si>
  <si>
    <t>Save job opening without Employment Type</t>
  </si>
  <si>
    <t xml:space="preserve">1. Click Add Job Opening
2. Fill all mandatory fields except Employment Type
3. Click Save</t>
  </si>
  <si>
    <t>Logged in as HRMS admin (amit); designation SOFTWARE TESTER exists → Click Add Job Opening → Fill all mandatory fields except Employment Type → Click Save</t>
  </si>
  <si>
    <t>Save blocked; Employment Type flagged as required; no opening created</t>
  </si>
  <si>
    <t>TC-REC-053</t>
  </si>
  <si>
    <t>Save job opening without Department</t>
  </si>
  <si>
    <t xml:space="preserve">1. Click Add Job Opening
2. Fill all mandatory fields except Department
3. Click Save</t>
  </si>
  <si>
    <t>Logged in as HRMS admin (amit); designation SOFTWARE TESTER exists → Click Add Job Opening → Fill all mandatory fields except Department → Click Save</t>
  </si>
  <si>
    <t>Save blocked; Department flagged as required; no opening created</t>
  </si>
  <si>
    <t>TC-REC-054</t>
  </si>
  <si>
    <t>Save job opening without Status</t>
  </si>
  <si>
    <t xml:space="preserve">1. Click Add Job Opening
2. Fill all mandatory fields except Status
3. Click Save</t>
  </si>
  <si>
    <t>Logged in as HRMS admin (amit); designation SOFTWARE TESTER exists → Click Add Job Opening → Fill all mandatory fields except Status → Click Save</t>
  </si>
  <si>
    <t>Save blocked; Status flagged as required; no opening created</t>
  </si>
  <si>
    <t>TC-REC-055</t>
  </si>
  <si>
    <t>Save job opening without Work Type</t>
  </si>
  <si>
    <t xml:space="preserve">1. Click Add Job Opening
2. Fill all mandatory fields except Work Type
3. Click Save</t>
  </si>
  <si>
    <t>Logged in as HRMS admin (amit); designation SOFTWARE TESTER exists → Click Add Job Opening → Fill all mandatory fields except Work Type → Click Save</t>
  </si>
  <si>
    <t>Save blocked; Work Type flagged as required; no opening created</t>
  </si>
  <si>
    <t>TC-REC-056</t>
  </si>
  <si>
    <t>Save job opening without Branch</t>
  </si>
  <si>
    <t xml:space="preserve">1. Click Add Job Opening
2. Fill all mandatory fields except Branch
3. Click Save</t>
  </si>
  <si>
    <t>Logged in as HRMS admin (amit); designation SOFTWARE TESTER exists → Click Add Job Opening → Fill all mandatory fields except Branch → Click Save</t>
  </si>
  <si>
    <t>Save blocked; Branch flagged as required; no opening created</t>
  </si>
  <si>
    <t>TC-REC-057</t>
  </si>
  <si>
    <t>Save job opening without Number of Vacancies</t>
  </si>
  <si>
    <t xml:space="preserve">1. Click Add Job Opening
2. Fill all mandatory fields except Number of Vacancies
3. Click Save</t>
  </si>
  <si>
    <t>Logged in as HRMS admin (amit); designation SOFTWARE TESTER exists → Click Add Job Opening → Fill all mandatory fields except Number of Vacancies → Click Save</t>
  </si>
  <si>
    <t>Save blocked; Number of Vacancies flagged as required; no opening created</t>
  </si>
  <si>
    <t>TC-REC-058</t>
  </si>
  <si>
    <t>Number of Vacancies 0 or negative is rejected</t>
  </si>
  <si>
    <t>0, -1</t>
  </si>
  <si>
    <t xml:space="preserve">1. Click Add Job Opening
2. Enter Vacancies 0, then -1
3. Save</t>
  </si>
  <si>
    <t>Logged in as HRMS admin (amit); designation SOFTWARE TESTER exists → Click Add Job Opening → Enter Vacancies 0, then -1 → Save</t>
  </si>
  <si>
    <t>Validation message; not saved</t>
  </si>
  <si>
    <t>TC-REC-059</t>
  </si>
  <si>
    <t>Salary Range To lower than From is rejected on an opening</t>
  </si>
  <si>
    <t xml:space="preserve">1. Add Job Opening
2. Salary From 600000, To 300000
3. Save</t>
  </si>
  <si>
    <t>Logged in as HRMS admin (amit); designation SOFTWARE TESTER exists → Add Job Opening → Salary From 600000, To 300000 → Save</t>
  </si>
  <si>
    <t>Validation "Salary Range To must be greater than or equal to From"; not saved</t>
  </si>
  <si>
    <t>FR-REC-017</t>
  </si>
  <si>
    <t>TC-REC-060</t>
  </si>
  <si>
    <t>Negative salary on an opening is rejected</t>
  </si>
  <si>
    <t xml:space="preserve">1. Add Job Opening
2. Salary From -100
3. Save</t>
  </si>
  <si>
    <t>Logged in as HRMS admin (amit); designation SOFTWARE TESTER exists → Add Job Opening → Salary From -100 → Save</t>
  </si>
  <si>
    <t>Validation error; not saved</t>
  </si>
  <si>
    <t>TC-REC-061</t>
  </si>
  <si>
    <t>Job Code is unique and sequential</t>
  </si>
  <si>
    <t xml:space="preserve">1. Create two openings one after another
2. Compare their JOB codes
3. Compare the screen with the expected result</t>
  </si>
  <si>
    <t>Logged in as HRMS admin (amit); designation SOFTWARE TESTER exists → Create two openings one after another → Compare their JOB codes → Compare the screen with the expected result</t>
  </si>
  <si>
    <t>Each opening gets a distinct JOBnnnn code, the second higher than the first</t>
  </si>
  <si>
    <t>SRS 10.3</t>
  </si>
  <si>
    <t>TC-REC-062</t>
  </si>
  <si>
    <t>Edit / view</t>
  </si>
  <si>
    <t>View opening detail popup</t>
  </si>
  <si>
    <t xml:space="preserve">1. Open Recruitment &gt; Job Board
2. Click the View icon on an opening
3. Compare the screen with the expected result</t>
  </si>
  <si>
    <t>Logged in as HRMS admin (amit); designation SOFTWARE TESTER exists → Open Recruitment &gt; Job Board → Click the View icon on an opening → Compare the screen with the expected result</t>
  </si>
  <si>
    <t>Popup shows Department, Branch, Work Type, Employment Type, Salary Range, Created/Published/Closed On, Applications, Hiring Team, application-form settings; buttons View N application(s), Edit, Close</t>
  </si>
  <si>
    <t>TC-REC-063</t>
  </si>
  <si>
    <t>Edit an opening (Draft to Open)</t>
  </si>
  <si>
    <t xml:space="preserve">1. Open a Draft opening
2. Edit
3. Change Status to Open
4. Save</t>
  </si>
  <si>
    <t>Logged in as HRMS admin (amit); designation SOFTWARE TESTER exists → Open a Draft opening → Edit → Change Status to Open → Save</t>
  </si>
  <si>
    <t>Status Open; Publish now available in the row menu</t>
  </si>
  <si>
    <t>TC-REC-064</t>
  </si>
  <si>
    <t>"View N application(s)" opens the applications for the opening</t>
  </si>
  <si>
    <t xml:space="preserve">1. Open Recruitment &gt; Job Board
2. Open the detail popup of an opening with applicants
3. Click View N application(s)</t>
  </si>
  <si>
    <t>Logged in as HRMS admin (amit); designation SOFTWARE TESTER exists → Open Recruitment &gt; Job Board → Open the detail popup of an opening with applicants → Click View N application(s)</t>
  </si>
  <si>
    <t>Job Applications for that opening are shown</t>
  </si>
  <si>
    <t>TC-REC-065</t>
  </si>
  <si>
    <t>Publish lifecycle</t>
  </si>
  <si>
    <t>Publish an Open opening</t>
  </si>
  <si>
    <t xml:space="preserve">1. Open the row menu (⋮) of an Open opening
2. Click Publish
3. Confirm "Publish this opening for applications?"</t>
  </si>
  <si>
    <t>Logged in as HRMS admin (amit); designation SOFTWARE TESTER exists → Open the row menu (⋮) of an Open opening → Click Publish → Confirm "Publish this opening for applications?"</t>
  </si>
  <si>
    <t>Message "Opening published"; status/badge shows Published; opening appears on the public career page</t>
  </si>
  <si>
    <t>TC-REC-066</t>
  </si>
  <si>
    <t>Close a published opening</t>
  </si>
  <si>
    <t xml:space="preserve">1. Open Recruitment &gt; Job Board
2. Row menu &gt; Close
3. Confirm the "Close this opening?…" dialog</t>
  </si>
  <si>
    <t>Logged in as HRMS admin (amit); designation SOFTWARE TESTER exists → Open Recruitment &gt; Job Board → Row menu &gt; Close → Confirm the "Close this opening?…" dialog</t>
  </si>
  <si>
    <t>Message "Opening closed"; opening removed from the career page; its public link stops accepting applications</t>
  </si>
  <si>
    <t>Tester Ed. S2</t>
  </si>
  <si>
    <t>TC-REC-067</t>
  </si>
  <si>
    <t>Reopen a closed opening</t>
  </si>
  <si>
    <t xml:space="preserve">1. Open Recruitment &gt; Job Board
2. Row menu &gt; Reopen on a closed opening
3. Confirm</t>
  </si>
  <si>
    <t>Logged in as HRMS admin (amit); designation SOFTWARE TESTER exists → Open Recruitment &gt; Job Board → Row menu &gt; Reopen on a closed opening → Confirm</t>
  </si>
  <si>
    <t>Message "Opening reopened"; opening published back to the careers page</t>
  </si>
  <si>
    <t>TC-REC-068</t>
  </si>
  <si>
    <t>Archive an opening</t>
  </si>
  <si>
    <t xml:space="preserve">1. Open Recruitment &gt; Job Board
2. Row menu &gt; Archive
3. Confirm "Archive this opening?"</t>
  </si>
  <si>
    <t>Logged in as HRMS admin (amit); designation SOFTWARE TESTER exists → Open Recruitment &gt; Job Board → Row menu &gt; Archive → Confirm "Archive this opening?"</t>
  </si>
  <si>
    <t>Message "Opening archived"; opening hidden from the default status filter</t>
  </si>
  <si>
    <t>TC-REC-069</t>
  </si>
  <si>
    <t>Cancel the Publish confirmation</t>
  </si>
  <si>
    <t xml:space="preserve">1. Open Recruitment &gt; Job Board
2. Row menu &gt; Publish
3. Click Cancel</t>
  </si>
  <si>
    <t>Logged in as HRMS admin (amit); designation SOFTWARE TESTER exists → Open Recruitment &gt; Job Board → Row menu &gt; Publish → Click Cancel</t>
  </si>
  <si>
    <t>Opening stays unpublished</t>
  </si>
  <si>
    <t>TC-REC-070</t>
  </si>
  <si>
    <t>Delete an opening with confirmation</t>
  </si>
  <si>
    <t xml:space="preserve">1. Open Recruitment &gt; Job Board
2. Row menu &gt; Delete on an opening with no applications
3. Confirm</t>
  </si>
  <si>
    <t>Logged in as HRMS admin (amit); designation SOFTWARE TESTER exists → Open Recruitment &gt; Job Board → Row menu &gt; Delete on an opening with no applications → Confirm</t>
  </si>
  <si>
    <t>Opening removed from the list</t>
  </si>
  <si>
    <t>TC-REC-071</t>
  </si>
  <si>
    <t>Public links</t>
  </si>
  <si>
    <t>Open public career page from the Job Board</t>
  </si>
  <si>
    <t xml:space="preserve">1. Open Recruitment &gt; Job Board
2. Click the "Open public career page" icon
3. Compare the screen with the expected result</t>
  </si>
  <si>
    <t>Logged in as HRMS admin (amit); designation SOFTWARE TESTER exists → Open Recruitment &gt; Job Board → Click the "Open public career page" icon → Compare the screen with the expected result</t>
  </si>
  <si>
    <t>A new tab opens /careers/&lt;tenant-guid&gt; showing "Join Our Team" and published openings</t>
  </si>
  <si>
    <t>Linear 014 Job Applications — candidateSelfApplies</t>
  </si>
  <si>
    <t>TC-REC-072</t>
  </si>
  <si>
    <t>Copy public job link of a published opening</t>
  </si>
  <si>
    <t xml:space="preserve">1. Open Recruitment &gt; Job Board
2. Row menu &gt; Copy public job link on a published opening
3. Paste the link in a private window</t>
  </si>
  <si>
    <t>Logged in as HRMS admin (amit); designation SOFTWARE TESTER exists → Open Recruitment &gt; Job Board → Row menu &gt; Copy public job link on a published opening → Paste the link in a private window</t>
  </si>
  <si>
    <t>Link copied (confirmation toast); it opens the Apply Now form for that opening without login</t>
  </si>
  <si>
    <t>TC-REC-073</t>
  </si>
  <si>
    <t>Copy Indeed XML feed URL</t>
  </si>
  <si>
    <t xml:space="preserve">1. Open Recruitment &gt; Job Board
2. Click "Copy Indeed XML feed URL"
3. Open the copied URL</t>
  </si>
  <si>
    <t>Logged in as HRMS admin (amit); designation SOFTWARE TESTER exists → Open Recruitment &gt; Job Board → Click "Copy Indeed XML feed URL" → Open the copied URL</t>
  </si>
  <si>
    <t>URL copied; it returns XML listing published openings</t>
  </si>
  <si>
    <t>FR-REC-018</t>
  </si>
  <si>
    <t>TC-REC-074</t>
  </si>
  <si>
    <t>Share on LinkedIn for a published opening</t>
  </si>
  <si>
    <t xml:space="preserve">1. Open Recruitment &gt; Job Board
2. Row menu &gt; Share on LinkedIn
3. Compare the screen with the expected result</t>
  </si>
  <si>
    <t>Logged in as HRMS admin (amit); designation SOFTWARE TESTER exists → Open Recruitment &gt; Job Board → Row menu &gt; Share on LinkedIn → Compare the screen with the expected result</t>
  </si>
  <si>
    <t>LinkedIn share window opens with the job link prefilled</t>
  </si>
  <si>
    <t>TC-REC-075</t>
  </si>
  <si>
    <t>Copy public job link not offered for unpublished opening</t>
  </si>
  <si>
    <t xml:space="preserve">1. Open Recruitment &gt; Job Board
2. Open the row menu of an Open but unpublished opening
3. Compare the screen with the expected result</t>
  </si>
  <si>
    <t>Logged in as HRMS admin (amit); designation SOFTWARE TESTER exists → Open Recruitment &gt; Job Board → Open the row menu of an Open but unpublished opening → Compare the screen with the expected result</t>
  </si>
  <si>
    <t>Copy public job link and Share on LinkedIn are absent</t>
  </si>
  <si>
    <t>TC-REC-076</t>
  </si>
  <si>
    <t>Hiring team, notes, activity</t>
  </si>
  <si>
    <t>Add a hiring team member</t>
  </si>
  <si>
    <t xml:space="preserve">1. Row menu &gt; Hiring Team
2. Select Member and Role
3. Click Add
4. Save</t>
  </si>
  <si>
    <t>Logged in as HRMS admin (amit); designation SOFTWARE TESTER exists → Row menu &gt; Hiring Team → Select Member and Role → Click Add → Save</t>
  </si>
  <si>
    <t>Member saved; Hiring Lead column shows the lead</t>
  </si>
  <si>
    <t>FR-REC-014</t>
  </si>
  <si>
    <t>TC-REC-077</t>
  </si>
  <si>
    <t>Hiring team Member is mandatory</t>
  </si>
  <si>
    <t xml:space="preserve">1. Open Recruitment &gt; Job Board
2. Row menu &gt; Hiring Team
3. Click Add without a Member</t>
  </si>
  <si>
    <t>Logged in as HRMS admin (amit); designation SOFTWARE TESTER exists → Open Recruitment &gt; Job Board → Row menu &gt; Hiring Team → Click Add without a Member</t>
  </si>
  <si>
    <t>Validation; nothing added</t>
  </si>
  <si>
    <t>TC-REC-078</t>
  </si>
  <si>
    <t>Remove a hiring team member</t>
  </si>
  <si>
    <t xml:space="preserve">1. Row menu &gt; Hiring Team
2. Click Remove on a member
3. Save</t>
  </si>
  <si>
    <t>Logged in as HRMS admin (amit); designation SOFTWARE TESTER exists → Row menu &gt; Hiring Team → Click Remove on a member → Save</t>
  </si>
  <si>
    <t>Member removed from the team</t>
  </si>
  <si>
    <t>TC-REC-079</t>
  </si>
  <si>
    <t>Add and delete a note on an opening</t>
  </si>
  <si>
    <t xml:space="preserve">1. Row menu &gt; Notes &amp; Attachments
2. Type a note in "Add a note or comment..." and save
3. Delete it and confirm "Delete this note?"</t>
  </si>
  <si>
    <t>Logged in as HRMS admin (amit); designation SOFTWARE TESTER exists → Row menu &gt; Notes &amp; Attachments → Type a note in "Add a note or comment..." and save → Delete it and confirm "Delete this note?"</t>
  </si>
  <si>
    <t>Note listed with author/time, then removed after confirm</t>
  </si>
  <si>
    <t>TC-REC-080</t>
  </si>
  <si>
    <t>Activity Timeline lists lifecycle events</t>
  </si>
  <si>
    <t xml:space="preserve">1. Open Recruitment &gt; Job Board
2. Publish, then close an opening
3. Row menu &gt; Activity Timeline</t>
  </si>
  <si>
    <t>Logged in as HRMS admin (amit); designation SOFTWARE TESTER exists → Open Recruitment &gt; Job Board → Publish, then close an opening → Row menu &gt; Activity Timeline</t>
  </si>
  <si>
    <t>Timeline lists Created / Published / Closed events with When, Type, Description, By</t>
  </si>
  <si>
    <t>FR-REC-016</t>
  </si>
  <si>
    <t>TC-REC-081</t>
  </si>
  <si>
    <t>Search openings by name or job code</t>
  </si>
  <si>
    <t xml:space="preserve">1. Open Recruitment &gt; Job Board
2. Type a JOB code in "Search job opening or code..."
3. Compare the screen with the expected result</t>
  </si>
  <si>
    <t>Logged in as HRMS admin (amit); designation SOFTWARE TESTER exists → Open Recruitment &gt; Job Board → Type a JOB code in "Search job opening or code..." → Compare the screen with the expected result</t>
  </si>
  <si>
    <t>Only the matching opening is listed</t>
  </si>
  <si>
    <t>TC-REC-082</t>
  </si>
  <si>
    <t>Filter openings by status</t>
  </si>
  <si>
    <t xml:space="preserve">1. Open Recruitment &gt; Job Board
2. Set Status filter to Open, then Closed, then All
3. Apply Filters</t>
  </si>
  <si>
    <t>Logged in as HRMS admin (amit); designation SOFTWARE TESTER exists → Open Recruitment &gt; Job Board → Set Status filter to Open, then Closed, then All → Apply Filters</t>
  </si>
  <si>
    <t>List matches the chosen status; default view is Draft, Open &amp; Closed</t>
  </si>
  <si>
    <t>TC-REC-083</t>
  </si>
  <si>
    <t>Sort by JOB CODE / CREATED ON</t>
  </si>
  <si>
    <t xml:space="preserve">1. Open Recruitment &gt; Job Board
2. Click the JOB CODE then CREATED ON headers
3. Compare the screen with the expected result</t>
  </si>
  <si>
    <t>Logged in as HRMS admin (amit); designation SOFTWARE TESTER exists → Open Recruitment &gt; Job Board → Click the JOB CODE then CREATED ON headers → Compare the screen with the expected result</t>
  </si>
  <si>
    <t>Rows sort accordingly</t>
  </si>
  <si>
    <t>TC-REC-084</t>
  </si>
  <si>
    <t>Read-only user cannot add or publish openings</t>
  </si>
  <si>
    <t xml:space="preserve">1. Log in as a read-only recruitment user
2. Open Job Board
3. Compare the screen with the expected result</t>
  </si>
  <si>
    <t>Read-only recruitment role user exists → Log in as a read-only recruitment user → Open Job Board → Compare the screen with the expected result</t>
  </si>
  <si>
    <t>No Add Job Opening; no Publish/Close/Reopen/Archive in the row menu</t>
  </si>
  <si>
    <t>P-02</t>
  </si>
  <si>
    <t>TC-REC-085</t>
  </si>
  <si>
    <t>Staff user cannot open Job Board</t>
  </si>
  <si>
    <t xml:space="preserve">1. Log in as a Staff employee
2. Open /vacancy-list directly
3. Compare the screen with the expected result</t>
  </si>
  <si>
    <t>A test-created Staff employee with login exists → Log in as a Staff employee → Open /vacancy-list directly → Compare the screen with the expected result</t>
  </si>
  <si>
    <t>Access refused; menu item hidden</t>
  </si>
  <si>
    <t>TC-REC-086</t>
  </si>
  <si>
    <t>Candidates register</t>
  </si>
  <si>
    <t>Candidates tab renders the register</t>
  </si>
  <si>
    <t>Logged in as HRMS admin (amit); a published SOFTWARE TESTER opening exists</t>
  </si>
  <si>
    <t xml:space="preserve">1. Open Job Board
2. Click the Candidates tab
3. Compare the screen with the expected result</t>
  </si>
  <si>
    <t>Logged in as HRMS admin (amit); a published SOFTWARE TESTER opening exists → Open Job Board → Click the Candidates tab → Compare the screen with the expected result</t>
  </si>
  <si>
    <t>Register loads (skeleton clears); Export Data, Add New, status tabs New / In Progress / Shortlisted / Selected / Rejected with counts, "Search by name, email or phone", columns Name, Email, Phone, Branch, Designation, Status, Stage, Source, Added On, Action</t>
  </si>
  <si>
    <t>/recruitment-candidates</t>
  </si>
  <si>
    <t>Tester Ed. S16</t>
  </si>
  <si>
    <t>TC-REC-087</t>
  </si>
  <si>
    <t>Add a candidate with all mandatory fields</t>
  </si>
  <si>
    <t>Realistic name e.g. Riya Panicker; riya.panicker.&lt;stamp&gt;@example.com; 9xxxxxxxxx; sample-cv.pdf</t>
  </si>
  <si>
    <t xml:space="preserve">1. Click Add New (offcanvas opens)
2. Enter First Name, Last Name, Email
3. Select Gender, Phone code IND 91 and number
4. Select Source = Manual
5. Select Department &gt; Designation &gt; Apply to Job Opening (newest JOB)
6. Upload Resume (PDF)
7. Click Save Candidate</t>
  </si>
  <si>
    <t>Logged in as HRMS admin (amit); a published SOFTWARE TESTER opening exists → Click Add New (offcanvas opens) → Enter First Name, Last Name, Email → Select Gender, Phone code IND 91 and number → Select Source = Manual → Select Department &gt; Designation &gt; Apply to Job Opening (newest JOB) → Upload Resume (PDF) → Click Save Candidate</t>
  </si>
  <si>
    <t>Offcanvas closes; candidate listed (search by e-mail) with Status New, Stage APPLIED, Source Manual</t>
  </si>
  <si>
    <t>TC-REC-088</t>
  </si>
  <si>
    <t>Add a candidate with LinkedIn URL</t>
  </si>
  <si>
    <t xml:space="preserve">1. Add New
2. Fill mandatory fields + LinkedIn https://linkedin.com/in/test
3. Save Candidate</t>
  </si>
  <si>
    <t>Logged in as HRMS admin (amit); a published SOFTWARE TESTER opening exists → Add New → Fill mandatory fields + LinkedIn https://linkedin.com/in/test → Save Candidate</t>
  </si>
  <si>
    <t>Saved; LinkedIn shown on the candidate profile</t>
  </si>
  <si>
    <t>TC-REC-089</t>
  </si>
  <si>
    <t>Save candidate without First Name</t>
  </si>
  <si>
    <t xml:space="preserve">1. Click Add New
2. Fill all mandatory fields except First Name
3. Click Save Candidate</t>
  </si>
  <si>
    <t>Logged in as HRMS admin (amit); a published SOFTWARE TESTER opening exists → Click Add New → Fill all mandatory fields except First Name → Click Save Candidate</t>
  </si>
  <si>
    <t>Save blocked; First Name flagged required ("Name, email and phone are required."); offcanvas stays open</t>
  </si>
  <si>
    <t>Tester Ed. 8.3</t>
  </si>
  <si>
    <t>TC-REC-090</t>
  </si>
  <si>
    <t>Save candidate without Email</t>
  </si>
  <si>
    <t xml:space="preserve">1. Click Add New
2. Fill all mandatory fields except Email
3. Click Save Candidate</t>
  </si>
  <si>
    <t>Logged in as HRMS admin (amit); a published SOFTWARE TESTER opening exists → Click Add New → Fill all mandatory fields except Email → Click Save Candidate</t>
  </si>
  <si>
    <t>Save blocked; Email flagged required ("Name, email and phone are required."); offcanvas stays open</t>
  </si>
  <si>
    <t>TC-REC-091</t>
  </si>
  <si>
    <t>Save candidate without Gender</t>
  </si>
  <si>
    <t xml:space="preserve">1. Click Add New
2. Fill all mandatory fields except Gender
3. Click Save Candidate</t>
  </si>
  <si>
    <t>Logged in as HRMS admin (amit); a published SOFTWARE TESTER opening exists → Click Add New → Fill all mandatory fields except Gender → Click Save Candidate</t>
  </si>
  <si>
    <t>Save blocked; Gender flagged required; offcanvas stays open</t>
  </si>
  <si>
    <t>TC-REC-092</t>
  </si>
  <si>
    <t>Save candidate without Phone</t>
  </si>
  <si>
    <t xml:space="preserve">1. Click Add New
2. Fill all mandatory fields except Phone
3. Click Save Candidate</t>
  </si>
  <si>
    <t>Logged in as HRMS admin (amit); a published SOFTWARE TESTER opening exists → Click Add New → Fill all mandatory fields except Phone → Click Save Candidate</t>
  </si>
  <si>
    <t>Save blocked; Phone flagged required ("Name, email and phone are required."); offcanvas stays open</t>
  </si>
  <si>
    <t>TC-REC-093</t>
  </si>
  <si>
    <t>Save candidate without Source</t>
  </si>
  <si>
    <t xml:space="preserve">1. Click Add New
2. Fill all mandatory fields except Source
3. Click Save Candidate</t>
  </si>
  <si>
    <t>Logged in as HRMS admin (amit); a published SOFTWARE TESTER opening exists → Click Add New → Fill all mandatory fields except Source → Click Save Candidate</t>
  </si>
  <si>
    <t>Save blocked; Source flagged required; offcanvas stays open</t>
  </si>
  <si>
    <t>TC-REC-094</t>
  </si>
  <si>
    <t>Save candidate without Department</t>
  </si>
  <si>
    <t xml:space="preserve">1. Click Add New
2. Fill all mandatory fields except Department
3. Click Save Candidate</t>
  </si>
  <si>
    <t>Logged in as HRMS admin (amit); a published SOFTWARE TESTER opening exists → Click Add New → Fill all mandatory fields except Department → Click Save Candidate</t>
  </si>
  <si>
    <t>Save blocked; Department flagged required; offcanvas stays open</t>
  </si>
  <si>
    <t>TC-REC-095</t>
  </si>
  <si>
    <t>Save candidate without Designation</t>
  </si>
  <si>
    <t xml:space="preserve">1. Click Add New
2. Fill all mandatory fields except Designation
3. Click Save Candidate</t>
  </si>
  <si>
    <t>Logged in as HRMS admin (amit); a published SOFTWARE TESTER opening exists → Click Add New → Fill all mandatory fields except Designation → Click Save Candidate</t>
  </si>
  <si>
    <t>Save blocked; Designation flagged required; offcanvas stays open</t>
  </si>
  <si>
    <t>TC-REC-096</t>
  </si>
  <si>
    <t>Save candidate without Apply to Job Opening</t>
  </si>
  <si>
    <t xml:space="preserve">1. Click Add New
2. Fill all mandatory fields except Apply to Job Opening
3. Click Save Candidate</t>
  </si>
  <si>
    <t>Logged in as HRMS admin (amit); a published SOFTWARE TESTER opening exists → Click Add New → Fill all mandatory fields except Apply to Job Opening → Click Save Candidate</t>
  </si>
  <si>
    <t>Save blocked; Apply to Job Opening flagged required; offcanvas stays open</t>
  </si>
  <si>
    <t>TC-REC-097</t>
  </si>
  <si>
    <t>Save candidate without Resume</t>
  </si>
  <si>
    <t xml:space="preserve">1. Click Add New
2. Fill all mandatory fields except Resume
3. Click Save Candidate</t>
  </si>
  <si>
    <t>Logged in as HRMS admin (amit); a published SOFTWARE TESTER opening exists → Click Add New → Fill all mandatory fields except Resume → Click Save Candidate</t>
  </si>
  <si>
    <t>Save blocked; Resume flagged required; offcanvas stays open</t>
  </si>
  <si>
    <t>TC-REC-098</t>
  </si>
  <si>
    <t>Invalid e-mail format is rejected</t>
  </si>
  <si>
    <t>riya.panicker@</t>
  </si>
  <si>
    <t xml:space="preserve">1. Add New
2. Enter Email "riya.panicker@"
3. Save Candidate</t>
  </si>
  <si>
    <t>Logged in as HRMS admin (amit); a published SOFTWARE TESTER opening exists → Add New → Enter Email "riya.panicker@" → Save Candidate</t>
  </si>
  <si>
    <t>Validation "Please enter a valid email address"; not saved</t>
  </si>
  <si>
    <t>TC-REC-099</t>
  </si>
  <si>
    <t>Phone with wrong length for +91 is rejected</t>
  </si>
  <si>
    <t>98765</t>
  </si>
  <si>
    <t xml:space="preserve">1. Add New
2. Code IND 91, number 98765
3. Save Candidate</t>
  </si>
  <si>
    <t>Logged in as HRMS admin (amit); a published SOFTWARE TESTER opening exists → Add New → Code IND 91, number 98765 → Save Candidate</t>
  </si>
  <si>
    <t>Validation "Please enter a valid 10-digit mobile number for +91."</t>
  </si>
  <si>
    <t>TC-REC-100</t>
  </si>
  <si>
    <t>First Name with spaces or digits is rejected</t>
  </si>
  <si>
    <t>First Name: "Riya 2"</t>
  </si>
  <si>
    <t xml:space="preserve">1. Add New
2. Enter First Name "Riya 2"
3. Fill the rest
4. Save Candidate</t>
  </si>
  <si>
    <t>Logged in as HRMS admin (amit); a published SOFTWARE TESTER opening exists → Add New → Enter First Name "Riya 2" → Fill the rest → Save Candidate</t>
  </si>
  <si>
    <t>Clear validation message shown; candidate not saved</t>
  </si>
  <si>
    <t>Known behaviour: First Name with a space is silently not saved (no message) — verify a visible message is shown</t>
  </si>
  <si>
    <t>TC-REC-101</t>
  </si>
  <si>
    <t>Resume of unsupported type is rejected</t>
  </si>
  <si>
    <t xml:space="preserve">1. Add New
2. Upload resume.exe / an .mp4 renamed .pdf
3. Save Candidate</t>
  </si>
  <si>
    <t>Logged in as HRMS admin (amit); a published SOFTWARE TESTER opening exists → Add New → Upload resume.exe / an .mp4 renamed .pdf → Save Candidate</t>
  </si>
  <si>
    <t>Message "Resume must be a PDF, DOC or DOCX file."; not saved</t>
  </si>
  <si>
    <t>TC-REC-102</t>
  </si>
  <si>
    <t>Resume larger than 10 MB is rejected</t>
  </si>
  <si>
    <t>12 MB PDF</t>
  </si>
  <si>
    <t xml:space="preserve">1. Open Recruitment &gt; Job Board and click the Candidates tab
2. Add New
3. Upload a 12 MB PDF</t>
  </si>
  <si>
    <t>Logged in as HRMS admin (amit); a published SOFTWARE TESTER opening exists → Open Recruitment &gt; Job Board and click the Candidates tab → Add New → Upload a 12 MB PDF</t>
  </si>
  <si>
    <t>Size validation message; not saved</t>
  </si>
  <si>
    <t>TC-REC-103</t>
  </si>
  <si>
    <t>Duplicate candidate e-mail or phone is rejected with the existing name</t>
  </si>
  <si>
    <t xml:space="preserve">1. Add New
2. Use the e-mail of an existing candidate
3. Save Candidate</t>
  </si>
  <si>
    <t>Logged in as HRMS admin (amit); a published SOFTWARE TESTER opening exists → Add New → Use the e-mail of an existing candidate → Save Candidate</t>
  </si>
  <si>
    <t>Message "A candidate with this email or phone number already exists (&lt;Name&gt;)." (title "Candidate Already Exists"); not saved</t>
  </si>
  <si>
    <t>TC-REC-104</t>
  </si>
  <si>
    <t>Cascade Department &gt; Designation &gt; Apply to Job Opening</t>
  </si>
  <si>
    <t xml:space="preserve">1. Open Recruitment &gt; Job Board and click the Candidates tab
2. Add New
3. Observe Designation and Apply to Job Opening before choosing Department</t>
  </si>
  <si>
    <t>Logged in as HRMS admin (amit); a published SOFTWARE TESTER opening exists → Open Recruitment &gt; Job Board and click the Candidates tab → Add New → Observe Designation and Apply to Job Opening before choosing Department</t>
  </si>
  <si>
    <t>Designation shows "— Select a department first —" and Apply to Job Opening "— Select a designation first —" (disabled) until the parent is chosen; options load only open JOB openings</t>
  </si>
  <si>
    <t>TC-REC-105</t>
  </si>
  <si>
    <t>Cancel Add New discards the entry</t>
  </si>
  <si>
    <t xml:space="preserve">1. Add New
2. Type a name
3. Click Cancel</t>
  </si>
  <si>
    <t>Logged in as HRMS admin (amit); a published SOFTWARE TESTER opening exists → Add New → Type a name → Click Cancel</t>
  </si>
  <si>
    <t>Offcanvas closes; nothing saved</t>
  </si>
  <si>
    <t>TC-REC-106</t>
  </si>
  <si>
    <t>Search the register by e-mail</t>
  </si>
  <si>
    <t xml:space="preserve">1. Open Recruitment &gt; Job Board and click the Candidates tab
2. Type a candidate e-mail in "Search by name, email or phone"
3. Press Enter</t>
  </si>
  <si>
    <t>Logged in as HRMS admin (amit); a published SOFTWARE TESTER opening exists → Open Recruitment &gt; Job Board and click the Candidates tab → Type a candidate e-mail in "Search by name, email or phone" → Press Enter</t>
  </si>
  <si>
    <t>Only that candidate is listed</t>
  </si>
  <si>
    <t>TC-REC-107</t>
  </si>
  <si>
    <t>Status tabs filter the register</t>
  </si>
  <si>
    <t xml:space="preserve">1. Open Recruitment &gt; Job Board and click the Candidates tab
2. Click New, In Progress, Shortlisted, Selected, Rejected tabs
3. Compare the screen with the expected result</t>
  </si>
  <si>
    <t>Logged in as HRMS admin (amit); a published SOFTWARE TESTER opening exists → Open Recruitment &gt; Job Board and click the Candidates tab → Click New, In Progress, Shortlisted, Selected, Rejected tabs → Compare the screen with the expected result</t>
  </si>
  <si>
    <t>Each tab lists candidates of that status; badge counts match the rows</t>
  </si>
  <si>
    <t>TC-REC-108</t>
  </si>
  <si>
    <t>Filter by Branch / Designation / Status and Clear All</t>
  </si>
  <si>
    <t xml:space="preserve">1. Open filters
2. Pick Designation SOFTWARE TESTER
3. Apply Filters
4. Clear All</t>
  </si>
  <si>
    <t>Logged in as HRMS admin (amit); a published SOFTWARE TESTER opening exists → Open filters → Pick Designation SOFTWARE TESTER → Apply Filters → Clear All</t>
  </si>
  <si>
    <t>List narrows; Clear All restores</t>
  </si>
  <si>
    <t>TC-REC-109</t>
  </si>
  <si>
    <t>Export Data downloads the register</t>
  </si>
  <si>
    <t xml:space="preserve">1. Open Recruitment &gt; Job Board and click the Candidates tab
2. Click Export Data
3. Compare the screen with the expected result</t>
  </si>
  <si>
    <t>Logged in as HRMS admin (amit); a published SOFTWARE TESTER opening exists → Open Recruitment &gt; Job Board and click the Candidates tab → Click Export Data → Compare the screen with the expected result</t>
  </si>
  <si>
    <t>An Excel/CSV file downloads with the visible columns</t>
  </si>
  <si>
    <t>TC-REC-110</t>
  </si>
  <si>
    <t>Row menu View / Candidate Info / Edit / Archive</t>
  </si>
  <si>
    <t xml:space="preserve">1. Open Recruitment &gt; Job Board and click the Candidates tab
2. Open a candidate row menu
3. Click Candidate Info</t>
  </si>
  <si>
    <t>Logged in as HRMS admin (amit); a published SOFTWARE TESTER opening exists → Open Recruitment &gt; Job Board and click the Candidates tab → Open a candidate row menu → Click Candidate Info</t>
  </si>
  <si>
    <t>Candidate 360 opens (/candidate-info/g/&lt;guid&gt;) with Profile, Interviews, Offer, Assessments, Communications, Activity tabs</t>
  </si>
  <si>
    <t>Tester Ed. S17</t>
  </si>
  <si>
    <t>TC-REC-111</t>
  </si>
  <si>
    <t>Edit a candidate</t>
  </si>
  <si>
    <t xml:space="preserve">1. Row menu &gt; Edit
2. Change LinkedIn
3. Save Candidate</t>
  </si>
  <si>
    <t>Logged in as HRMS admin (amit); a published SOFTWARE TESTER opening exists → Row menu &gt; Edit → Change LinkedIn → Save Candidate</t>
  </si>
  <si>
    <t>Change persists after reload</t>
  </si>
  <si>
    <t>TC-REC-112</t>
  </si>
  <si>
    <t>Archive a candidate moves them to the talent pool</t>
  </si>
  <si>
    <t xml:space="preserve">1. Row menu &gt; Archive
2. Pick an archive reason
3. Confirm</t>
  </si>
  <si>
    <t>Logged in as HRMS admin (amit); a published SOFTWARE TESTER opening exists → Row menu &gt; Archive → Pick an archive reason → Confirm</t>
  </si>
  <si>
    <t>Message "Candidate moved to the talent pool"; candidate shows under Talent Pool &gt; Archived</t>
  </si>
  <si>
    <t>FR-REC-029</t>
  </si>
  <si>
    <t>TC-REC-113</t>
  </si>
  <si>
    <t>Self-applied candidate shows Source Portal</t>
  </si>
  <si>
    <t xml:space="preserve">1. Have a candidate apply through the public career page
2. Search the register by their e-mail
3. Compare the screen with the expected result</t>
  </si>
  <si>
    <t>Logged in as HRMS admin (amit); a published SOFTWARE TESTER opening exists → Have a candidate apply through the public career page → Search the register by their e-mail → Compare the screen with the expected result</t>
  </si>
  <si>
    <t>Row shows Stage APPLIED and Source Portal</t>
  </si>
  <si>
    <t>TC-REC-114</t>
  </si>
  <si>
    <t>Referred candidate shows Source Referral</t>
  </si>
  <si>
    <t xml:space="preserve">1. Accept a referral into the pipeline
2. Search the register by the referred e-mail
3. Compare the screen with the expected result</t>
  </si>
  <si>
    <t>Logged in as HRMS admin (amit); a published SOFTWARE TESTER opening exists → Accept a referral into the pipeline → Search the register by the referred e-mail → Compare the screen with the expected result</t>
  </si>
  <si>
    <t>Row shows Status New, Stage APPLIED, Source Referral</t>
  </si>
  <si>
    <t>Linear 127 Refer &amp; Earn — referralToHireAndReward</t>
  </si>
  <si>
    <t>TC-REC-115</t>
  </si>
  <si>
    <t>Candidate Stage follows the hiring pipeline</t>
  </si>
  <si>
    <t xml:space="preserve">1. Take a candidate through interview, offer and acceptance
2. Check their register row after each step
3. Compare the screen with the expected result</t>
  </si>
  <si>
    <t>Logged in as HRMS admin (amit); a published SOFTWARE TESTER opening exists → Take a candidate through interview, offer and acceptance → Check their register row after each step → Compare the screen with the expected result</t>
  </si>
  <si>
    <t>Stage moves APPLIED → INTERVIEW → OFFER → HIRED</t>
  </si>
  <si>
    <t>TC-REC-116</t>
  </si>
  <si>
    <t>Talent Pool page opens and renders correctly</t>
  </si>
  <si>
    <t>Logged in as HRMS admin (amit); candidates exist (some rejected / archived)</t>
  </si>
  <si>
    <t xml:space="preserve">1. Open Recruitment &gt; Talent Pool
2. Compare the screen with the expected result
3. Reload the page and confirm the result persists</t>
  </si>
  <si>
    <t>Logged in as HRMS admin (amit); candidates exist (some rejected / archived) → Open Recruitment &gt; Talent Pool → Compare the screen with the expected result → Reload the page and confirm the result persists</t>
  </si>
  <si>
    <t>Page loads; view chips (In talent pool, Ranked, Not evaluated, On hold, Rejected, Silver medalists, Archived) with counts, search, designation/experience filters, sort selector and candidate table render</t>
  </si>
  <si>
    <t>Linear 022 Talent Pool — page check</t>
  </si>
  <si>
    <t>TC-REC-117</t>
  </si>
  <si>
    <t>View chips</t>
  </si>
  <si>
    <t>Each view chip shows its slice of the pool</t>
  </si>
  <si>
    <t xml:space="preserve">1. Open Recruitment &gt; Talent Pool
2. Click each chip in turn
3. Compare the screen with the expected result</t>
  </si>
  <si>
    <t>Logged in as HRMS admin (amit); candidates exist (some rejected / archived) → Open Recruitment &gt; Talent Pool → Click each chip in turn → Compare the screen with the expected result</t>
  </si>
  <si>
    <t>List changes to that slice; chip count equals the rows; chips do not add to the active-filter badge</t>
  </si>
  <si>
    <t>Tester Ed. S13</t>
  </si>
  <si>
    <t>TC-REC-118</t>
  </si>
  <si>
    <t>Empty chip shows its empty-state text</t>
  </si>
  <si>
    <t xml:space="preserve">1. Open Recruitment &gt; Talent Pool
2. Click On hold when nobody is on hold
3. Compare the screen with the expected result</t>
  </si>
  <si>
    <t>Logged in as HRMS admin (amit); candidates exist (some rejected / archived) → Open Recruitment &gt; Talent Pool → Click On hold when nobody is on hold → Compare the screen with the expected result</t>
  </si>
  <si>
    <t>Message "No candidate is on hold"</t>
  </si>
  <si>
    <t>TC-REC-119</t>
  </si>
  <si>
    <t>Silver medalists chip lists interview/offer non-hires</t>
  </si>
  <si>
    <t xml:space="preserve">1. Open Recruitment &gt; Talent Pool
2. Click Silver medalists
3. Hover the chip</t>
  </si>
  <si>
    <t>Logged in as HRMS admin (amit); candidates exist (some rejected / archived) → Open Recruitment &gt; Talent Pool → Click Silver medalists → Hover the chip</t>
  </si>
  <si>
    <t>Tooltip "Reached interview or offer but was not hired"; only such candidates listed</t>
  </si>
  <si>
    <t>TC-REC-120</t>
  </si>
  <si>
    <t>Archived chip lists archived candidates</t>
  </si>
  <si>
    <t xml:space="preserve">1. Archive a candidate from the register
2. Click Archived
3. Compare the screen with the expected result</t>
  </si>
  <si>
    <t>Logged in as HRMS admin (amit); candidates exist (some rejected / archived) → Archive a candidate from the register → Click Archived → Compare the screen with the expected result</t>
  </si>
  <si>
    <t>Candidate listed; tooltip "Parked by a recruiter — still in the pool"</t>
  </si>
  <si>
    <t>TC-REC-121</t>
  </si>
  <si>
    <t>Search, filters and sort</t>
  </si>
  <si>
    <t>Search by name, e-mail, phone or designation</t>
  </si>
  <si>
    <t xml:space="preserve">1. Open Recruitment &gt; Talent Pool
2. Type a candidate e-mail in "Name, email, phone or designation"
3. Compare the screen with the expected result</t>
  </si>
  <si>
    <t>Logged in as HRMS admin (amit); candidates exist (some rejected / archived) → Open Recruitment &gt; Talent Pool → Type a candidate e-mail in "Name, email, phone or designation" → Compare the screen with the expected result</t>
  </si>
  <si>
    <t>Matching candidate listed</t>
  </si>
  <si>
    <t>TC-REC-122</t>
  </si>
  <si>
    <t>Filter by designation and experience</t>
  </si>
  <si>
    <t xml:space="preserve">1. Open Recruitment &gt; Talent Pool
2. Pick SOFTWARE TESTER in All designations
3. Pick 3+ years</t>
  </si>
  <si>
    <t>Logged in as HRMS admin (amit); candidates exist (some rejected / archived) → Open Recruitment &gt; Talent Pool → Pick SOFTWARE TESTER in All designations → Pick 3+ years</t>
  </si>
  <si>
    <t>Only candidates matching both are listed</t>
  </si>
  <si>
    <t>TC-REC-123</t>
  </si>
  <si>
    <t>Sort options reorder the pool</t>
  </si>
  <si>
    <t xml:space="preserve">1. Open Recruitment &gt; Talent Pool
2. Choose Highest score first, Name (A–Z), Newest first
3. Compare the screen with the expected result</t>
  </si>
  <si>
    <t>Logged in as HRMS admin (amit); candidates exist (some rejected / archived) → Open Recruitment &gt; Talent Pool → Choose Highest score first, Name (A–Z), Newest first → Compare the screen with the expected result</t>
  </si>
  <si>
    <t>Rows reorder accordingly; unscored candidates are listed unranked, never as 0</t>
  </si>
  <si>
    <t>N-04</t>
  </si>
  <si>
    <t>TC-REC-124</t>
  </si>
  <si>
    <t>Clear filters resets the view</t>
  </si>
  <si>
    <t xml:space="preserve">1. Apply search + filters
2. Click Clear filters
3. Compare the screen with the expected result</t>
  </si>
  <si>
    <t>Logged in as HRMS admin (amit); candidates exist (some rejected / archived) → Apply search + filters → Click Clear filters → Compare the screen with the expected result</t>
  </si>
  <si>
    <t>All filters cleared; full pool shown</t>
  </si>
  <si>
    <t>TC-REC-125</t>
  </si>
  <si>
    <t>Bulk actions</t>
  </si>
  <si>
    <t>Tag selected candidates</t>
  </si>
  <si>
    <t xml:space="preserve">1. Tick two candidates
2. Click Tag
3. Type "Java" and press Enter, mode Add
4. Save</t>
  </si>
  <si>
    <t>Logged in as HRMS admin (amit); candidates exist (some rejected / archived) → Tick two candidates → Click Tag → Type "Java" and press Enter, mode Add → Save</t>
  </si>
  <si>
    <t>Both candidates show the tag; tag cloud updates</t>
  </si>
  <si>
    <t>TC-REC-126</t>
  </si>
  <si>
    <t>Archive selected candidates requires a reason</t>
  </si>
  <si>
    <t xml:space="preserve">1. Tick a candidate
2. Click Archive
3. Leave Reason empty
4. Confirm</t>
  </si>
  <si>
    <t>Logged in as HRMS admin (amit); candidates exist (some rejected / archived) → Tick a candidate → Click Archive → Leave Reason empty → Confirm</t>
  </si>
  <si>
    <t>Blocked until a reason is picked or typed</t>
  </si>
  <si>
    <t>TC-REC-127</t>
  </si>
  <si>
    <t>Restore archived candidates</t>
  </si>
  <si>
    <t xml:space="preserve">1. Archived chip
2. Tick two candidates
3. Click Restore
4. Confirm "Un-archive 2 candidate(s)?"</t>
  </si>
  <si>
    <t>Logged in as HRMS admin (amit); candidates exist (some rejected / archived) → Archived chip → Tick two candidates → Click Restore → Confirm "Un-archive 2 candidate(s)?"</t>
  </si>
  <si>
    <t>Message "Candidate restored to active"; they leave the Archived chip</t>
  </si>
  <si>
    <t>TC-REC-128</t>
  </si>
  <si>
    <t>Bulk action with nothing selected</t>
  </si>
  <si>
    <t xml:space="preserve">1. Open Recruitment &gt; Talent Pool
2. Click Archive with no rows ticked
3. Compare the screen with the expected result</t>
  </si>
  <si>
    <t>Logged in as HRMS admin (amit); candidates exist (some rejected / archived) → Open Recruitment &gt; Talent Pool → Click Archive with no rows ticked → Compare the screen with the expected result</t>
  </si>
  <si>
    <t>Message "Please select at least one candidate."</t>
  </si>
  <si>
    <t>TC-REC-129</t>
  </si>
  <si>
    <t>Row menu Recruitment timeline / View profile</t>
  </si>
  <si>
    <t xml:space="preserve">1. Open Recruitment &gt; Talent Pool
2. Row menu &gt; Recruitment timeline
3. Compare the screen with the expected result</t>
  </si>
  <si>
    <t>Logged in as HRMS admin (amit); candidates exist (some rejected / archived) → Open Recruitment &gt; Talent Pool → Row menu &gt; Recruitment timeline → Compare the screen with the expected result</t>
  </si>
  <si>
    <t>Timeline of the candidate's applications, interviews and offers is displayed</t>
  </si>
  <si>
    <t>TC-REC-130</t>
  </si>
  <si>
    <t>Logged-out access to Talent Pool redirects to login</t>
  </si>
  <si>
    <t xml:space="preserve">1. Log out
2. Open /talent-pool
3. Compare the screen with the expected result</t>
  </si>
  <si>
    <t>Not logged in → Log out → Open /talent-pool → Compare the screen with the expected result</t>
  </si>
  <si>
    <t>Redirected to login</t>
  </si>
  <si>
    <t>TC-REC-131</t>
  </si>
  <si>
    <t>Public Career Page</t>
  </si>
  <si>
    <t>Career page</t>
  </si>
  <si>
    <t>Career page opens for a logged-out visitor</t>
  </si>
  <si>
    <t>Logged-out browser window; at least one opening is Published (URL taken from Job Board &gt; Open public career page)</t>
  </si>
  <si>
    <t xml:space="preserve">1. Open /careers/&lt;tenant-guid&gt; in a private window
2. Compare the screen with the expected result
3. Reload the page and confirm the result persists</t>
  </si>
  <si>
    <t>Logged-out browser window; at least one opening is Published (URL taken from Job Board &gt; Open public career page) → Open /careers/&lt;tenant-guid&gt; in a private window → Compare the screen with the expected result → Reload the page and confirm the result persists</t>
  </si>
  <si>
    <t>Page shows "Join Our Team" and cards for published openings (designation, Job Code, location, Apply Now); no login prompt</t>
  </si>
  <si>
    <t>/careers/&lt;tenant-guid&gt;</t>
  </si>
  <si>
    <t>TC-REC-132</t>
  </si>
  <si>
    <t>Only published openings are listed</t>
  </si>
  <si>
    <t xml:space="preserve">1. Note an Open-but-unpublished and a Published opening on Job Board
2. Open the career page
3. Compare the screen with the expected result</t>
  </si>
  <si>
    <t>Logged-out browser window; at least one opening is Published (URL taken from Job Board &gt; Open public career page) → Note an Open-but-unpublished and a Published opening on Job Board → Open the career page → Compare the screen with the expected result</t>
  </si>
  <si>
    <t>Published opening listed; unpublished one absent</t>
  </si>
  <si>
    <t>Proven: opening must be Published to appear</t>
  </si>
  <si>
    <t>TC-REC-133</t>
  </si>
  <si>
    <t>Closed opening disappears from the career page</t>
  </si>
  <si>
    <t xml:space="preserve">1. Close a published opening on Job Board
2. Reload the career page
3. Compare the screen with the expected result</t>
  </si>
  <si>
    <t>Logged-out browser window; at least one opening is Published (URL taken from Job Board &gt; Open public career page) → Close a published opening on Job Board → Reload the career page → Compare the screen with the expected result</t>
  </si>
  <si>
    <t>The closed opening is no longer listed</t>
  </si>
  <si>
    <t>TC-REC-134</t>
  </si>
  <si>
    <t>Page size selector shows more openings</t>
  </si>
  <si>
    <t xml:space="preserve">1. Change #page_size to 100
2. Compare the screen with the expected result
3. Reload the page and confirm the result persists</t>
  </si>
  <si>
    <t>Logged-out browser window; at least one opening is Published (URL taken from Job Board &gt; Open public career page) → Change #page_size to 100 → Compare the screen with the expected result → Reload the page and confirm the result persists</t>
  </si>
  <si>
    <t>Up to 100 openings shown on one page; pager updates</t>
  </si>
  <si>
    <t>TC-REC-135</t>
  </si>
  <si>
    <t>Search and filter openings on the career page</t>
  </si>
  <si>
    <t xml:space="preserve">1. Open the public career page /careers/&lt;tenant-guid&gt; in a logged-out browser window
2. Type a designation in the search
3. Apply any department/location filter</t>
  </si>
  <si>
    <t>Logged-out browser window; at least one opening is Published (URL taken from Job Board &gt; Open public career page) → Open the public career page /careers/&lt;tenant-guid&gt; in a logged-out browser window → Type a designation in the search → Apply any department/location filter</t>
  </si>
  <si>
    <t>Only matching openings listed; clear restores all</t>
  </si>
  <si>
    <t>FR-REC-019</t>
  </si>
  <si>
    <t>TC-REC-136</t>
  </si>
  <si>
    <t>Invalid career key shows not found</t>
  </si>
  <si>
    <t xml:space="preserve">1. Open /careers/00000000-0000-0000-0000-000000000000
2. Compare the screen with the expected result
3. Reload the page and confirm the result persists</t>
  </si>
  <si>
    <t>Logged-out browser window; at least one opening is Published (URL taken from Job Board &gt; Open public career page) → Open /careers/00000000-0000-0000-0000-000000000000 → Compare the screen with the expected result → Reload the page and confirm the result persists</t>
  </si>
  <si>
    <t>Message "Career page not found"; no tenant data leaked</t>
  </si>
  <si>
    <t>SRS 10.2</t>
  </si>
  <si>
    <t>TC-REC-137</t>
  </si>
  <si>
    <t>Career page is responsive on mobile width</t>
  </si>
  <si>
    <t xml:space="preserve">1. Open the public career page /careers/&lt;tenant-guid&gt; in a logged-out browser window
2. Open the career page at 375px width
3. Compare the screen with the expected result</t>
  </si>
  <si>
    <t>Logged-out browser window; at least one opening is Published (URL taken from Job Board &gt; Open public career page) → Open the public career page /careers/&lt;tenant-guid&gt; in a logged-out browser window → Open the career page at 375px width → Compare the screen with the expected result</t>
  </si>
  <si>
    <t>Cards stack vertically; Apply Now usable; no horizontal scroll</t>
  </si>
  <si>
    <t>TC-REC-138</t>
  </si>
  <si>
    <t>Apply Now form</t>
  </si>
  <si>
    <t>Apply Now opens the application form for the opening</t>
  </si>
  <si>
    <t xml:space="preserve">1. Open the public career page /careers/&lt;tenant-guid&gt; in a logged-out browser window
2. Click Apply Now on an opening card
3. Compare the screen with the expected result</t>
  </si>
  <si>
    <t>Logged-out browser window; at least one opening is Published (URL taken from Job Board &gt; Open public career page) → Open the public career page /careers/&lt;tenant-guid&gt; in a logged-out browser window → Click Apply Now on an opening card → Compare the screen with the expected result</t>
  </si>
  <si>
    <t>URL changes to /careers/&lt;key&gt;/apply/...; form header shows the same "Job Code: JOBnnnn"</t>
  </si>
  <si>
    <t>TC-REC-139</t>
  </si>
  <si>
    <t>Submit an application with all mandatory fields</t>
  </si>
  <si>
    <t>Realistic name; &lt;first&gt;.&lt;last&gt;.&lt;stamp&gt;@example.com; 9xxxxxxxxx; City Kochi; sample-cv.pdf</t>
  </si>
  <si>
    <t xml:space="preserve">1. Fill First Name, Last Name, Email Address
2. Select Gender, mobile code IND and Mobile Number
3. Type "Kochi" in City and pick the suggestion
4. Upload Resume (PDF)
5. Choose experience = No
6. Click Submit Application</t>
  </si>
  <si>
    <t>Logged-out browser window; at least one opening is Published (URL taken from Job Board &gt; Open public career page) → Fill First Name, Last Name, Email Address → Select Gender, mobile code IND and Mobile Number → Type "Kochi" in City and pick the suggestion → Upload Resume (PDF) → Choose experience = No → Click Submit Application</t>
  </si>
  <si>
    <t>Confirmation shown (thank you / "Your application reference is APP-&lt;n&gt;."); applicant appears in Candidates register with Stage APPLIED and Source Portal</t>
  </si>
  <si>
    <t>TC-REC-140</t>
  </si>
  <si>
    <t>Submit an application with experience details</t>
  </si>
  <si>
    <t xml:space="preserve">1. Fill mandatory fields
2. Choose experience = Yes
3. Click "Add Company and Job Role" and fill company, designation, dates
4. Enter Notice Period, Current and Expected Salary, Expected Joining Date
5. Submit Application</t>
  </si>
  <si>
    <t>Logged-out browser window; at least one opening is Published (URL taken from Job Board &gt; Open public career page) → Fill mandatory fields → Choose experience = Yes → Click "Add Company and Job Role" and fill company, designation, dates → Enter Notice Period, Current and Expected Salary, Expected Joining Date → Submit Application</t>
  </si>
  <si>
    <t>Application accepted; experience row and salaries visible in Applicant Details</t>
  </si>
  <si>
    <t>TC-REC-141</t>
  </si>
  <si>
    <t>Add and remove an experience row</t>
  </si>
  <si>
    <t xml:space="preserve">1. Choose experience = Yes
2. Add Company and Job Role twice
3. Remove one</t>
  </si>
  <si>
    <t>Logged-out browser window; at least one opening is Published (URL taken from Job Board &gt; Open public career page) → Choose experience = Yes → Add Company and Job Role twice → Remove one</t>
  </si>
  <si>
    <t>Rows are added and removed correctly</t>
  </si>
  <si>
    <t>TC-REC-142</t>
  </si>
  <si>
    <t>Submit application without First Name</t>
  </si>
  <si>
    <t xml:space="preserve">1. Open Apply Now
2. Fill all mandatory fields except First Name
3. Click Submit Application</t>
  </si>
  <si>
    <t>Logged-out browser window; at least one opening is Published (URL taken from Job Board &gt; Open public career page) → Open Apply Now → Fill all mandatory fields except First Name → Click Submit Application</t>
  </si>
  <si>
    <t>Submission blocked; First Name flagged ("Please enter your name" or equivalent); no application created</t>
  </si>
  <si>
    <t>Tester Ed. 8.2</t>
  </si>
  <si>
    <t>TC-REC-143</t>
  </si>
  <si>
    <t>Submit application without Email Address</t>
  </si>
  <si>
    <t xml:space="preserve">1. Open Apply Now
2. Fill all mandatory fields except Email Address
3. Click Submit Application</t>
  </si>
  <si>
    <t>Logged-out browser window; at least one opening is Published (URL taken from Job Board &gt; Open public career page) → Open Apply Now → Fill all mandatory fields except Email Address → Click Submit Application</t>
  </si>
  <si>
    <t>Submission blocked; Email Address flagged ("Please enter a valid email address" or equivalent); no application created</t>
  </si>
  <si>
    <t>TC-REC-144</t>
  </si>
  <si>
    <t>Submit application without Gender</t>
  </si>
  <si>
    <t xml:space="preserve">1. Open Apply Now
2. Fill all mandatory fields except Gender
3. Click Submit Application</t>
  </si>
  <si>
    <t>Logged-out browser window; at least one opening is Published (URL taken from Job Board &gt; Open public career page) → Open Apply Now → Fill all mandatory fields except Gender → Click Submit Application</t>
  </si>
  <si>
    <t>Submission blocked; Gender flagged ("Gender is required" or equivalent); no application created</t>
  </si>
  <si>
    <t>TC-REC-145</t>
  </si>
  <si>
    <t>Submit application without Mobile Number</t>
  </si>
  <si>
    <t xml:space="preserve">1. Open Apply Now
2. Fill all mandatory fields except Mobile Number
3. Click Submit Application</t>
  </si>
  <si>
    <t>Logged-out browser window; at least one opening is Published (URL taken from Job Board &gt; Open public career page) → Open Apply Now → Fill all mandatory fields except Mobile Number → Click Submit Application</t>
  </si>
  <si>
    <t>Submission blocked; Mobile Number flagged ("mobile number required" or equivalent); no application created</t>
  </si>
  <si>
    <t>TC-REC-146</t>
  </si>
  <si>
    <t>Submit application without City</t>
  </si>
  <si>
    <t xml:space="preserve">1. Open Apply Now
2. Fill all mandatory fields except City
3. Click Submit Application</t>
  </si>
  <si>
    <t>Logged-out browser window; at least one opening is Published (URL taken from Job Board &gt; Open public career page) → Open Apply Now → Fill all mandatory fields except City → Click Submit Application</t>
  </si>
  <si>
    <t>Submission blocked; City flagged ("Please select your city" or equivalent); no application created</t>
  </si>
  <si>
    <t>TC-REC-147</t>
  </si>
  <si>
    <t>Submit application without Resume</t>
  </si>
  <si>
    <t xml:space="preserve">1. Open Apply Now
2. Fill all mandatory fields except Resume
3. Click Submit Application</t>
  </si>
  <si>
    <t>Logged-out browser window; at least one opening is Published (URL taken from Job Board &gt; Open public career page) → Open Apply Now → Fill all mandatory fields except Resume → Click Submit Application</t>
  </si>
  <si>
    <t>Submission blocked; Resume flagged ("Resume is required" or equivalent); no application created</t>
  </si>
  <si>
    <t>TC-REC-148</t>
  </si>
  <si>
    <t>City typed but not picked from suggestions is rejected</t>
  </si>
  <si>
    <t xml:space="preserve">1. Open the public career page /careers/&lt;tenant-guid&gt; in a logged-out browser window
2. Type "Kochi" in City without clicking the suggestion
3. Submit Application</t>
  </si>
  <si>
    <t>Logged-out browser window; at least one opening is Published (URL taken from Job Board &gt; Open public career page) → Open the public career page /careers/&lt;tenant-guid&gt; in a logged-out browser window → Type "Kochi" in City without clicking the suggestion → Submit Application</t>
  </si>
  <si>
    <t>Message "Please select your city"; not submitted</t>
  </si>
  <si>
    <t>City* is a type-ahead; free text alone is rejected</t>
  </si>
  <si>
    <t>TC-REC-149</t>
  </si>
  <si>
    <t>Invalid e-mail is rejected</t>
  </si>
  <si>
    <t>abc</t>
  </si>
  <si>
    <t xml:space="preserve">1. Open the public career page /careers/&lt;tenant-guid&gt; in a logged-out browser window
2. Enter Email "abc"
3. Submit</t>
  </si>
  <si>
    <t>Logged-out browser window; at least one opening is Published (URL taken from Job Board &gt; Open public career page) → Open the public career page /careers/&lt;tenant-guid&gt; in a logged-out browser window → Enter Email "abc" → Submit</t>
  </si>
  <si>
    <t>Message "Please enter a valid email address"</t>
  </si>
  <si>
    <t>TC-REC-150</t>
  </si>
  <si>
    <t>E-mail longer than 150 characters is rejected</t>
  </si>
  <si>
    <t xml:space="preserve">1. Open the public career page /careers/&lt;tenant-guid&gt; in a logged-out browser window
2. Enter a 151-character e-mail
3. Submit</t>
  </si>
  <si>
    <t>Logged-out browser window; at least one opening is Published (URL taken from Job Board &gt; Open public career page) → Open the public career page /careers/&lt;tenant-guid&gt; in a logged-out browser window → Enter a 151-character e-mail → Submit</t>
  </si>
  <si>
    <t>Message "Email address cannot exceed 150 characters"</t>
  </si>
  <si>
    <t>TC-REC-151</t>
  </si>
  <si>
    <t>Mobile with 9 digits for +91 is rejected</t>
  </si>
  <si>
    <t xml:space="preserve">1. Open the public career page /careers/&lt;tenant-guid&gt; in a logged-out browser window
2. Mobile code IND, number 987654321
3. Submit</t>
  </si>
  <si>
    <t>Logged-out browser window; at least one opening is Published (URL taken from Job Board &gt; Open public career page) → Open the public career page /careers/&lt;tenant-guid&gt; in a logged-out browser window → Mobile code IND, number 987654321 → Submit</t>
  </si>
  <si>
    <t>Message "Please enter a valid 10-digit mobile number for +91."</t>
  </si>
  <si>
    <t>TC-REC-152</t>
  </si>
  <si>
    <t>Mobile length for +49 must be 10–11 digits</t>
  </si>
  <si>
    <t xml:space="preserve">1. Open the public career page /careers/&lt;tenant-guid&gt; in a logged-out browser window
2. Mobile code DEU 49, number 12345
3. Submit</t>
  </si>
  <si>
    <t>Logged-out browser window; at least one opening is Published (URL taken from Job Board &gt; Open public career page) → Open the public career page /careers/&lt;tenant-guid&gt; in a logged-out browser window → Mobile code DEU 49, number 12345 → Submit</t>
  </si>
  <si>
    <t>Message "Please enter a valid mobile number for +49 (10–11 digits)."</t>
  </si>
  <si>
    <t>TC-REC-153</t>
  </si>
  <si>
    <t>Mobile with letters is rejected</t>
  </si>
  <si>
    <t xml:space="preserve">1. Open the public career page /careers/&lt;tenant-guid&gt; in a logged-out browser window
2. Enter mobile "98abc76543"
3. Submit</t>
  </si>
  <si>
    <t>Logged-out browser window; at least one opening is Published (URL taken from Job Board &gt; Open public career page) → Open the public career page /careers/&lt;tenant-guid&gt; in a logged-out browser window → Enter mobile "98abc76543" → Submit</t>
  </si>
  <si>
    <t>Letters cannot be entered or message "Please enter a valid phone number (7-15 digits)"</t>
  </si>
  <si>
    <t>TC-REC-154</t>
  </si>
  <si>
    <t>Resume of wrong type is rejected</t>
  </si>
  <si>
    <t xml:space="preserve">1. Open the public career page /careers/&lt;tenant-guid&gt; in a logged-out browser window
2. Upload an .mp4 renamed to .pdf
3. Submit</t>
  </si>
  <si>
    <t>Logged-out browser window; at least one opening is Published (URL taken from Job Board &gt; Open public career page) → Open the public career page /careers/&lt;tenant-guid&gt; in a logged-out browser window → Upload an .mp4 renamed to .pdf → Submit</t>
  </si>
  <si>
    <t>Message "Resume must be a PDF, DOC or DOCX file."</t>
  </si>
  <si>
    <t>TC-REC-155</t>
  </si>
  <si>
    <t>Resume over 10 MB is rejected</t>
  </si>
  <si>
    <t xml:space="preserve">1. Open the public career page /careers/&lt;tenant-guid&gt; in a logged-out browser window
2. Upload a 12 MB PDF
3. Submit</t>
  </si>
  <si>
    <t>Logged-out browser window; at least one opening is Published (URL taken from Job Board &gt; Open public career page) → Open the public career page /careers/&lt;tenant-guid&gt; in a logged-out browser window → Upload a 12 MB PDF → Submit</t>
  </si>
  <si>
    <t>File-size message (max 10 MB); not submitted</t>
  </si>
  <si>
    <t>TC-REC-156</t>
  </si>
  <si>
    <t>Resume DOC and DOCX are accepted</t>
  </si>
  <si>
    <t xml:space="preserve">1. Apply with a .docx resume (separate e-mail)
2. Compare the screen with the expected result
3. Reload the page and confirm the result persists</t>
  </si>
  <si>
    <t>Logged-out browser window; at least one opening is Published (URL taken from Job Board &gt; Open public career page) → Apply with a .docx resume (separate e-mail) → Compare the screen with the expected result → Reload the page and confirm the result persists</t>
  </si>
  <si>
    <t>Application accepted</t>
  </si>
  <si>
    <t>TC-REC-157</t>
  </si>
  <si>
    <t>Duplicate application with the same e-mail is rejected without disclosing the name</t>
  </si>
  <si>
    <t xml:space="preserve">1. Apply once
2. Apply again to the same opening with the same e-mail
3. Compare the screen with the expected result</t>
  </si>
  <si>
    <t>Logged-out browser window; at least one opening is Published (URL taken from Job Board &gt; Open public career page) → Apply once → Apply again to the same opening with the same e-mail → Compare the screen with the expected result</t>
  </si>
  <si>
    <t>Message "An application with this email or phone number already exists." (title "Already Applied"); existing candidate's name NOT shown</t>
  </si>
  <si>
    <t>TC-REC-158</t>
  </si>
  <si>
    <t>Apply link of a closed opening stops accepting applications</t>
  </si>
  <si>
    <t xml:space="preserve">1. Copy the apply link
2. Close the opening on Job Board
3. Open the copied link and submit</t>
  </si>
  <si>
    <t>Logged-out browser window; at least one opening is Published (URL taken from Job Board &gt; Open public career page) → Copy the apply link → Close the opening on Job Board → Open the copied link and submit</t>
  </si>
  <si>
    <t>Message "This job opening is no longer accepting applications."</t>
  </si>
  <si>
    <t>TC-REC-159</t>
  </si>
  <si>
    <t>Double-click Submit Application creates only one application</t>
  </si>
  <si>
    <t xml:space="preserve">1. Open the public career page /careers/&lt;tenant-guid&gt; in a logged-out browser window
2. Fill the form
3. Double-click Submit Application</t>
  </si>
  <si>
    <t>Logged-out browser window; at least one opening is Published (URL taken from Job Board &gt; Open public career page) → Open the public career page /careers/&lt;tenant-guid&gt; in a logged-out browser window → Fill the form → Double-click Submit Application</t>
  </si>
  <si>
    <t>Button shows "Submitting…" and disables; only one candidate record is created</t>
  </si>
  <si>
    <t>TC-REC-160</t>
  </si>
  <si>
    <t>Script injection in name fields is neutralised</t>
  </si>
  <si>
    <t xml:space="preserve">1. Open the public career page /careers/&lt;tenant-guid&gt; in a logged-out browser window
2. Enter First Name &lt;script&gt;alert(1)&lt;/script&gt;
3. Submit</t>
  </si>
  <si>
    <t>Logged-out browser window; at least one opening is Published (URL taken from Job Board &gt; Open public career page) → Open the public career page /careers/&lt;tenant-guid&gt; in a logged-out browser window → Enter First Name &lt;script&gt;alert(1)&lt;/script&gt; → Submit</t>
  </si>
  <si>
    <t>Rejected as invalid or stored escaped; no script runs when HR views the candidate</t>
  </si>
  <si>
    <t>TC-REC-161</t>
  </si>
  <si>
    <t>Leading/trailing spaces in name and e-mail are trimmed</t>
  </si>
  <si>
    <t xml:space="preserve">1. Open the public career page /careers/&lt;tenant-guid&gt; in a logged-out browser window
2. Enter "  Riya  " and "  riya@example.com  "
3. Submit</t>
  </si>
  <si>
    <t>Logged-out browser window; at least one opening is Published (URL taken from Job Board &gt; Open public career page) → Open the public career page /careers/&lt;tenant-guid&gt; in a logged-out browser window → Enter "  Riya  " and "  riya@example.com  " → Submit</t>
  </si>
  <si>
    <t>Values saved trimmed</t>
  </si>
  <si>
    <t>TC-REC-162</t>
  </si>
  <si>
    <t>Application form shows only fields enabled for the opening</t>
  </si>
  <si>
    <t xml:space="preserve">1. Open the public career page /careers/&lt;tenant-guid&gt; in a logged-out browser window
2. On Job Board, check the opening's "The application form asks for" settings
3. Open Apply Now</t>
  </si>
  <si>
    <t>Logged-out browser window; at least one opening is Published (URL taken from Job Board &gt; Open public career page) → Open the public career page /careers/&lt;tenant-guid&gt; in a logged-out browser window → On Job Board, check the opening's "The application form asks for" settings → Open Apply Now</t>
  </si>
  <si>
    <t>Only the configured conditional fields (Address, LinkedIn, Expected salary, Referred By…) appear and are mandatory as configured</t>
  </si>
  <si>
    <t>FR-REC-021</t>
  </si>
  <si>
    <t>TC-REC-163</t>
  </si>
  <si>
    <t>Source is captured from the ?source= parameter</t>
  </si>
  <si>
    <t xml:space="preserve">1. Open the public career page /careers/&lt;tenant-guid&gt; in a logged-out browser window
2. Open the apply link with ?source=Indeed
3. Submit an application</t>
  </si>
  <si>
    <t>Logged-out browser window; at least one opening is Published (URL taken from Job Board &gt; Open public career page) → Open the public career page /careers/&lt;tenant-guid&gt; in a logged-out browser window → Open the apply link with ?source=Indeed → Submit an application</t>
  </si>
  <si>
    <t>Application source recorded as Indeed (Direct by default)</t>
  </si>
  <si>
    <t>FR-REC-020</t>
  </si>
  <si>
    <t>TC-REC-164</t>
  </si>
  <si>
    <t>Job Applications page opens and renders correctly</t>
  </si>
  <si>
    <t>Logged in as HRMS admin (amit); applications exist for a published opening</t>
  </si>
  <si>
    <t xml:space="preserve">1. Open Recruitment &gt; Job Applications
2. Compare the screen with the expected result
3. Reload the page and confirm the result persists</t>
  </si>
  <si>
    <t>Logged in as HRMS admin (amit); applications exist for a published opening → Open Recruitment &gt; Job Applications → Compare the screen with the expected result → Reload the page and confirm the result persists</t>
  </si>
  <si>
    <t>Page loads; table with CANDIDATE, POSITION APPLIED FOR, PHONE columns, View button, pager (1..5, next, last) and page-size selector</t>
  </si>
  <si>
    <t>Linear 014 Job Applications — page check</t>
  </si>
  <si>
    <t>TC-REC-165</t>
  </si>
  <si>
    <t>Applications list</t>
  </si>
  <si>
    <t>Self-applied candidate is listed for the opening</t>
  </si>
  <si>
    <t xml:space="preserve">1. Apply on the career page as a logged-out candidate
2. Open Job Applications
3. Compare the screen with the expected result</t>
  </si>
  <si>
    <t>Logged in as HRMS admin (amit); applications exist for a published opening → Apply on the career page as a logged-out candidate → Open Job Applications → Compare the screen with the expected result</t>
  </si>
  <si>
    <t>Applicant listed with the opening (position applied for) and phone</t>
  </si>
  <si>
    <t>TC-REC-166</t>
  </si>
  <si>
    <t>Filter applications by job opening</t>
  </si>
  <si>
    <t xml:space="preserve">1. Open Recruitment &gt; Job Applications
2. Type an opening in "Search job opening..."
3. Select it</t>
  </si>
  <si>
    <t>Logged in as HRMS admin (amit); applications exist for a published opening → Open Recruitment &gt; Job Applications → Type an opening in "Search job opening..." → Select it</t>
  </si>
  <si>
    <t>Only that opening's applicants are listed</t>
  </si>
  <si>
    <t>TC-REC-167</t>
  </si>
  <si>
    <t>View applicant details</t>
  </si>
  <si>
    <t xml:space="preserve">1. Open Recruitment &gt; Job Applications
2. Click View on an application
3. Compare the screen with the expected result</t>
  </si>
  <si>
    <t>Logged in as HRMS admin (amit); applications exist for a published opening → Open Recruitment &gt; Job Applications → Click View on an application → Compare the screen with the expected result</t>
  </si>
  <si>
    <t>Applicant Details panel shows name, contact, experience, resume link and Previous/Next applicant buttons</t>
  </si>
  <si>
    <t>Known issue NEW-1 (High): the Job Applications View / Applicant Details modal opens blank</t>
  </si>
  <si>
    <t>TC-REC-168</t>
  </si>
  <si>
    <t>View Resume from Applicant Details</t>
  </si>
  <si>
    <t xml:space="preserve">1. Open Recruitment &gt; Job Applications
2. Click View on an application
3. Click View Resume</t>
  </si>
  <si>
    <t>Logged in as HRMS admin (amit); applications exist for a published opening → Open Recruitment &gt; Job Applications → Click View on an application → Click View Resume</t>
  </si>
  <si>
    <t>Uploaded resume opens/downloads</t>
  </si>
  <si>
    <t>TC-REC-169</t>
  </si>
  <si>
    <t>Previous / Next applicant navigation</t>
  </si>
  <si>
    <t xml:space="preserve">1. Open Recruitment &gt; Job Applications
2. Open an applicant
3. Click Next applicant, then Previous applicant</t>
  </si>
  <si>
    <t>Logged in as HRMS admin (amit); applications exist for a published opening → Open Recruitment &gt; Job Applications → Open an applicant → Click Next applicant, then Previous applicant</t>
  </si>
  <si>
    <t>Panel moves through the applicants of the list in order</t>
  </si>
  <si>
    <t>TC-REC-170</t>
  </si>
  <si>
    <t>Schedule Interview from the application row menu</t>
  </si>
  <si>
    <t xml:space="preserve">1. Row More actions &gt; Schedule Interview
2. Fill round, date, interviewer
3. Save</t>
  </si>
  <si>
    <t>Logged in as HRMS admin (amit); applications exist for a published opening → Row More actions &gt; Schedule Interview → Fill round, date, interviewer → Save</t>
  </si>
  <si>
    <t>Interview booked; row menu then reads "Schedule Another"; interview listed on Interview Schedules</t>
  </si>
  <si>
    <t>TC-REC-171</t>
  </si>
  <si>
    <t>View Interviews from the row menu</t>
  </si>
  <si>
    <t xml:space="preserve">1. Open Recruitment &gt; Job Applications
2. Row More actions &gt; View Interviews
3. Compare the screen with the expected result</t>
  </si>
  <si>
    <t>Logged in as HRMS admin (amit); applications exist for a published opening → Open Recruitment &gt; Job Applications → Row More actions &gt; View Interviews → Compare the screen with the expected result</t>
  </si>
  <si>
    <t>Sub-table lists Scheduled On, Round, Mode, Duration, Link / Location</t>
  </si>
  <si>
    <t>TC-REC-172</t>
  </si>
  <si>
    <t>Reject Application requires a reason</t>
  </si>
  <si>
    <t xml:space="preserve">1. Row More actions &gt; Reject Application
2. Leave Reason empty
3. Click Reject</t>
  </si>
  <si>
    <t>Logged in as HRMS admin (amit); applications exist for a published opening → Row More actions &gt; Reject Application → Leave Reason empty → Click Reject</t>
  </si>
  <si>
    <t>Blocked; Reason is mandatory</t>
  </si>
  <si>
    <t>FR-REC-039</t>
  </si>
  <si>
    <t>TC-REC-173</t>
  </si>
  <si>
    <t>Reject an application with a reason</t>
  </si>
  <si>
    <t xml:space="preserve">1. Row More actions &gt; Reject Application
2. Pick a Reason, enter Remarks
3. Click Reject</t>
  </si>
  <si>
    <t>Logged in as HRMS admin (amit); applications exist for a published opening → Row More actions &gt; Reject Application → Pick a Reason, enter Remarks → Click Reject</t>
  </si>
  <si>
    <t>"Application rejected"; row menu now offers View Rejection showing reason and remarks; candidate appears in Talent Pool &gt; Rejected</t>
  </si>
  <si>
    <t>TC-REC-174</t>
  </si>
  <si>
    <t xml:space="preserve">1. Open Recruitment &gt; Job Applications
2. Click 2, next, last
3. Set page size 50</t>
  </si>
  <si>
    <t>Logged in as HRMS admin (amit); applications exist for a published opening → Open Recruitment &gt; Job Applications → Click 2, next, last → Set page size 50</t>
  </si>
  <si>
    <t>Pages change correctly; row count follows page size</t>
  </si>
  <si>
    <t>TC-REC-175</t>
  </si>
  <si>
    <t>Staff user cannot access Job Applications</t>
  </si>
  <si>
    <t xml:space="preserve">1. Log in as a Staff employee
2. Open /job-applications-list
3. Compare the screen with the expected result</t>
  </si>
  <si>
    <t>A test-created Staff employee with login exists → Log in as a Staff employee → Open /job-applications-list → Compare the screen with the expected result</t>
  </si>
  <si>
    <t>Access refused; menu hidden</t>
  </si>
  <si>
    <t>TC-REC-176</t>
  </si>
  <si>
    <t>Assessments page opens and renders correctly</t>
  </si>
  <si>
    <t>Logged in as HRMS admin (amit); a candidate has applied to this run's opening</t>
  </si>
  <si>
    <t xml:space="preserve">1. Open Recruitment &gt; Assessments
2. Compare the screen with the expected result
3. Reload the page and confirm the result persists</t>
  </si>
  <si>
    <t>Logged in as HRMS admin (amit); a candidate has applied to this run's opening → Open Recruitment &gt; Assessments → Compare the screen with the expected result → Reload the page and confirm the result persists</t>
  </si>
  <si>
    <t>Page loads; tabs "Take-home Assignments N" and "Interview Scorecards N" with counts, New Assignment button and the assignments table</t>
  </si>
  <si>
    <t>Linear 015 Assessments — page check</t>
  </si>
  <si>
    <t>TC-REC-177</t>
  </si>
  <si>
    <t>New button relabels with the active tab</t>
  </si>
  <si>
    <t xml:space="preserve">1. Open Recruitment &gt; Assessments
2. Click Interview Scorecards tab
3. Click Take-home Assignments tab</t>
  </si>
  <si>
    <t>Logged in as HRMS admin (amit); a candidate has applied to this run's opening → Open Recruitment &gt; Assessments → Click Interview Scorecards tab → Click Take-home Assignments tab</t>
  </si>
  <si>
    <t>Button reads New Scorecard, then New Assignment</t>
  </si>
  <si>
    <t>Tester Ed. T2</t>
  </si>
  <si>
    <t>TC-REC-178</t>
  </si>
  <si>
    <t>Sl.No column is sequential</t>
  </si>
  <si>
    <t xml:space="preserve">1. Open Recruitment &gt; Assessments
2. Look at the Sl.No column
3. Compare the screen with the expected result</t>
  </si>
  <si>
    <t>Logged in as HRMS admin (amit); a candidate has applied to this run's opening → Open Recruitment &gt; Assessments → Look at the Sl.No column → Compare the screen with the expected result</t>
  </si>
  <si>
    <t>Sl.No runs 1, 2, 3… per page</t>
  </si>
  <si>
    <t>Known issue (Low): Sl.No shows the record ID, not a sequential number</t>
  </si>
  <si>
    <t>TC-REC-179</t>
  </si>
  <si>
    <t>Take-home assignment</t>
  </si>
  <si>
    <t>Create a take-home assignment</t>
  </si>
  <si>
    <t>Title: "Manual Testing Exercise (Auto DD-Mon HH.MM.SS)"</t>
  </si>
  <si>
    <t xml:space="preserve">1. Click New Assignment
2. Choose "Take-home Assignment"
3. Enter Title, Instructions, Max Score 100, Due In 3 days
4. Save</t>
  </si>
  <si>
    <t>Logged in as HRMS admin (amit); a candidate has applied to this run's opening → Click New Assignment → Choose "Take-home Assignment" → Enter Title, Instructions, Max Score 100, Due In 3 days → Save</t>
  </si>
  <si>
    <t>Form closes; assignment listed with Max Score 100, Due In 3 and 0 assigned</t>
  </si>
  <si>
    <t>Linear 015 Assessments — takeHomeAssessment</t>
  </si>
  <si>
    <t>TC-REC-180</t>
  </si>
  <si>
    <t>Create an assignment with an attachment</t>
  </si>
  <si>
    <t xml:space="preserve">1. New Assignment
2. Fill Title, Max Score
3. Upload Assignment Attachment (PDF)
4. Save</t>
  </si>
  <si>
    <t>Logged in as HRMS admin (amit); a candidate has applied to this run's opening → New Assignment → Fill Title, Max Score → Upload Assignment Attachment (PDF) → Save</t>
  </si>
  <si>
    <t>Attachment icon shown; downloadable</t>
  </si>
  <si>
    <t>TC-REC-181</t>
  </si>
  <si>
    <t>Assignment Title is mandatory</t>
  </si>
  <si>
    <t xml:space="preserve">1. New Assignment
2. Leave Title empty
3. Save</t>
  </si>
  <si>
    <t>Logged in as HRMS admin (amit); a candidate has applied to this run's opening → New Assignment → Leave Title empty → Save</t>
  </si>
  <si>
    <t>Save blocked; Title flagged</t>
  </si>
  <si>
    <t>TC-REC-182</t>
  </si>
  <si>
    <t>Assignment Max Score is mandatory</t>
  </si>
  <si>
    <t xml:space="preserve">1. New Assignment
2. Enter Title, leave Max Score empty
3. Save</t>
  </si>
  <si>
    <t>Logged in as HRMS admin (amit); a candidate has applied to this run's opening → New Assignment → Enter Title, leave Max Score empty → Save</t>
  </si>
  <si>
    <t>Save blocked; Max Score flagged</t>
  </si>
  <si>
    <t>TC-REC-183</t>
  </si>
  <si>
    <t>Max Score 0 or negative is rejected</t>
  </si>
  <si>
    <t xml:space="preserve">1. New Assignment
2. Max Score 0, then -10
3. Save</t>
  </si>
  <si>
    <t>Logged in as HRMS admin (amit); a candidate has applied to this run's opening → New Assignment → Max Score 0, then -10 → Save</t>
  </si>
  <si>
    <t>TC-REC-184</t>
  </si>
  <si>
    <t>Due In 0 days shows a correct message</t>
  </si>
  <si>
    <t xml:space="preserve">1. New Assignment
2. Due In 0
3. Save</t>
  </si>
  <si>
    <t>Logged in as HRMS admin (amit); a candidate has applied to this run's opening → New Assignment → Due In 0 → Save</t>
  </si>
  <si>
    <t>Either accepted (due today) or a message stating the real rule</t>
  </si>
  <si>
    <t>Known issue (Low): Due In = 0 shows the wrong message "cannot be negative"</t>
  </si>
  <si>
    <t>TC-REC-185</t>
  </si>
  <si>
    <t>Negative Due In is rejected</t>
  </si>
  <si>
    <t xml:space="preserve">1. New Assignment
2. Due In -1
3. Save</t>
  </si>
  <si>
    <t>Logged in as HRMS admin (amit); a candidate has applied to this run's opening → New Assignment → Due In -1 → Save</t>
  </si>
  <si>
    <t>Message that Due In cannot be negative</t>
  </si>
  <si>
    <t>TC-REC-186</t>
  </si>
  <si>
    <t>Edit an assignment</t>
  </si>
  <si>
    <t xml:space="preserve">1. Click Edit on an assignment
2. Change Max Score
3. Save</t>
  </si>
  <si>
    <t>Logged in as HRMS admin (amit); a candidate has applied to this run's opening → Click Edit on an assignment → Change Max Score → Save</t>
  </si>
  <si>
    <t>Change saved</t>
  </si>
  <si>
    <t>TC-REC-187</t>
  </si>
  <si>
    <t>Delete an assignment with confirmation</t>
  </si>
  <si>
    <t xml:space="preserve">1. Open Recruitment &gt; Assessments
2. Click Delete
3. Confirm "Delete this assessment?"</t>
  </si>
  <si>
    <t>Logged in as HRMS admin (amit); a candidate has applied to this run's opening → Open Recruitment &gt; Assessments → Click Delete → Confirm "Delete this assessment?"</t>
  </si>
  <si>
    <t>Assignment removed</t>
  </si>
  <si>
    <t>TC-REC-188</t>
  </si>
  <si>
    <t>Remove an assignment attachment</t>
  </si>
  <si>
    <t xml:space="preserve">1. Edit an assignment with an attachment
2. Click Remove
3. Confirm "Remove this attachment?"</t>
  </si>
  <si>
    <t>Logged in as HRMS admin (amit); a candidate has applied to this run's opening → Edit an assignment with an attachment → Click Remove → Confirm "Remove this attachment?"</t>
  </si>
  <si>
    <t>Attachment removed</t>
  </si>
  <si>
    <t>TC-REC-189</t>
  </si>
  <si>
    <t>Send to candidates</t>
  </si>
  <si>
    <t>Send an assignment to a candidate on an opening</t>
  </si>
  <si>
    <t xml:space="preserve">1. Click "Send to candidates" on the assignment
2. Select the Vacancy (JOB code)
3. Tick the candidate
4. Click Send and confirm</t>
  </si>
  <si>
    <t>Logged in as HRMS admin (amit); a candidate has applied to this run's opening → Click "Send to candidates" on the assignment → Select the Vacancy (JOB code) → Tick the candidate → Click Send and confirm</t>
  </si>
  <si>
    <t>Dialog closes; row shows "1 assigned"; the brief is e-mailed to the candidate</t>
  </si>
  <si>
    <t>TC-REC-190</t>
  </si>
  <si>
    <t>Send dialog requires a vacancy</t>
  </si>
  <si>
    <t xml:space="preserve">1. Open Recruitment &gt; Assessments
2. Send to candidates
3. Click Send without choosing a Vacancy</t>
  </si>
  <si>
    <t>Logged in as HRMS admin (amit); a candidate has applied to this run's opening → Open Recruitment &gt; Assessments → Send to candidates → Click Send without choosing a Vacancy</t>
  </si>
  <si>
    <t>Blocked; Vacancy * flagged</t>
  </si>
  <si>
    <t>TC-REC-191</t>
  </si>
  <si>
    <t>Send with no candidate selected</t>
  </si>
  <si>
    <t xml:space="preserve">1. Send to candidates
2. Choose a vacancy, tick nobody
3. Click Send</t>
  </si>
  <si>
    <t>Logged in as HRMS admin (amit); a candidate has applied to this run's opening → Send to candidates → Choose a vacancy, tick nobody → Click Send</t>
  </si>
  <si>
    <t>Message "Choose at least one candidate."</t>
  </si>
  <si>
    <t>TC-REC-192</t>
  </si>
  <si>
    <t>Candidate already holding the assignment is skipped</t>
  </si>
  <si>
    <t xml:space="preserve">1. Open Recruitment &gt; Assessments
2. Send the same assignment again to the same vacancy
3. Compare the screen with the expected result</t>
  </si>
  <si>
    <t>Logged in as HRMS admin (amit); a candidate has applied to this run's opening → Open Recruitment &gt; Assessments → Send the same assignment again to the same vacancy → Compare the screen with the expected result</t>
  </si>
  <si>
    <t>Candidate shown "— already assigned" and skipped; no duplicate</t>
  </si>
  <si>
    <t>TC-REC-193</t>
  </si>
  <si>
    <t>Submissions &amp; evaluation</t>
  </si>
  <si>
    <t>Submissions show the candidate as Assigned</t>
  </si>
  <si>
    <t xml:space="preserve">1. Open Recruitment &gt; Assessments
2. Click "Submissions &amp; evaluation" on the assignment
3. Compare the screen with the expected result</t>
  </si>
  <si>
    <t>Logged in as HRMS admin (amit); a candidate has applied to this run's opening → Open Recruitment &gt; Assessments → Click "Submissions &amp; evaluation" on the assignment → Compare the screen with the expected result</t>
  </si>
  <si>
    <t>Candidate listed with Status Assigned, e-mail, phone, timeline</t>
  </si>
  <si>
    <t>TC-REC-194</t>
  </si>
  <si>
    <t>Sender who is not on the interview panel sees View only</t>
  </si>
  <si>
    <t xml:space="preserve">1. Open Recruitment &gt; Assessments
2. Before any interview, open Submissions &amp; evaluation as the sender
3. Compare the screen with the expected result</t>
  </si>
  <si>
    <t>Logged in as HRMS admin (amit); a candidate has applied to this run's opening → Open Recruitment &gt; Assessments → Before any interview, open Submissions &amp; evaluation as the sender → Compare the screen with the expected result</t>
  </si>
  <si>
    <t>Score/feedback are read-only ("View only"); Evaluate not available</t>
  </si>
  <si>
    <t>Proven: only the candidate's interview panel can evaluate</t>
  </si>
  <si>
    <t>TC-REC-195</t>
  </si>
  <si>
    <t>Interview panel member evaluates the assignment</t>
  </si>
  <si>
    <t xml:space="preserve">1. Schedule an interview with Amit on the panel
2. Open Submissions &amp; evaluation
3. Enter score 85 and feedback
4. Click Evaluate and confirm</t>
  </si>
  <si>
    <t>Logged in as HRMS admin (amit); a candidate has applied to this run's opening → Schedule an interview with Amit on the panel → Open Submissions &amp; evaluation → Enter score 85 and feedback → Click Evaluate and confirm</t>
  </si>
  <si>
    <t>Status Evaluated; My Score 85 and feedback saved; button reads Re-evaluate</t>
  </si>
  <si>
    <t>Linear 016 Interview Schedules — interviewAndFeedback</t>
  </si>
  <si>
    <t>TC-REC-196</t>
  </si>
  <si>
    <t>Score above Max Score is rejected</t>
  </si>
  <si>
    <t>Score 120 / Max 100</t>
  </si>
  <si>
    <t xml:space="preserve">1. As panel member, enter score 120 for a max-100 assignment
2. Evaluate
3. Compare the screen with the expected result</t>
  </si>
  <si>
    <t>Logged in as HRMS admin (amit); a candidate has applied to this run's opening → As panel member, enter score 120 for a max-100 assignment → Evaluate → Compare the screen with the expected result</t>
  </si>
  <si>
    <t>Validation; not saved</t>
  </si>
  <si>
    <t>TC-REC-197</t>
  </si>
  <si>
    <t>Re-evaluate changes the score</t>
  </si>
  <si>
    <t xml:space="preserve">1. Click Re-evaluate
2. Change score to 90
3. Save</t>
  </si>
  <si>
    <t>Logged in as HRMS admin (amit); a candidate has applied to this run's opening → Click Re-evaluate → Change score to 90 → Save</t>
  </si>
  <si>
    <t>Score updated to 90</t>
  </si>
  <si>
    <t>TC-REC-198</t>
  </si>
  <si>
    <t>Candidate submits the assignment via the e-mailed link</t>
  </si>
  <si>
    <t xml:space="preserve">1. Candidate opens the e-mailed assignment link
2. Uploads the solution
3. Compare the screen with the expected result</t>
  </si>
  <si>
    <t>Logged in as HRMS admin (amit); a candidate has applied to this run's opening → Candidate opens the e-mailed assignment link → Uploads the solution → Compare the screen with the expected result</t>
  </si>
  <si>
    <t>Status changes Assigned → Submitted</t>
  </si>
  <si>
    <t>Needs the e-mailed candidate link, which the tests cannot receive</t>
  </si>
  <si>
    <t>TC-REC-199</t>
  </si>
  <si>
    <t>Filter submissions by status</t>
  </si>
  <si>
    <t xml:space="preserve">1. Open Recruitment &gt; Assessments
2. Open Submissions &amp; evaluation
3. Filter All / Assigned / Submitted / Evaluated</t>
  </si>
  <si>
    <t>Logged in as HRMS admin (amit); a candidate has applied to this run's opening → Open Recruitment &gt; Assessments → Open Submissions &amp; evaluation → Filter All / Assigned / Submitted / Evaluated</t>
  </si>
  <si>
    <t>List filters accordingly</t>
  </si>
  <si>
    <t>TC-REC-200</t>
  </si>
  <si>
    <t>Interview scorecards</t>
  </si>
  <si>
    <t>Create an interview scorecard with weighted criteria</t>
  </si>
  <si>
    <t>Test design (weight 2); Defect reporting (weight 1)</t>
  </si>
  <si>
    <t xml:space="preserve">1. Interview Scorecards tab &gt; New Scorecard
2. Enter Title and notes for the panel
3. Add Criterion ×2 with name, "What to look for" and weight
4. Save</t>
  </si>
  <si>
    <t>Logged in as HRMS admin (amit); a candidate has applied to this run's opening → Interview Scorecards tab &gt; New Scorecard → Enter Title and notes for the panel → Add Criterion ×2 with name, "What to look for" and weight → Save</t>
  </si>
  <si>
    <t>Scorecard listed with "2 criteria"</t>
  </si>
  <si>
    <t>TC-REC-201</t>
  </si>
  <si>
    <t>Scorecard needs at least one criterion</t>
  </si>
  <si>
    <t xml:space="preserve">1. New Scorecard
2. Enter Title, add no criteria
3. Save</t>
  </si>
  <si>
    <t>Logged in as HRMS admin (amit); a candidate has applied to this run's opening → New Scorecard → Enter Title, add no criteria → Save</t>
  </si>
  <si>
    <t>Blocked; Criteria * required</t>
  </si>
  <si>
    <t>TC-REC-202</t>
  </si>
  <si>
    <t>Criterion name is mandatory</t>
  </si>
  <si>
    <t xml:space="preserve">1. New Scorecard
2. Add Criterion, leave name blank
3. Save</t>
  </si>
  <si>
    <t>Logged in as HRMS admin (amit); a candidate has applied to this run's opening → New Scorecard → Add Criterion, leave name blank → Save</t>
  </si>
  <si>
    <t>Blocked; Criterion flagged</t>
  </si>
  <si>
    <t>TC-REC-203</t>
  </si>
  <si>
    <t>View criteria of a scorecard</t>
  </si>
  <si>
    <t xml:space="preserve">1. Open Recruitment &gt; Assessments
2. Click View criteria on a scorecard
3. Compare the screen with the expected result</t>
  </si>
  <si>
    <t>Logged in as HRMS admin (amit); a candidate has applied to this run's opening → Open Recruitment &gt; Assessments → Click View criteria on a scorecard → Compare the screen with the expected result</t>
  </si>
  <si>
    <t>Criteria, prompts and weights are listed read-only</t>
  </si>
  <si>
    <t>TC-REC-204</t>
  </si>
  <si>
    <t>Scorecard "Used In" reflects interviews</t>
  </si>
  <si>
    <t xml:space="preserve">1. Open Recruitment &gt; Assessments
2. Attach a scorecard to an interview
3. Return to Interview Scorecards</t>
  </si>
  <si>
    <t>Logged in as HRMS admin (amit); a candidate has applied to this run's opening → Open Recruitment &gt; Assessments → Attach a scorecard to an interview → Return to Interview Scorecards</t>
  </si>
  <si>
    <t>Used In count increments</t>
  </si>
  <si>
    <t>TC-REC-205</t>
  </si>
  <si>
    <t>Interview rounds</t>
  </si>
  <si>
    <t>Interview Rounds page opens and renders correctly</t>
  </si>
  <si>
    <t>Logged in as HRMS admin (amit)</t>
  </si>
  <si>
    <t xml:space="preserve">1. Open Recruitment &gt; Interview Rounds
2. Compare the screen with the expected result
3. Reload the page and confirm the result persists</t>
  </si>
  <si>
    <t>Logged in as HRMS admin (amit) → Open Recruitment &gt; Interview Rounds → Compare the screen with the expected result → Reload the page and confirm the result persists</t>
  </si>
  <si>
    <t>Page loads; All Designations filter, "Search round name..." box, Add Round button, table Sl No, Designation, Round Name, Order, Used In, Action and pager</t>
  </si>
  <si>
    <t>Linear 023 Interview Rounds — page check</t>
  </si>
  <si>
    <t>TC-REC-206</t>
  </si>
  <si>
    <t>Add an interview round</t>
  </si>
  <si>
    <t>Round: "Technical Round 1 (Auto DD-Mon HH.MM.SS)"; Order 1</t>
  </si>
  <si>
    <t xml:space="preserve">1. Click Add Round
2. Select Designation SOFTWARE TESTER
3. Enter Round Name and Order No
4. Save Round</t>
  </si>
  <si>
    <t>Logged in as HRMS admin (amit) → Click Add Round → Select Designation SOFTWARE TESTER → Enter Round Name and Order No → Save Round</t>
  </si>
  <si>
    <t>Round listed under SOFTWARE TESTER</t>
  </si>
  <si>
    <t>TC-REC-207</t>
  </si>
  <si>
    <t>Designation is mandatory for a round</t>
  </si>
  <si>
    <t xml:space="preserve">1. Add Round
2. Enter Round Name only
3. Save Round</t>
  </si>
  <si>
    <t>Logged in as HRMS admin (amit) → Add Round → Enter Round Name only → Save Round</t>
  </si>
  <si>
    <t>Blocked; Designation flagged</t>
  </si>
  <si>
    <t>TC-REC-208</t>
  </si>
  <si>
    <t>Round Name is mandatory</t>
  </si>
  <si>
    <t xml:space="preserve">1. Add Round
2. Select Designation only
3. Save Round</t>
  </si>
  <si>
    <t>Logged in as HRMS admin (amit) → Add Round → Select Designation only → Save Round</t>
  </si>
  <si>
    <t>Blocked; Round Name flagged</t>
  </si>
  <si>
    <t>TC-REC-209</t>
  </si>
  <si>
    <t>Duplicate round name for the same designation is rejected</t>
  </si>
  <si>
    <t xml:space="preserve">1. Open Recruitment &gt; Interview Rounds
2. Add a round "HR Round" for SOFTWARE TESTER
3. Add another "HR Round" for SOFTWARE TESTER</t>
  </si>
  <si>
    <t>Logged in as HRMS admin (amit) → Open Recruitment &gt; Interview Rounds → Add a round "HR Round" for SOFTWARE TESTER → Add another "HR Round" for SOFTWARE TESTER</t>
  </si>
  <si>
    <t>Duplicate rejected with a message; only one round exists</t>
  </si>
  <si>
    <t>Proven app behaviour: duplicate round name rejected</t>
  </si>
  <si>
    <t>TC-REC-210</t>
  </si>
  <si>
    <t>Same round name allowed for a different designation</t>
  </si>
  <si>
    <t xml:space="preserve">1. Open Recruitment &gt; Interview Rounds
2. Add "HR Round" for Business Analyst
3. Compare the screen with the expected result</t>
  </si>
  <si>
    <t>Logged in as HRMS admin (amit) → Open Recruitment &gt; Interview Rounds → Add "HR Round" for Business Analyst → Compare the screen with the expected result</t>
  </si>
  <si>
    <t>Saved (rounds belong to one designation)</t>
  </si>
  <si>
    <t>TC-REC-211</t>
  </si>
  <si>
    <t>Order No accepts only positive integers</t>
  </si>
  <si>
    <t xml:space="preserve">1. Open Recruitment &gt; Interview Rounds
2. Add Round with Order No -1, then "abc"
3. Compare the screen with the expected result</t>
  </si>
  <si>
    <t>Logged in as HRMS admin (amit) → Open Recruitment &gt; Interview Rounds → Add Round with Order No -1, then "abc" → Compare the screen with the expected result</t>
  </si>
  <si>
    <t>Rejected / not typeable</t>
  </si>
  <si>
    <t>TC-REC-212</t>
  </si>
  <si>
    <t>Edit a round</t>
  </si>
  <si>
    <t xml:space="preserve">1. Click Edit on a round
2. Rename it
3. Save Round</t>
  </si>
  <si>
    <t>Logged in as HRMS admin (amit) → Click Edit on a round → Rename it → Save Round</t>
  </si>
  <si>
    <t>New name shown</t>
  </si>
  <si>
    <t>TC-REC-213</t>
  </si>
  <si>
    <t>Delete an unused round</t>
  </si>
  <si>
    <t xml:space="preserve">1. Open Recruitment &gt; Interview Rounds
2. Click Delete on a round with Used In 0
3. Confirm</t>
  </si>
  <si>
    <t>Logged in as HRMS admin (amit) → Open Recruitment &gt; Interview Rounds → Click Delete on a round with Used In 0 → Confirm</t>
  </si>
  <si>
    <t>Round removed</t>
  </si>
  <si>
    <t>TC-REC-214</t>
  </si>
  <si>
    <t>Round in use cannot be deleted</t>
  </si>
  <si>
    <t xml:space="preserve">1. Open Recruitment &gt; Interview Rounds
2. Click Delete on a round used by an interview
3. Compare the screen with the expected result</t>
  </si>
  <si>
    <t>Logged in as HRMS admin (amit) → Open Recruitment &gt; Interview Rounds → Click Delete on a round used by an interview → Compare the screen with the expected result</t>
  </si>
  <si>
    <t>Deletion refused with a message, or Delete disabled</t>
  </si>
  <si>
    <t>TC-REC-215</t>
  </si>
  <si>
    <t>Filter by designation and search by round name</t>
  </si>
  <si>
    <t xml:space="preserve">1. Pick SOFTWARE TESTER in All Designations
2. Type "Technical"
3. Clear</t>
  </si>
  <si>
    <t>Logged in as HRMS admin (amit) → Pick SOFTWARE TESTER in All Designations → Type "Technical" → Clear</t>
  </si>
  <si>
    <t>List narrows; Clear restores</t>
  </si>
  <si>
    <t>TC-REC-216</t>
  </si>
  <si>
    <t>Round is offered only for its designation when scheduling</t>
  </si>
  <si>
    <t xml:space="preserve">1. Schedule an interview for a Business Analyst opening
2. Compare the screen with the expected result
3. Reload the page and confirm the result persists</t>
  </si>
  <si>
    <t>Logged in as HRMS admin (amit) → Schedule an interview for a Business Analyst opening → Compare the screen with the expected result → Reload the page and confirm the result persists</t>
  </si>
  <si>
    <t>SOFTWARE TESTER rounds are not offered</t>
  </si>
  <si>
    <t>Tester Ed. S15</t>
  </si>
  <si>
    <t>TC-REC-217</t>
  </si>
  <si>
    <t>Interview Schedules page opens and renders correctly</t>
  </si>
  <si>
    <t>Logged in as HRMS admin (amit); a candidate has applied to a SOFTWARE TESTER opening; a round exists</t>
  </si>
  <si>
    <t xml:space="preserve">1. Open Recruitment &gt; Interview Schedules
2. Compare the screen with the expected result
3. Reload the page and confirm the result persists</t>
  </si>
  <si>
    <t>Logged in as HRMS admin (amit); a candidate has applied to a SOFTWARE TESTER opening; a round exists → Open Recruitment &gt; Interview Schedules → Compare the screen with the expected result → Reload the page and confirm the result persists</t>
  </si>
  <si>
    <t>Page loads; Schedule Interview button, "Search candidate..." box, table Sl.No, Candidate, Round, Scheduled On, Mode, Status, Action</t>
  </si>
  <si>
    <t>Linear 016 Interview Schedules — page check</t>
  </si>
  <si>
    <t>TC-REC-218</t>
  </si>
  <si>
    <t>Schedule interview</t>
  </si>
  <si>
    <t>Schedule an interview with all mandatory fields</t>
  </si>
  <si>
    <t xml:space="preserve">1. Click Schedule Interview ("Book a round against an active job opening")
2. 1 Designation &gt; 2 Job Opening &gt; 3 Candidate &gt; 4 Round
3. Set Interview Date a few minutes ahead
4. Pick Interviewer Amit Kumar Shaji and click "+ Add"
5. Click Schedule Interview</t>
  </si>
  <si>
    <t>Logged in as HRMS admin (amit); a candidate has applied to a SOFTWARE TESTER opening; a round exists → Click Schedule Interview ("Book a round against an active job opening") → 1 Designation &gt; 2 Job Opening &gt; 3 Candidate &gt; 4 Round → Set Interview Date a few minutes ahead → Pick Interviewer Amit Kumar Shaji and click "+ Add" → Click Schedule Interview</t>
  </si>
  <si>
    <t>Form closes; interview listed with status Scheduled; candidate shows · APPLIED → INTERVIEW stage</t>
  </si>
  <si>
    <t>TC-REC-219</t>
  </si>
  <si>
    <t>Schedule an interview with a scorecard, mode and meeting link</t>
  </si>
  <si>
    <t xml:space="preserve">1. Schedule Interview
2. Fill mandatory steps
3. Mode = Virtual / Online Interview, Duration 45, Meeting Link
4. Scorecard = this run's scorecard
5. Schedule</t>
  </si>
  <si>
    <t>Logged in as HRMS admin (amit); a candidate has applied to a SOFTWARE TESTER opening; a round exists → Schedule Interview → Fill mandatory steps → Mode = Virtual / Online Interview, Duration 45, Meeting Link → Scorecard = this run's scorecard → Schedule</t>
  </si>
  <si>
    <t>Saved; Panel &amp; Feedback later shows the scorecard criteria</t>
  </si>
  <si>
    <t>TC-REC-220</t>
  </si>
  <si>
    <t>Cascade fields unlock in order</t>
  </si>
  <si>
    <t xml:space="preserve">1. Open Recruitment &gt; Interview Schedules
2. Open Schedule Interview
3. Observe fields before each choice</t>
  </si>
  <si>
    <t>Logged in as HRMS admin (amit); a candidate has applied to a SOFTWARE TESTER opening; a round exists → Open Recruitment &gt; Interview Schedules → Open Schedule Interview → Observe fields before each choice</t>
  </si>
  <si>
    <t>Job Opening "Pick a designation first", Candidate "Pick a job opening first", Round "Pick a candidate first"; Mode, Date, Duration, Scorecard, Link and Interviewers stay disabled until a round is chosen</t>
  </si>
  <si>
    <t>TC-REC-221</t>
  </si>
  <si>
    <t>Choosing an interviewer without "+ Add" adds nobody</t>
  </si>
  <si>
    <t xml:space="preserve">1. Open Recruitment &gt; Interview Schedules
2. Select an interviewer but do not click + Add
3. Schedule</t>
  </si>
  <si>
    <t>Logged in as HRMS admin (amit); a candidate has applied to a SOFTWARE TESTER opening; a round exists → Open Recruitment &gt; Interview Schedules → Select an interviewer but do not click + Add → Schedule</t>
  </si>
  <si>
    <t>Blocked: Interviewers * required (no panel member added)</t>
  </si>
  <si>
    <t>Proven: choosing alone adds nobody</t>
  </si>
  <si>
    <t>TC-REC-222</t>
  </si>
  <si>
    <t>Schedule without Designation</t>
  </si>
  <si>
    <t xml:space="preserve">1. Open Schedule Interview
2. Fill everything except Designation
3. Click Schedule Interview</t>
  </si>
  <si>
    <t>Logged in as HRMS admin (amit); a candidate has applied to a SOFTWARE TESTER opening; a round exists → Open Schedule Interview → Fill everything except Designation → Click Schedule Interview</t>
  </si>
  <si>
    <t>Blocked; Designation * flagged; nothing booked</t>
  </si>
  <si>
    <t>TC-REC-223</t>
  </si>
  <si>
    <t>Schedule without Job Opening</t>
  </si>
  <si>
    <t xml:space="preserve">1. Open Schedule Interview
2. Fill everything except Job Opening
3. Click Schedule Interview</t>
  </si>
  <si>
    <t>Logged in as HRMS admin (amit); a candidate has applied to a SOFTWARE TESTER opening; a round exists → Open Schedule Interview → Fill everything except Job Opening → Click Schedule Interview</t>
  </si>
  <si>
    <t>Blocked; Job Opening * flagged; nothing booked</t>
  </si>
  <si>
    <t>TC-REC-224</t>
  </si>
  <si>
    <t>Schedule without Candidate</t>
  </si>
  <si>
    <t xml:space="preserve">1. Open Schedule Interview
2. Fill everything except Candidate
3. Click Schedule Interview</t>
  </si>
  <si>
    <t>Logged in as HRMS admin (amit); a candidate has applied to a SOFTWARE TESTER opening; a round exists → Open Schedule Interview → Fill everything except Candidate → Click Schedule Interview</t>
  </si>
  <si>
    <t>Blocked; Candidate * flagged; nothing booked</t>
  </si>
  <si>
    <t>TC-REC-225</t>
  </si>
  <si>
    <t>Schedule without Round</t>
  </si>
  <si>
    <t xml:space="preserve">1. Open Schedule Interview
2. Fill everything except Round
3. Click Schedule Interview</t>
  </si>
  <si>
    <t>Logged in as HRMS admin (amit); a candidate has applied to a SOFTWARE TESTER opening; a round exists → Open Schedule Interview → Fill everything except Round → Click Schedule Interview</t>
  </si>
  <si>
    <t>Blocked; Round * flagged; nothing booked</t>
  </si>
  <si>
    <t>TC-REC-226</t>
  </si>
  <si>
    <t>Schedule without Interview Date</t>
  </si>
  <si>
    <t xml:space="preserve">1. Open Schedule Interview
2. Fill everything except Interview Date
3. Click Schedule Interview</t>
  </si>
  <si>
    <t>Logged in as HRMS admin (amit); a candidate has applied to a SOFTWARE TESTER opening; a round exists → Open Schedule Interview → Fill everything except Interview Date → Click Schedule Interview</t>
  </si>
  <si>
    <t>Blocked; Interview Date * flagged; nothing booked</t>
  </si>
  <si>
    <t>TC-REC-227</t>
  </si>
  <si>
    <t>Schedule without Interviewers</t>
  </si>
  <si>
    <t xml:space="preserve">1. Open Schedule Interview
2. Fill everything except Interviewers
3. Click Schedule Interview</t>
  </si>
  <si>
    <t>Logged in as HRMS admin (amit); a candidate has applied to a SOFTWARE TESTER opening; a round exists → Open Schedule Interview → Fill everything except Interviewers → Click Schedule Interview</t>
  </si>
  <si>
    <t>Blocked; Interviewers * flagged; nothing booked</t>
  </si>
  <si>
    <t>TC-REC-228</t>
  </si>
  <si>
    <t>Interview in the past is rejected</t>
  </si>
  <si>
    <t xml:space="preserve">1. Schedule Interview
2. Set Interview Date to 1 hour ago
3. Schedule</t>
  </si>
  <si>
    <t>Logged in as HRMS admin (amit); a candidate has applied to a SOFTWARE TESTER opening; a round exists → Schedule Interview → Set Interview Date to 1 hour ago → Schedule</t>
  </si>
  <si>
    <t>Message that the interview date cannot be in the past; not saved</t>
  </si>
  <si>
    <t>Proven app behaviour</t>
  </si>
  <si>
    <t>TC-REC-229</t>
  </si>
  <si>
    <t>Candidate cannot have two open interviews</t>
  </si>
  <si>
    <t xml:space="preserve">1. Schedule an interview for a candidate
2. Try to schedule another for the same candidate while the first is still Scheduled
3. Compare the screen with the expected result</t>
  </si>
  <si>
    <t>Logged in as HRMS admin (amit); a candidate has applied to a SOFTWARE TESTER opening; a round exists → Schedule an interview for a candidate → Try to schedule another for the same candidate while the first is still Scheduled → Compare the screen with the expected result</t>
  </si>
  <si>
    <t>Second booking refused with a message</t>
  </si>
  <si>
    <t>TC-REC-230</t>
  </si>
  <si>
    <t>Round from another designation is rejected</t>
  </si>
  <si>
    <t xml:space="preserve">1. Open Recruitment &gt; Interview Schedules
2. Attempt to book a round not belonging to the opening's designation
3. Compare the screen with the expected result</t>
  </si>
  <si>
    <t>Logged in as HRMS admin (amit); a candidate has applied to a SOFTWARE TESTER opening; a round exists → Open Recruitment &gt; Interview Schedules → Attempt to book a round not belonging to the opening's designation → Compare the screen with the expected result</t>
  </si>
  <si>
    <t>Message "The selected interview round doesn't belong to this vacancy's designation."</t>
  </si>
  <si>
    <t>Tester Ed. 8.6</t>
  </si>
  <si>
    <t>TC-REC-231</t>
  </si>
  <si>
    <t>Newly created opening appears in the form after reopening</t>
  </si>
  <si>
    <t xml:space="preserve">1. Create a new opening
2. Open Schedule Interview immediately, then reload and reopen
3. Compare the screen with the expected result</t>
  </si>
  <si>
    <t>Logged in as HRMS admin (amit); a candidate has applied to a SOFTWARE TESTER opening; a round exists → Create a new opening → Open Schedule Interview immediately, then reload and reopen → Compare the screen with the expected result</t>
  </si>
  <si>
    <t>Opening is offered after a fresh load</t>
  </si>
  <si>
    <t>Form loads openings on open; just-created openings may need a reload</t>
  </si>
  <si>
    <t>TC-REC-232</t>
  </si>
  <si>
    <t>Duration accepts only positive minutes</t>
  </si>
  <si>
    <t xml:space="preserve">1. Open Recruitment &gt; Interview Schedules
2. Enter Duration 0, -30
3. Compare the screen with the expected result</t>
  </si>
  <si>
    <t>Logged in as HRMS admin (amit); a candidate has applied to a SOFTWARE TESTER opening; a round exists → Open Recruitment &gt; Interview Schedules → Enter Duration 0, -30 → Compare the screen with the expected result</t>
  </si>
  <si>
    <t>Rejected</t>
  </si>
  <si>
    <t>TC-REC-233</t>
  </si>
  <si>
    <t>Panel &amp; Feedback</t>
  </si>
  <si>
    <t>Record a free-form evaluation after the slot</t>
  </si>
  <si>
    <t xml:space="preserve">1. Wait until the interview time has passed
2. Click Panel &amp; Feedback
3. Check "Interview conducted on" is pre-filled
4. Click 4 out of 5 stars, Recommendation = Proceed, comments
5. Save My Evaluation</t>
  </si>
  <si>
    <t>Logged in as HRMS admin (amit); a candidate has applied to a SOFTWARE TESTER opening; a round exists → Wait until the interview time has passed → Click Panel &amp; Feedback → Check "Interview conducted on" is pre-filled → Click 4 out of 5 stars, Recommendation = Proceed, comments → Save My Evaluation</t>
  </si>
  <si>
    <t>"Evaluation saved"; interview status Completed; button reads Update My Evaluation</t>
  </si>
  <si>
    <t>TC-REC-234</t>
  </si>
  <si>
    <t>Scorecard evaluation calculates the weighted overall rating</t>
  </si>
  <si>
    <t xml:space="preserve">1. Open Panel &amp; Feedback on an interview with a scorecard
2. Enter Rating (1–5) and Note for each criterion
3. Save My Evaluation</t>
  </si>
  <si>
    <t>Logged in as HRMS admin (amit); a candidate has applied to a SOFTWARE TESTER opening; a round exists → Open Panel &amp; Feedback on an interview with a scorecard → Enter Rating (1–5) and Note for each criterion → Save My Evaluation</t>
  </si>
  <si>
    <t>"Overall rating" shows the weighted average (e.g. 4 when all criteria are 4); saved</t>
  </si>
  <si>
    <t>TC-REC-235</t>
  </si>
  <si>
    <t>Feedback before the interview time is not accepted</t>
  </si>
  <si>
    <t xml:space="preserve">1. Open Recruitment &gt; Interview Schedules
2. Open Panel &amp; Feedback before the booked slot
3. Try to save</t>
  </si>
  <si>
    <t>Logged in as HRMS admin (amit); a candidate has applied to a SOFTWARE TESTER opening; a round exists → Open Recruitment &gt; Interview Schedules → Open Panel &amp; Feedback before the booked slot → Try to save</t>
  </si>
  <si>
    <t>Save refused / message that feedback is accepted after the interview</t>
  </si>
  <si>
    <t>TC-REC-236</t>
  </si>
  <si>
    <t>Rating out of range in a scorecard</t>
  </si>
  <si>
    <t xml:space="preserve">1. Open Recruitment &gt; Interview Schedules
2. Enter Rating 6 and 0 for a criterion
3. Save</t>
  </si>
  <si>
    <t>Logged in as HRMS admin (amit); a candidate has applied to a SOFTWARE TESTER opening; a round exists → Open Recruitment &gt; Interview Schedules → Enter Rating 6 and 0 for a criterion → Save</t>
  </si>
  <si>
    <t>Rejected; only 1–5 accepted</t>
  </si>
  <si>
    <t>TC-REC-237</t>
  </si>
  <si>
    <t>Evaluation without a Recommendation</t>
  </si>
  <si>
    <t xml:space="preserve">1. Open Recruitment &gt; Interview Schedules
2. Rate the candidate, leave Recommendation empty
3. Save My Evaluation</t>
  </si>
  <si>
    <t>Logged in as HRMS admin (amit); a candidate has applied to a SOFTWARE TESTER opening; a round exists → Open Recruitment &gt; Interview Schedules → Rate the candidate, leave Recommendation empty → Save My Evaluation</t>
  </si>
  <si>
    <t>Blocked with a message</t>
  </si>
  <si>
    <t>TC-REC-238</t>
  </si>
  <si>
    <t>Update My Evaluation</t>
  </si>
  <si>
    <t xml:space="preserve">1. Reopen Panel &amp; Feedback
2. Change rating to 5
3. Update My Evaluation</t>
  </si>
  <si>
    <t>Logged in as HRMS admin (amit); a candidate has applied to a SOFTWARE TESTER opening; a round exists → Reopen Panel &amp; Feedback → Change rating to 5 → Update My Evaluation</t>
  </si>
  <si>
    <t>Updated rating stored</t>
  </si>
  <si>
    <t>TC-REC-239</t>
  </si>
  <si>
    <t>Add a panel member and Save Panel</t>
  </si>
  <si>
    <t xml:space="preserve">1. Panel &amp; Feedback
2. Add another interviewer
3. Save Panel</t>
  </si>
  <si>
    <t>Logged in as HRMS admin (amit); a candidate has applied to a SOFTWARE TESTER opening; a round exists → Panel &amp; Feedback → Add another interviewer → Save Panel</t>
  </si>
  <si>
    <t>Panel lists both members</t>
  </si>
  <si>
    <t>TC-REC-240</t>
  </si>
  <si>
    <t>Panel member sees only their own feedback row</t>
  </si>
  <si>
    <t>A non-admin interviewer with login exists</t>
  </si>
  <si>
    <t xml:space="preserve">1. Log in as a panel member (non-admin)
2. Open Panel &amp; Feedback
3. Compare the screen with the expected result</t>
  </si>
  <si>
    <t>A non-admin interviewer with login exists → Log in as a panel member (non-admin) → Open Panel &amp; Feedback → Compare the screen with the expected result</t>
  </si>
  <si>
    <t>Only own evaluation editable; cannot change panel</t>
  </si>
  <si>
    <t>P-06</t>
  </si>
  <si>
    <t>TC-REC-241</t>
  </si>
  <si>
    <t>Reschedule an interview</t>
  </si>
  <si>
    <t xml:space="preserve">1. Row menu &gt; Reschedule
2. Enter New Scheduled On (future)
3. Reschedule</t>
  </si>
  <si>
    <t>Logged in as HRMS admin (amit); a candidate has applied to a SOFTWARE TESTER opening; a round exists → Row menu &gt; Reschedule → Enter New Scheduled On (future) → Reschedule</t>
  </si>
  <si>
    <t>"Interview rescheduled"; new date shown, status Rescheduled</t>
  </si>
  <si>
    <t>TC-REC-242</t>
  </si>
  <si>
    <t>Send Invitation e-mail</t>
  </si>
  <si>
    <t xml:space="preserve">1. Open Recruitment &gt; Interview Schedules
2. Row menu &gt; Send Invitation
3. Confirm "Email the interview invitation to the candidate?"</t>
  </si>
  <si>
    <t>Logged in as HRMS admin (amit); a candidate has applied to a SOFTWARE TESTER opening; a round exists → Open Recruitment &gt; Interview Schedules → Row menu &gt; Send Invitation → Confirm "Email the interview invitation to the candidate?"</t>
  </si>
  <si>
    <t>"Invitation sent"</t>
  </si>
  <si>
    <t>TC-REC-243</t>
  </si>
  <si>
    <t>Send Reminder e-mail</t>
  </si>
  <si>
    <t xml:space="preserve">1. Open Recruitment &gt; Interview Schedules
2. Row menu &gt; Send Reminder
3. Confirm</t>
  </si>
  <si>
    <t>Logged in as HRMS admin (amit); a candidate has applied to a SOFTWARE TESTER opening; a round exists → Open Recruitment &gt; Interview Schedules → Row menu &gt; Send Reminder → Confirm</t>
  </si>
  <si>
    <t>"Reminder sent"</t>
  </si>
  <si>
    <t>TC-REC-244</t>
  </si>
  <si>
    <t>Cancel an interview</t>
  </si>
  <si>
    <t xml:space="preserve">1. Open Recruitment &gt; Interview Schedules
2. Row menu &gt; Cancel Interview
3. Confirm "Cancel this interview?"</t>
  </si>
  <si>
    <t>Logged in as HRMS admin (amit); a candidate has applied to a SOFTWARE TESTER opening; a round exists → Open Recruitment &gt; Interview Schedules → Row menu &gt; Cancel Interview → Confirm "Cancel this interview?"</t>
  </si>
  <si>
    <t>"Interview cancelled"; status Cancelled; candidate can be booked again</t>
  </si>
  <si>
    <t>TC-REC-245</t>
  </si>
  <si>
    <t>Invitation on a cancelled interview is refused</t>
  </si>
  <si>
    <t xml:space="preserve">1. Open Recruitment &gt; Interview Schedules
2. On a Cancelled interview choose Send Invitation
3. Compare the screen with the expected result</t>
  </si>
  <si>
    <t>Logged in as HRMS admin (amit); a candidate has applied to a SOFTWARE TESTER opening; a round exists → Open Recruitment &gt; Interview Schedules → On a Cancelled interview choose Send Invitation → Compare the screen with the expected result</t>
  </si>
  <si>
    <t>Message "This interview is cancelled — reschedule it before sending an invitation."</t>
  </si>
  <si>
    <t>TC-REC-246</t>
  </si>
  <si>
    <t>Search interviews by candidate</t>
  </si>
  <si>
    <t xml:space="preserve">1. Open Recruitment &gt; Interview Schedules
2. Type the candidate name in "Search candidate..."
3. Compare the screen with the expected result</t>
  </si>
  <si>
    <t>Logged in as HRMS admin (amit); a candidate has applied to a SOFTWARE TESTER opening; a round exists → Open Recruitment &gt; Interview Schedules → Type the candidate name in "Search candidate..." → Compare the screen with the expected result</t>
  </si>
  <si>
    <t>Only that candidate's interviews listed</t>
  </si>
  <si>
    <t>TC-REC-247</t>
  </si>
  <si>
    <t>Staff user cannot schedule interviews</t>
  </si>
  <si>
    <t xml:space="preserve">1. Log in as a Staff employee
2. Open /interview-schedules
3. Compare the screen with the expected result</t>
  </si>
  <si>
    <t>A test-created Staff employee with login exists → Log in as a Staff employee → Open /interview-schedules → Compare the screen with the expected result</t>
  </si>
  <si>
    <t>Access refused / no Schedule Interview button</t>
  </si>
  <si>
    <t>TC-REC-248</t>
  </si>
  <si>
    <t>Offers page opens and renders correctly</t>
  </si>
  <si>
    <t>Logged in as HRMS admin (amit); a candidate's interview is Completed (evaluated)</t>
  </si>
  <si>
    <t xml:space="preserve">1. Open Recruitment &gt; Offers
2. Compare the screen with the expected result
3. Reload the page and confirm the result persists</t>
  </si>
  <si>
    <t>Logged in as HRMS admin (amit); a candidate's interview is Completed (evaluated) → Open Recruitment &gt; Offers → Compare the screen with the expected result → Reload the page and confirm the result persists</t>
  </si>
  <si>
    <t>Page loads; New Offer button, "Search candidate..." box, table Sl.No, Candidate, Total CTC, Joining, Status, Action, page-size selector</t>
  </si>
  <si>
    <t>Linear 017 Offers — page check</t>
  </si>
  <si>
    <t>TC-REC-249</t>
  </si>
  <si>
    <t>Create offer</t>
  </si>
  <si>
    <t>Create an offer with all mandatory fields</t>
  </si>
  <si>
    <t>SOFTWARE TESTER; Main Branch; Total CTC 600000; Team Member</t>
  </si>
  <si>
    <t xml:space="preserve">1. Click New Offer
2. Select Designation, then Job Opening
3. Type the candidate e-mail in Candidate and pick the suggestion
4. Select Branch, Joining Date (+21 days), Total CTC 600000, User Level Team Member
5. Click Create Offer</t>
  </si>
  <si>
    <t>Logged in as HRMS admin (amit); a candidate's interview is Completed (evaluated) → Click New Offer → Select Designation, then Job Opening → Type the candidate e-mail in Candidate and pick the suggestion → Select Branch, Joining Date (+21 days), Total CTC 600000, User Level Team Member → Click Create Offer</t>
  </si>
  <si>
    <t>Form closes; offer listed with Total CTC 600000.00 and status Draft</t>
  </si>
  <si>
    <t>Linear 017 Offers — offerApprovedSentAccepted</t>
  </si>
  <si>
    <t>TC-REC-250</t>
  </si>
  <si>
    <t>Create an offer with all fields</t>
  </si>
  <si>
    <t xml:space="preserve">1. New Offer
2. Fill mandatory fields
3. Salary Structure = Sample Structure, Fixed CTC, Variable CTC
4. Pick User Level then Reports To
5. Remarks
6. Create Offer</t>
  </si>
  <si>
    <t>Logged in as HRMS admin (amit); a candidate's interview is Completed (evaluated) → New Offer → Fill mandatory fields → Salary Structure = Sample Structure, Fixed CTC, Variable CTC → Pick User Level then Reports To → Remarks → Create Offer</t>
  </si>
  <si>
    <t>Offer saved as Draft with all values visible in View</t>
  </si>
  <si>
    <t>TC-REC-251</t>
  </si>
  <si>
    <t>Only interview-cleared candidates are offered</t>
  </si>
  <si>
    <t xml:space="preserve">1. New Offer
2. Choose the opening
3. Search a candidate whose interview is not Completed</t>
  </si>
  <si>
    <t>Logged in as HRMS admin (amit); a candidate's interview is Completed (evaluated) → New Offer → Choose the opening → Search a candidate whose interview is not Completed</t>
  </si>
  <si>
    <t>Candidate not suggested; cannot create an offer for them</t>
  </si>
  <si>
    <t>Proven: candidate offerable only after interview Completed</t>
  </si>
  <si>
    <t>TC-REC-252</t>
  </si>
  <si>
    <t>Candidate field is a type-ahead enabled after the Job Opening</t>
  </si>
  <si>
    <t xml:space="preserve">1. Open Recruitment &gt; Offers
2. New Offer
3. Observe Candidate before and after choosing Job Opening</t>
  </si>
  <si>
    <t>Logged in as HRMS admin (amit); a candidate's interview is Completed (evaluated) → Open Recruitment &gt; Offers → New Offer → Observe Candidate before and after choosing Job Opening</t>
  </si>
  <si>
    <t>Candidate disabled until a Job Opening is chosen; typing name/e-mail shows suggestions</t>
  </si>
  <si>
    <t>TC-REC-253</t>
  </si>
  <si>
    <t>Create offer without Designation</t>
  </si>
  <si>
    <t xml:space="preserve">1. New Offer
2. Fill all mandatory fields except Designation
3. Click Create Offer</t>
  </si>
  <si>
    <t>Logged in as HRMS admin (amit); a candidate's interview is Completed (evaluated) → New Offer → Fill all mandatory fields except Designation → Click Create Offer</t>
  </si>
  <si>
    <t>Blocked; "Designation required"; offer not created</t>
  </si>
  <si>
    <t>Tester Ed. 8.4</t>
  </si>
  <si>
    <t>TC-REC-254</t>
  </si>
  <si>
    <t>Create offer without Job Opening</t>
  </si>
  <si>
    <t xml:space="preserve">1. New Offer
2. Fill all mandatory fields except Job Opening
3. Click Create Offer</t>
  </si>
  <si>
    <t>Logged in as HRMS admin (amit); a candidate's interview is Completed (evaluated) → New Offer → Fill all mandatory fields except Job Opening → Click Create Offer</t>
  </si>
  <si>
    <t>Blocked; "Job Opening required"; offer not created</t>
  </si>
  <si>
    <t>TC-REC-255</t>
  </si>
  <si>
    <t>Create offer without Candidate</t>
  </si>
  <si>
    <t xml:space="preserve">1. New Offer
2. Fill all mandatory fields except Candidate
3. Click Create Offer</t>
  </si>
  <si>
    <t>Logged in as HRMS admin (amit); a candidate's interview is Completed (evaluated) → New Offer → Fill all mandatory fields except Candidate → Click Create Offer</t>
  </si>
  <si>
    <t>Blocked; "Please select a candidate / application."; offer not created</t>
  </si>
  <si>
    <t>TC-REC-256</t>
  </si>
  <si>
    <t>Create offer without Branch</t>
  </si>
  <si>
    <t xml:space="preserve">1. New Offer
2. Fill all mandatory fields except Branch
3. Click Create Offer</t>
  </si>
  <si>
    <t>Logged in as HRMS admin (amit); a candidate's interview is Completed (evaluated) → New Offer → Fill all mandatory fields except Branch → Click Create Offer</t>
  </si>
  <si>
    <t>Blocked; "Please select a Branch (required for approval routing)."; offer not created</t>
  </si>
  <si>
    <t>TC-REC-257</t>
  </si>
  <si>
    <t>Create offer without Joining Date</t>
  </si>
  <si>
    <t xml:space="preserve">1. New Offer
2. Fill all mandatory fields except Joining Date
3. Click Create Offer</t>
  </si>
  <si>
    <t>Logged in as HRMS admin (amit); a candidate's interview is Completed (evaluated) → New Offer → Fill all mandatory fields except Joining Date → Click Create Offer</t>
  </si>
  <si>
    <t>Blocked; "Please enter the joining date."; offer not created</t>
  </si>
  <si>
    <t>TC-REC-258</t>
  </si>
  <si>
    <t>Create offer without Total CTC</t>
  </si>
  <si>
    <t xml:space="preserve">1. New Offer
2. Fill all mandatory fields except Total CTC
3. Click Create Offer</t>
  </si>
  <si>
    <t>Logged in as HRMS admin (amit); a candidate's interview is Completed (evaluated) → New Offer → Fill all mandatory fields except Total CTC → Click Create Offer</t>
  </si>
  <si>
    <t>Blocked; "Please enter the offered CTC."; offer not created</t>
  </si>
  <si>
    <t>TC-REC-259</t>
  </si>
  <si>
    <t>Create offer without User Level</t>
  </si>
  <si>
    <t xml:space="preserve">1. New Offer
2. Fill all mandatory fields except User Level
3. Click Create Offer</t>
  </si>
  <si>
    <t>Logged in as HRMS admin (amit); a candidate's interview is Completed (evaluated) → New Offer → Fill all mandatory fields except User Level → Click Create Offer</t>
  </si>
  <si>
    <t>Blocked; "Please choose the User Level this candidate is being hired at."; offer not created</t>
  </si>
  <si>
    <t>TC-REC-260</t>
  </si>
  <si>
    <t>Total CTC 0 or negative is rejected</t>
  </si>
  <si>
    <t xml:space="preserve">1. New Offer
2. Total CTC 0, then -1000
3. Create Offer</t>
  </si>
  <si>
    <t>Logged in as HRMS admin (amit); a candidate's interview is Completed (evaluated) → New Offer → Total CTC 0, then -1000 → Create Offer</t>
  </si>
  <si>
    <t>Message "Please enter the offered CTC." / negative refused</t>
  </si>
  <si>
    <t>TC-REC-261</t>
  </si>
  <si>
    <t>Joining Date in the past</t>
  </si>
  <si>
    <t xml:space="preserve">1. New Offer
2. Joining Date yesterday
3. Create Offer</t>
  </si>
  <si>
    <t>Logged in as HRMS admin (amit); a candidate's interview is Completed (evaluated) → New Offer → Joining Date yesterday → Create Offer</t>
  </si>
  <si>
    <t>Rejected with a joining-date message</t>
  </si>
  <si>
    <t>TC-REC-262</t>
  </si>
  <si>
    <t>Reports To locked until a User Level is chosen</t>
  </si>
  <si>
    <t xml:space="preserve">1. New Offer
2. Observe Reports To
3. Pick User Level</t>
  </si>
  <si>
    <t>Logged in as HRMS admin (amit); a candidate's interview is Completed (evaluated) → New Offer → Observe Reports To → Pick User Level</t>
  </si>
  <si>
    <t>Reports To disabled ("-- Choose a User Level first --") then enabled</t>
  </si>
  <si>
    <t>TC-REC-263</t>
  </si>
  <si>
    <t>Reports To at or below the offered level is rejected</t>
  </si>
  <si>
    <t xml:space="preserve">1. New Offer
2. User Level Manager, Reports To a Team Member
3. Create Offer</t>
  </si>
  <si>
    <t>Logged in as HRMS admin (amit); a candidate's interview is Completed (evaluated) → New Offer → User Level Manager, Reports To a Team Member → Create Offer</t>
  </si>
  <si>
    <t>Message "The reporting person must be an active user at a level above Manager."</t>
  </si>
  <si>
    <t>TC-REC-264</t>
  </si>
  <si>
    <t>Duplicate offer for the same candidate and opening</t>
  </si>
  <si>
    <t xml:space="preserve">1. Create an offer
2. Create another for the same candidate/opening
3. Compare the screen with the expected result</t>
  </si>
  <si>
    <t>Logged in as HRMS admin (amit); a candidate's interview is Completed (evaluated) → Create an offer → Create another for the same candidate/opening → Compare the screen with the expected result</t>
  </si>
  <si>
    <t>Refused or the existing offer is referenced; no duplicate active offer</t>
  </si>
  <si>
    <t>TC-REC-265</t>
  </si>
  <si>
    <t>Offer lifecycle</t>
  </si>
  <si>
    <t>Edit a Draft offer</t>
  </si>
  <si>
    <t xml:space="preserve">1. More actions &gt; Edit on a Draft offer
2. Change Total CTC to 650000
3. Save</t>
  </si>
  <si>
    <t>Logged in as HRMS admin (amit); a candidate's interview is Completed (evaluated) → More actions &gt; Edit on a Draft offer → Change Total CTC to 650000 → Save</t>
  </si>
  <si>
    <t>New CTC shown</t>
  </si>
  <si>
    <t>TC-REC-266</t>
  </si>
  <si>
    <t>Non-Draft offer cannot be edited</t>
  </si>
  <si>
    <t xml:space="preserve">1. Open Recruitment &gt; Offers
2. Open More actions on a Pending Approval / Approved offer
3. Compare the screen with the expected result</t>
  </si>
  <si>
    <t>Logged in as HRMS admin (amit); a candidate's interview is Completed (evaluated) → Open Recruitment &gt; Offers → Open More actions on a Pending Approval / Approved offer → Compare the screen with the expected result</t>
  </si>
  <si>
    <t>Edit not offered, or message "Only a Draft offer can be edited."</t>
  </si>
  <si>
    <t>TC-REC-267</t>
  </si>
  <si>
    <t>Submit an offer for approval</t>
  </si>
  <si>
    <t xml:space="preserve">1. Open Recruitment &gt; Offers
2. More actions &gt; Submit for Approval
3. Confirm "Submit this offer for approval?"</t>
  </si>
  <si>
    <t>Logged in as HRMS admin (amit); a candidate's interview is Completed (evaluated) → Open Recruitment &gt; Offers → More actions &gt; Submit for Approval → Confirm "Submit this offer for approval?"</t>
  </si>
  <si>
    <t>Status Pending Approval; offer appears in My Approvals (type Offer)</t>
  </si>
  <si>
    <t>TC-REC-268</t>
  </si>
  <si>
    <t>Approved offer shows Approved</t>
  </si>
  <si>
    <t xml:space="preserve">1. Approve the offer in My Approvals (Confirm Approval)
2. Return to Offers
3. Compare the screen with the expected result</t>
  </si>
  <si>
    <t>Logged in as HRMS admin (amit); a candidate's interview is Completed (evaluated) → Approve the offer in My Approvals (Confirm Approval) → Return to Offers → Compare the screen with the expected result</t>
  </si>
  <si>
    <t>Offer status Approved</t>
  </si>
  <si>
    <t>TC-REC-269</t>
  </si>
  <si>
    <t>Send Offer before approval is blocked</t>
  </si>
  <si>
    <t xml:space="preserve">1. Open Recruitment &gt; Offers
2. On a Draft offer look for / call Send Offer
3. Compare the screen with the expected result</t>
  </si>
  <si>
    <t>Logged in as HRMS admin (amit); a candidate's interview is Completed (evaluated) → Open Recruitment &gt; Offers → On a Draft offer look for / call Send Offer → Compare the screen with the expected result</t>
  </si>
  <si>
    <t>Send Offer not offered, or message "Offer must be Approved before it can be sent."</t>
  </si>
  <si>
    <t>TC-REC-270</t>
  </si>
  <si>
    <t>Generate the offer letter</t>
  </si>
  <si>
    <t>A candidate letter template exists</t>
  </si>
  <si>
    <t xml:space="preserve">1. More actions &gt; Generate Letter on an Approved offer
2. Choose a letter template
3. Preview
4. Generate</t>
  </si>
  <si>
    <t>A candidate letter template exists → More actions &gt; Generate Letter on an Approved offer → Choose a letter template → Preview → Generate</t>
  </si>
  <si>
    <t>"Offer letter generated"; Download Letter appears in the menu</t>
  </si>
  <si>
    <t>TC-REC-271</t>
  </si>
  <si>
    <t>Generate Letter without a template</t>
  </si>
  <si>
    <t xml:space="preserve">1. Open Recruitment &gt; Offers
2. Generate Letter
3. Click Generate without a template</t>
  </si>
  <si>
    <t>Logged in as HRMS admin (amit); a candidate's interview is Completed (evaluated) → Open Recruitment &gt; Offers → Generate Letter → Click Generate without a template</t>
  </si>
  <si>
    <t>Message "Choose an offer letter template"</t>
  </si>
  <si>
    <t>TC-REC-272</t>
  </si>
  <si>
    <t>Send an approved offer to the candidate</t>
  </si>
  <si>
    <t xml:space="preserve">1. Open Recruitment &gt; Offers
2. More actions &gt; Send Offer
3. Confirm "Email this offer…" dialog</t>
  </si>
  <si>
    <t>Logged in as HRMS admin (amit); a candidate's interview is Completed (evaluated) → Open Recruitment &gt; Offers → More actions &gt; Send Offer → Confirm "Email this offer…" dialog</t>
  </si>
  <si>
    <t>Status Sent; offer e-mailed to the candidate's @example.com address</t>
  </si>
  <si>
    <t>TC-REC-273</t>
  </si>
  <si>
    <t>Online Accept/Decline link in the offer e-mail</t>
  </si>
  <si>
    <t xml:space="preserve">1. Send an offer
2. Open the e-mail
3. Try /offer-response/&lt;token&gt;</t>
  </si>
  <si>
    <t>Logged in as HRMS admin (amit); a candidate's interview is Completed (evaluated) → Send an offer → Open the e-mail → Try /offer-response/&lt;token&gt;</t>
  </si>
  <si>
    <t>E-mail contains a working Accept/Decline link</t>
  </si>
  <si>
    <t>Known defect D-01: offer-response portal not functional; needs the e-mailed link</t>
  </si>
  <si>
    <t>TC-REC-274</t>
  </si>
  <si>
    <t>Track response: Accepted</t>
  </si>
  <si>
    <t xml:space="preserve">1. More actions &gt; Track Response
2. Response = Accepted, remarks, optional proof file
3. Save</t>
  </si>
  <si>
    <t>Logged in as HRMS admin (amit); a candidate's interview is Completed (evaluated) → More actions &gt; Track Response → Response = Accepted, remarks, optional proof file → Save</t>
  </si>
  <si>
    <t>"Offer response recorded"; status Accepted; candidate listed on Offer Acceptance</t>
  </si>
  <si>
    <t>TC-REC-275</t>
  </si>
  <si>
    <t>Track response: Rejected</t>
  </si>
  <si>
    <t xml:space="preserve">1. Track Response
2. Response = Rejected with remarks
3. Save</t>
  </si>
  <si>
    <t>Logged in as HRMS admin (amit); a candidate's interview is Completed (evaluated) → Track Response → Response = Rejected with remarks → Save</t>
  </si>
  <si>
    <t>Status Rejected; candidate appears in Talent Pool Silver medalists</t>
  </si>
  <si>
    <t>TC-REC-276</t>
  </si>
  <si>
    <t>Track response: Negotiating</t>
  </si>
  <si>
    <t xml:space="preserve">1. Track Response
2. Response = Negotiating, remarks
3. Save</t>
  </si>
  <si>
    <t>Logged in as HRMS admin (amit); a candidate's interview is Completed (evaluated) → Track Response → Response = Negotiating, remarks → Save</t>
  </si>
  <si>
    <t>Status Negotiating; listed on Offer Acceptance (All Offers)</t>
  </si>
  <si>
    <t>TC-REC-277</t>
  </si>
  <si>
    <t>Track Response not available before Sent</t>
  </si>
  <si>
    <t xml:space="preserve">1. Open Recruitment &gt; Offers
2. Open More actions on an Approved (not sent) offer
3. Compare the screen with the expected result</t>
  </si>
  <si>
    <t>Logged in as HRMS admin (amit); a candidate's interview is Completed (evaluated) → Open Recruitment &gt; Offers → Open More actions on an Approved (not sent) offer → Compare the screen with the expected result</t>
  </si>
  <si>
    <t>Track Response absent</t>
  </si>
  <si>
    <t>TC-REC-278</t>
  </si>
  <si>
    <t>Offer History / Timeline</t>
  </si>
  <si>
    <t xml:space="preserve">1. Open Recruitment &gt; Offers
2. More actions &gt; History / Timeline
3. Compare the screen with the expected result</t>
  </si>
  <si>
    <t>Logged in as HRMS admin (amit); a candidate's interview is Completed (evaluated) → Open Recruitment &gt; Offers → More actions &gt; History / Timeline → Compare the screen with the expected result</t>
  </si>
  <si>
    <t>Shows Draft → Pending Approval → Approved → Sent → Accepted with user and time</t>
  </si>
  <si>
    <t>FR-REC-059</t>
  </si>
  <si>
    <t>TC-REC-279</t>
  </si>
  <si>
    <t>Rejected offer approval returns it for correction</t>
  </si>
  <si>
    <t xml:space="preserve">1. Submit an offer
2. Reject it in My Approvals with remarks
3. Compare the screen with the expected result</t>
  </si>
  <si>
    <t>Logged in as HRMS admin (amit); a candidate's interview is Completed (evaluated) → Submit an offer → Reject it in My Approvals with remarks → Compare the screen with the expected result</t>
  </si>
  <si>
    <t>Offer leaves Pending Approval (Rejected) and cannot be sent</t>
  </si>
  <si>
    <t>TC-REC-280</t>
  </si>
  <si>
    <t>Search offers by candidate</t>
  </si>
  <si>
    <t xml:space="preserve">1. Open Recruitment &gt; Offers
2. Type a candidate name in "Search candidate..."
3. Compare the screen with the expected result</t>
  </si>
  <si>
    <t>Logged in as HRMS admin (amit); a candidate's interview is Completed (evaluated) → Open Recruitment &gt; Offers → Type a candidate name in "Search candidate..." → Compare the screen with the expected result</t>
  </si>
  <si>
    <t>Only that candidate's offers listed</t>
  </si>
  <si>
    <t>TC-REC-281</t>
  </si>
  <si>
    <t>Staff user cannot open Offers</t>
  </si>
  <si>
    <t xml:space="preserve">1. Log in as a Staff employee
2. Open /offer-list
3. Compare the screen with the expected result</t>
  </si>
  <si>
    <t>A test-created Staff employee with login exists → Log in as a Staff employee → Open /offer-list → Compare the screen with the expected result</t>
  </si>
  <si>
    <t>TC-REC-282</t>
  </si>
  <si>
    <t>Offer Acceptance page opens and renders correctly</t>
  </si>
  <si>
    <t>Logged in as HRMS admin (amit); an offer has been Sent and Accepted</t>
  </si>
  <si>
    <t xml:space="preserve">1. Open Recruitment &gt; Offer Acceptance
2. Compare the screen with the expected result
3. Reload the page and confirm the result persists</t>
  </si>
  <si>
    <t>Logged in as HRMS admin (amit); an offer has been Sent and Accepted → Open Recruitment &gt; Offer Acceptance → Compare the screen with the expected result → Reload the page and confirm the result persists</t>
  </si>
  <si>
    <t>Page loads; Accepted Offers view, All Offers button, "Search candidate..." box, rows with candidate, e-mail, Pre-Boarding state and actions</t>
  </si>
  <si>
    <t>Linear 018 Offer Acceptance — page check</t>
  </si>
  <si>
    <t>TC-REC-283</t>
  </si>
  <si>
    <t>New joiners board</t>
  </si>
  <si>
    <t>Accepted candidate is listed as Not invited</t>
  </si>
  <si>
    <t xml:space="preserve">1. Record an offer as Accepted
2. Open Offer Acceptance
3. Search the candidate e-mail</t>
  </si>
  <si>
    <t>Logged in as HRMS admin (amit); an offer has been Sent and Accepted → Record an offer as Accepted → Open Offer Acceptance → Search the candidate e-mail</t>
  </si>
  <si>
    <t>Row shows Accepted and Pre-Boarding "Not invited" with a Send Invite button</t>
  </si>
  <si>
    <t>TC-REC-284</t>
  </si>
  <si>
    <t>Draft / Pending / Approved offers are not listed</t>
  </si>
  <si>
    <t xml:space="preserve">1. Create a Draft offer
2. Open Offer Acceptance
3. Compare the screen with the expected result</t>
  </si>
  <si>
    <t>Logged in as HRMS admin (amit); an offer has been Sent and Accepted → Create a Draft offer → Open Offer Acceptance → Compare the screen with the expected result</t>
  </si>
  <si>
    <t>Only Sent / Accepted / Rejected / Negotiating offers are shown</t>
  </si>
  <si>
    <t>Tester Ed. S8</t>
  </si>
  <si>
    <t>TC-REC-285</t>
  </si>
  <si>
    <t>Send the pre-boarding invite</t>
  </si>
  <si>
    <t xml:space="preserve">1. Open Recruitment &gt; Offer Acceptance
2. Click Send Invite on the accepted row
3. Confirm "Email the pre-boarding portal link to &lt;name&gt;?"</t>
  </si>
  <si>
    <t>Logged in as HRMS admin (amit); an offer has been Sent and Accepted → Open Recruitment &gt; Offer Acceptance → Click Send Invite on the accepted row → Confirm "Email the pre-boarding portal link to &lt;name&gt;?"</t>
  </si>
  <si>
    <t>Row shows "Invited expires DD-Mon" and the button changes to Resend Invite</t>
  </si>
  <si>
    <t>Linear 018 Offer Acceptance — preboardingInvite</t>
  </si>
  <si>
    <t>TC-REC-286</t>
  </si>
  <si>
    <t>Cancel the pre-boarding invite confirm</t>
  </si>
  <si>
    <t xml:space="preserve">1. Open Recruitment &gt; Offer Acceptance
2. Click Send Invite
3. Cancel</t>
  </si>
  <si>
    <t>Logged in as HRMS admin (amit); an offer has been Sent and Accepted → Open Recruitment &gt; Offer Acceptance → Click Send Invite → Cancel</t>
  </si>
  <si>
    <t>Still "Not invited"; no e-mail sent</t>
  </si>
  <si>
    <t>TC-REC-287</t>
  </si>
  <si>
    <t>Resend the pre-boarding invite</t>
  </si>
  <si>
    <t xml:space="preserve">1. Open Recruitment &gt; Offer Acceptance
2. Click Resend Invite
3. Confirm</t>
  </si>
  <si>
    <t>Logged in as HRMS admin (amit); an offer has been Sent and Accepted → Open Recruitment &gt; Offer Acceptance → Click Resend Invite → Confirm</t>
  </si>
  <si>
    <t>Invite re-sent; expiry date refreshed</t>
  </si>
  <si>
    <t>TC-REC-288</t>
  </si>
  <si>
    <t>Copy Pre-boarding Link</t>
  </si>
  <si>
    <t xml:space="preserve">1. Open Recruitment &gt; Offer Acceptance
2. More actions &gt; Copy Pre-boarding Link
3. Compare the screen with the expected result</t>
  </si>
  <si>
    <t>Logged in as HRMS admin (amit); an offer has been Sent and Accepted → Open Recruitment &gt; Offer Acceptance → More actions &gt; Copy Pre-boarding Link → Compare the screen with the expected result</t>
  </si>
  <si>
    <t>Link copied to the clipboard (toast)</t>
  </si>
  <si>
    <t>TC-REC-289</t>
  </si>
  <si>
    <t>Candidate fills the pre-boarding form</t>
  </si>
  <si>
    <t xml:space="preserve">1. Candidate opens the e-mailed portal link
2. Fills personal details and uploads documents
3. Submits</t>
  </si>
  <si>
    <t>Logged in as HRMS admin (amit); an offer has been Sent and Accepted → Candidate opens the e-mailed portal link → Fills personal details and uploads documents → Submits</t>
  </si>
  <si>
    <t>Submission reaches Onboarding &gt; Pre-boarding Approvals</t>
  </si>
  <si>
    <t>Pre-boarding form is filled by the candidate via the e-mailed link, which the tests cannot receive</t>
  </si>
  <si>
    <t>TC-REC-290</t>
  </si>
  <si>
    <t>Start Onboarding is disabled until the candidate submits details</t>
  </si>
  <si>
    <t xml:space="preserve">1. Open Recruitment &gt; Offer Acceptance
2. Open More actions on an invited row whose candidate has not submitted
3. Compare the screen with the expected result</t>
  </si>
  <si>
    <t>Logged in as HRMS admin (amit); an offer has been Sent and Accepted → Open Recruitment &gt; Offer Acceptance → Open More actions on an invited row whose candidate has not submitted → Compare the screen with the expected result</t>
  </si>
  <si>
    <t>Start Onboarding is disabled</t>
  </si>
  <si>
    <t>Proven behaviour 2026-10-08</t>
  </si>
  <si>
    <t>TC-REC-291</t>
  </si>
  <si>
    <t>Start Onboarding after pre-boarding submission</t>
  </si>
  <si>
    <t xml:space="preserve">1. Open Recruitment &gt; Offer Acceptance
2. After the candidate submits pre-boarding details, More actions &gt; Start Onboarding
3. Compare the screen with the expected result</t>
  </si>
  <si>
    <t>Logged in as HRMS admin (amit); an offer has been Sent and Accepted → Open Recruitment &gt; Offer Acceptance → After the candidate submits pre-boarding details, More actions &gt; Start Onboarding → Compare the screen with the expected result</t>
  </si>
  <si>
    <t>Candidate appears in Onboarding (New Hire picker / pipeline)</t>
  </si>
  <si>
    <t>Depends on the candidate submitting the e-mailed pre-boarding form</t>
  </si>
  <si>
    <t>TC-REC-292</t>
  </si>
  <si>
    <t>Expired invite can be re-sent</t>
  </si>
  <si>
    <t xml:space="preserve">1. Open Recruitment &gt; Offer Acceptance
2. Find a row whose invite has expired
3. Compare the screen with the expected result</t>
  </si>
  <si>
    <t>Logged in as HRMS admin (amit); an offer has been Sent and Accepted → Open Recruitment &gt; Offer Acceptance → Find a row whose invite has expired → Compare the screen with the expected result</t>
  </si>
  <si>
    <t>Shows expired; Resend Invite issues a fresh link</t>
  </si>
  <si>
    <t>TC-REC-293</t>
  </si>
  <si>
    <t>View Offer Letter</t>
  </si>
  <si>
    <t xml:space="preserve">1. Open Recruitment &gt; Offer Acceptance
2. More actions &gt; View Offer Letter
3. Compare the screen with the expected result</t>
  </si>
  <si>
    <t>Logged in as HRMS admin (amit); an offer has been Sent and Accepted → Open Recruitment &gt; Offer Acceptance → More actions &gt; View Offer Letter → Compare the screen with the expected result</t>
  </si>
  <si>
    <t>Generated offer letter opens</t>
  </si>
  <si>
    <t>TC-REC-294</t>
  </si>
  <si>
    <t>All Offers navigates back to Offers</t>
  </si>
  <si>
    <t xml:space="preserve">1. Open Recruitment &gt; Offer Acceptance
2. Click All Offers
3. Compare the screen with the expected result</t>
  </si>
  <si>
    <t>Logged in as HRMS admin (amit); an offer has been Sent and Accepted → Open Recruitment &gt; Offer Acceptance → Click All Offers → Compare the screen with the expected result</t>
  </si>
  <si>
    <t>Navigates to /offer-list</t>
  </si>
  <si>
    <t>TC-REC-295</t>
  </si>
  <si>
    <t>Search by candidate</t>
  </si>
  <si>
    <t xml:space="preserve">1. Open Recruitment &gt; Offer Acceptance
2. Type candidate e-mail in "Search candidate..."
3. Compare the screen with the expected result</t>
  </si>
  <si>
    <t>Logged in as HRMS admin (amit); an offer has been Sent and Accepted → Open Recruitment &gt; Offer Acceptance → Type candidate e-mail in "Search candidate..." → Compare the screen with the expected result</t>
  </si>
  <si>
    <t>Only that row listed</t>
  </si>
  <si>
    <t>TC-REC-296</t>
  </si>
  <si>
    <t>My Approvals page opens and renders correctly</t>
  </si>
  <si>
    <t>Logged in as HRMS admin (amit) (configured approver for Job Requisition and Offer)</t>
  </si>
  <si>
    <t xml:space="preserve">1. Open Recruitment &gt; My Approvals
2. Compare the screen with the expected result
3. Reload the page and confirm the result persists</t>
  </si>
  <si>
    <t>Logged in as HRMS admin (amit) (configured approver for Job Requisition and Offer) → Open Recruitment &gt; My Approvals → Compare the screen with the expected result → Reload the page and confirm the result persists</t>
  </si>
  <si>
    <t>Page loads; heading "Recruitment Approvals", Refresh, tabs Awaiting my decision / My requests / History, rows with Type, Details, Level, As, REQUESTED ON and Details / Track / Approve / Reject buttons</t>
  </si>
  <si>
    <t>Linear 019 My Approvals — page check</t>
  </si>
  <si>
    <t>TC-REC-297</t>
  </si>
  <si>
    <t>Approve / reject</t>
  </si>
  <si>
    <t>Approve a job requisition</t>
  </si>
  <si>
    <t xml:space="preserve">1. Find the Job Requisition row
2. Click Details and check the business justification
3. Close
4. Click Approve
5. Optional remarks
6. Confirm Approval</t>
  </si>
  <si>
    <t>Logged in as HRMS admin (amit) (configured approver for Job Requisition and Offer) → Find the Job Requisition row → Click Details and check the business justification → Close → Click Approve → Optional remarks → Confirm Approval</t>
  </si>
  <si>
    <t>Dialog closes; row leaves Awaiting; requisition shows Approved; a job opening is auto-created</t>
  </si>
  <si>
    <t>TC-REC-298</t>
  </si>
  <si>
    <t>Approve an offer</t>
  </si>
  <si>
    <t xml:space="preserve">1. Find the Offer row (Details show the candidate)
2. Approve
3. Confirm Approval</t>
  </si>
  <si>
    <t>Logged in as HRMS admin (amit) (configured approver for Job Requisition and Offer) → Find the Offer row (Details show the candidate) → Approve → Confirm Approval</t>
  </si>
  <si>
    <t>Offer status Approved on Offers</t>
  </si>
  <si>
    <t>TC-REC-299</t>
  </si>
  <si>
    <t>Details popup shows the request</t>
  </si>
  <si>
    <t xml:space="preserve">1. Open Recruitment &gt; My Approvals
2. Click Details on a row
3. Compare the screen with the expected result</t>
  </si>
  <si>
    <t>Logged in as HRMS admin (amit) (configured approver for Job Requisition and Offer) → Open Recruitment &gt; My Approvals → Click Details on a row → Compare the screen with the expected result</t>
  </si>
  <si>
    <t>Modal shows the request fields, requester and "Requested on"; Close works</t>
  </si>
  <si>
    <t>TC-REC-300</t>
  </si>
  <si>
    <t>Reject requires remarks</t>
  </si>
  <si>
    <t xml:space="preserve">1. Click Reject
2. Leave Remarks empty
3. Confirm Rejection</t>
  </si>
  <si>
    <t>Logged in as HRMS admin (amit) (configured approver for Job Requisition and Offer) → Click Reject → Leave Remarks empty → Confirm Rejection</t>
  </si>
  <si>
    <t>Blocked; Remarks mandatory when rejecting</t>
  </si>
  <si>
    <t>Tester Ed. S9</t>
  </si>
  <si>
    <t>TC-REC-301</t>
  </si>
  <si>
    <t>Reject a requisition with remarks</t>
  </si>
  <si>
    <t xml:space="preserve">1. Click Reject
2. Enter remarks
3. Confirm Rejection</t>
  </si>
  <si>
    <t>Logged in as HRMS admin (amit) (configured approver for Job Requisition and Offer) → Click Reject → Enter remarks → Confirm Rejection</t>
  </si>
  <si>
    <t>Row moves to History; requisition shows Rejected with the reason on its approval trail</t>
  </si>
  <si>
    <t>TC-REC-302</t>
  </si>
  <si>
    <t>Remarks optional when approving</t>
  </si>
  <si>
    <t xml:space="preserve">1. Open Recruitment &gt; My Approvals
2. Click Approve
3. Compare the screen with the expected result</t>
  </si>
  <si>
    <t>Logged in as HRMS admin (amit) (configured approver for Job Requisition and Offer) → Open Recruitment &gt; My Approvals → Click Approve → Compare the screen with the expected result</t>
  </si>
  <si>
    <t>Remarks shows "(optional)"</t>
  </si>
  <si>
    <t>TC-REC-303</t>
  </si>
  <si>
    <t>Cancel the approve dialog</t>
  </si>
  <si>
    <t xml:space="preserve">1. Open Recruitment &gt; My Approvals
2. Click Approve
3. Cancel</t>
  </si>
  <si>
    <t>Logged in as HRMS admin (amit) (configured approver for Job Requisition and Offer) → Open Recruitment &gt; My Approvals → Click Approve → Cancel</t>
  </si>
  <si>
    <t>Nothing changes; row still awaiting</t>
  </si>
  <si>
    <t>TC-REC-304</t>
  </si>
  <si>
    <t>Track shows approval progress</t>
  </si>
  <si>
    <t xml:space="preserve">1. Open Recruitment &gt; My Approvals
2. Click Track on a row
3. Compare the screen with the expected result</t>
  </si>
  <si>
    <t>Logged in as HRMS admin (amit) (configured approver for Job Requisition and Offer) → Open Recruitment &gt; My Approvals → Click Track on a row → Compare the screen with the expected result</t>
  </si>
  <si>
    <t>Levels, current approver and progress shown</t>
  </si>
  <si>
    <t>TC-REC-305</t>
  </si>
  <si>
    <t>My requests tab lists items I raised</t>
  </si>
  <si>
    <t xml:space="preserve">1. Raise a requisition
2. Open My requests
3. Compare the screen with the expected result</t>
  </si>
  <si>
    <t>Logged in as HRMS admin (amit) (configured approver for Job Requisition and Offer) → Raise a requisition → Open My requests → Compare the screen with the expected result</t>
  </si>
  <si>
    <t>Row listed with Status, Now with, Progress</t>
  </si>
  <si>
    <t>TC-REC-306</t>
  </si>
  <si>
    <t>History tab lists my decisions</t>
  </si>
  <si>
    <t xml:space="preserve">1. Approve one item
2. Open History
3. Compare the screen with the expected result</t>
  </si>
  <si>
    <t>Logged in as HRMS admin (amit) (configured approver for Job Requisition and Offer) → Approve one item → Open History → Compare the screen with the expected result</t>
  </si>
  <si>
    <t>Row shows My decision, Remarks, Decided date</t>
  </si>
  <si>
    <t>TC-REC-307</t>
  </si>
  <si>
    <t>Refresh reloads the queue</t>
  </si>
  <si>
    <t xml:space="preserve">1. Open Recruitment &gt; My Approvals
2. Click Refresh after a new request is raised
3. Compare the screen with the expected result</t>
  </si>
  <si>
    <t>Logged in as HRMS admin (amit) (configured approver for Job Requisition and Offer) → Open Recruitment &gt; My Approvals → Click Refresh after a new request is raised → Compare the screen with the expected result</t>
  </si>
  <si>
    <t>New request appears</t>
  </si>
  <si>
    <t>TC-REC-308</t>
  </si>
  <si>
    <t>Multi-level approval moves to the next approver</t>
  </si>
  <si>
    <t>Two-level approval config (Administration &gt; Approval Config)</t>
  </si>
  <si>
    <t xml:space="preserve">1. Configure a two-level workflow
2. Approve level 1
3. Compare the screen with the expected result</t>
  </si>
  <si>
    <t>Two-level approval config (Administration &gt; Approval Config) → Configure a two-level workflow → Approve level 1 → Compare the screen with the expected result</t>
  </si>
  <si>
    <t>Request moves to level-2 approver's queue; status still pending</t>
  </si>
  <si>
    <t>TC-REC-309</t>
  </si>
  <si>
    <t>Non-approver does not see the request</t>
  </si>
  <si>
    <t xml:space="preserve">1. Log in as a Staff employee who is not an approver
2. Open /recruitment/approvals
3. Compare the screen with the expected result</t>
  </si>
  <si>
    <t>A test-created Staff employee with login exists → Log in as a Staff employee who is not an approver → Open /recruitment/approvals → Compare the screen with the expected result</t>
  </si>
  <si>
    <t>No Approve/Reject for the request / page refused</t>
  </si>
  <si>
    <t>TC-REC-310</t>
  </si>
  <si>
    <t>No workflow configured auto-approves</t>
  </si>
  <si>
    <t xml:space="preserve">1. With no approval workflow for Job Requisition, submit a requisition
2. Compare the screen with the expected result
3. Reload the page and confirm the result persists</t>
  </si>
  <si>
    <t>Logged in as HRMS admin (amit) (configured approver for Job Requisition and Offer) → With no approval workflow for Job Requisition, submit a requisition → Compare the screen with the expected result → Reload the page and confirm the result persists</t>
  </si>
  <si>
    <t>Message "Requisition approved"; nothing in My Approvals</t>
  </si>
  <si>
    <t>Intended behaviour (N-01) — do not log</t>
  </si>
  <si>
    <t>N-01</t>
  </si>
  <si>
    <t>TC-REC-311</t>
  </si>
  <si>
    <t>Dashboard</t>
  </si>
  <si>
    <t>Recruitment Dashboard opens and renders correctly</t>
  </si>
  <si>
    <t xml:space="preserve">1. Open Recruitment &gt; Recruitment Dashboard
2. Compare the screen with the expected result
3. Reload the page and confirm the result persists</t>
  </si>
  <si>
    <t>Logged in as HRMS admin (amit) → Open Recruitment &gt; Recruitment Dashboard → Compare the screen with the expected result → Reload the page and confirm the result persists</t>
  </si>
  <si>
    <t>Page loads; tiles Open Positions, Total Requisitions, Pending Requisitions, Total Applications, Scheduled Interviews, Pending/Accepted/Declined Offers, Offers Dispatched, Offer Acceptance Rate and funnel chart render</t>
  </si>
  <si>
    <t>Linear 020 Recruitment Dashboard — page check</t>
  </si>
  <si>
    <t>TC-REC-312</t>
  </si>
  <si>
    <t>Tiles reflect new activity</t>
  </si>
  <si>
    <t xml:space="preserve">1. Note Total Applications and Scheduled Interviews
2. Add an application and schedule an interview
3. Refresh</t>
  </si>
  <si>
    <t>Logged in as HRMS admin (amit) → Note Total Applications and Scheduled Interviews → Add an application and schedule an interview → Refresh</t>
  </si>
  <si>
    <t>Both tiles increment by 1</t>
  </si>
  <si>
    <t>TC-REC-313</t>
  </si>
  <si>
    <t>Offer Acceptance Rate formula</t>
  </si>
  <si>
    <t xml:space="preserve">1. Note Accepted and Offers Dispatched
2. Compare with the rate tile
3. Compare the screen with the expected result</t>
  </si>
  <si>
    <t>Logged in as HRMS admin (amit) → Note Accepted and Offers Dispatched → Compare with the rate tile → Compare the screen with the expected result</t>
  </si>
  <si>
    <t>Rate = Accepted ÷ Dispatched × 100, shown as "N of M"</t>
  </si>
  <si>
    <t>Tester Ed. S10</t>
  </si>
  <si>
    <t>TC-REC-314</t>
  </si>
  <si>
    <t>Pending Requisitions counts submitted requisitions</t>
  </si>
  <si>
    <t xml:space="preserve">1. Submit a requisition
2. Refresh dashboard
3. Compare the screen with the expected result</t>
  </si>
  <si>
    <t>Logged in as HRMS admin (amit) → Submit a requisition → Refresh dashboard → Compare the screen with the expected result</t>
  </si>
  <si>
    <t>Pending Requisitions +1; drops after approval</t>
  </si>
  <si>
    <t>TC-REC-315</t>
  </si>
  <si>
    <t>Funnel chart stages</t>
  </si>
  <si>
    <t xml:space="preserve">1. Open Recruitment &gt; Recruitment Dashboard
2. Hover each funnel stage
3. Compare the screen with the expected result</t>
  </si>
  <si>
    <t>Logged in as HRMS admin (amit) → Open Recruitment &gt; Recruitment Dashboard → Hover each funnel stage → Compare the screen with the expected result</t>
  </si>
  <si>
    <t>Counts for Applied → Interview → Offer → Hired shown</t>
  </si>
  <si>
    <t>TC-REC-316</t>
  </si>
  <si>
    <t>Export dashboard</t>
  </si>
  <si>
    <t xml:space="preserve">1. Open Recruitment &gt; Recruitment Dashboard
2. Click Export
3. Compare the screen with the expected result</t>
  </si>
  <si>
    <t>Logged in as HRMS admin (amit) → Open Recruitment &gt; Recruitment Dashboard → Click Export → Compare the screen with the expected result</t>
  </si>
  <si>
    <t>Excel (.xlsx) downloads</t>
  </si>
  <si>
    <t>FR-REC-064</t>
  </si>
  <si>
    <t>TC-REC-317</t>
  </si>
  <si>
    <t>Retry shown after a load failure</t>
  </si>
  <si>
    <t xml:space="preserve">1. Simulate a network failure while loading
2. Compare the screen with the expected result
3. Reload the page and confirm the result persists</t>
  </si>
  <si>
    <t>Logged in as HRMS admin (amit) → Simulate a network failure while loading → Compare the screen with the expected result → Reload the page and confirm the result persists</t>
  </si>
  <si>
    <t>Error state with Retry; Retry reloads</t>
  </si>
  <si>
    <t>TC-REC-318</t>
  </si>
  <si>
    <t>Empty tenant shows zeros, not errors</t>
  </si>
  <si>
    <t xml:space="preserve">1. Open Recruitment &gt; Recruitment Dashboard
2. Open the dashboard on a tenant with no recruitment data
3. Compare the screen with the expected result</t>
  </si>
  <si>
    <t>Logged in as HRMS admin (amit) → Open Recruitment &gt; Recruitment Dashboard → Open the dashboard on a tenant with no recruitment data → Compare the screen with the expected result</t>
  </si>
  <si>
    <t>Tiles show 0; no error</t>
  </si>
  <si>
    <t>TC-REC-319</t>
  </si>
  <si>
    <t>Staff user cannot open the dashboard</t>
  </si>
  <si>
    <t xml:space="preserve">1. Log in as a Staff employee
2. Open /recruitment-dashboard
3. Compare the screen with the expected result</t>
  </si>
  <si>
    <t>A test-created Staff employee with login exists → Log in as a Staff employee → Open /recruitment-dashboard → Compare the screen with the expected result</t>
  </si>
  <si>
    <t>Access refused</t>
  </si>
  <si>
    <t>TC-REC-320</t>
  </si>
  <si>
    <t>Pipeline board</t>
  </si>
  <si>
    <t>Pipeline Board opens and renders correctly</t>
  </si>
  <si>
    <t>Logged in as HRMS admin (amit); a published opening has applicants</t>
  </si>
  <si>
    <t xml:space="preserve">1. Open Recruitment &gt; Pipeline Board
2. Compare the screen with the expected result
3. Reload the page and confirm the result persists</t>
  </si>
  <si>
    <t>Logged in as HRMS admin (amit); a published opening has applicants → Open Recruitment &gt; Pipeline Board → Compare the screen with the expected result → Reload the page and confirm the result persists</t>
  </si>
  <si>
    <t>Page loads; Job Opening selector, Configure Stages, Score and Refresh board buttons; board empty until an opening is chosen</t>
  </si>
  <si>
    <t>Linear 021 Pipeline Board — page check</t>
  </si>
  <si>
    <t>TC-REC-321</t>
  </si>
  <si>
    <t>Board shows stage columns for an opening</t>
  </si>
  <si>
    <t xml:space="preserve">1. Open Recruitment &gt; Pipeline Board
2. Select an opening
3. Compare the screen with the expected result</t>
  </si>
  <si>
    <t>Logged in as HRMS admin (amit); a published opening has applicants → Open Recruitment &gt; Pipeline Board → Select an opening → Compare the screen with the expected result</t>
  </si>
  <si>
    <t>Columns Applied, Screening, Interview, Offer, Hired, Rejected with candidate cards</t>
  </si>
  <si>
    <t>TC-REC-322</t>
  </si>
  <si>
    <t>Refresh board disabled until an opening is chosen</t>
  </si>
  <si>
    <t xml:space="preserve">1. Open Recruitment &gt; Pipeline Board
2. Observe Refresh board before selecting an opening
3. Compare the screen with the expected result</t>
  </si>
  <si>
    <t>Logged in as HRMS admin (amit); a published opening has applicants → Open Recruitment &gt; Pipeline Board → Observe Refresh board before selecting an opening → Compare the screen with the expected result</t>
  </si>
  <si>
    <t>Disabled</t>
  </si>
  <si>
    <t>TC-REC-323</t>
  </si>
  <si>
    <t>Drag a card to Screening</t>
  </si>
  <si>
    <t xml:space="preserve">1. Open Recruitment &gt; Pipeline Board
2. Drag an Applied card to Screening
3. Compare the screen with the expected result</t>
  </si>
  <si>
    <t>Logged in as HRMS admin (amit); a published opening has applicants → Open Recruitment &gt; Pipeline Board → Drag an Applied card to Screening → Compare the screen with the expected result</t>
  </si>
  <si>
    <t>"Application moved"; stage history records the move</t>
  </si>
  <si>
    <t>TC-REC-324</t>
  </si>
  <si>
    <t>Drag to Rejected without a reason is blocked</t>
  </si>
  <si>
    <t xml:space="preserve">1. Drag a card to Rejected
2. Leave Reason empty
3. Reject</t>
  </si>
  <si>
    <t>Logged in as HRMS admin (amit); a published opening has applicants → Drag a card to Rejected → Leave Reason empty → Reject</t>
  </si>
  <si>
    <t>Message "A rejection reason is required to reject an application."</t>
  </si>
  <si>
    <t>Tester Ed. 8.5</t>
  </si>
  <si>
    <t>TC-REC-325</t>
  </si>
  <si>
    <t>Reject with a reason</t>
  </si>
  <si>
    <t xml:space="preserve">1. Drag a card to Rejected
2. Pick a reason, remarks
3. Reject</t>
  </si>
  <si>
    <t>Logged in as HRMS admin (amit); a published opening has applicants → Drag a card to Rejected → Pick a reason, remarks → Reject</t>
  </si>
  <si>
    <t>"Application rejected"; card in Rejected</t>
  </si>
  <si>
    <t>TC-REC-326</t>
  </si>
  <si>
    <t>Drag to Hired before the offer is sent is blocked</t>
  </si>
  <si>
    <t xml:space="preserve">1. Open Recruitment &gt; Pipeline Board
2. Drag an interviewed card to Hired
3. Compare the screen with the expected result</t>
  </si>
  <si>
    <t>Logged in as HRMS admin (amit); a published opening has applicants → Open Recruitment &gt; Pipeline Board → Drag an interviewed card to Hired → Compare the screen with the expected result</t>
  </si>
  <si>
    <t>Message "This candidate cannot be moved to Hired — no offer letter has been sent yet…"</t>
  </si>
  <si>
    <t>TC-REC-327</t>
  </si>
  <si>
    <t>Put on hold requires remarks</t>
  </si>
  <si>
    <t xml:space="preserve">1. Click Put on hold on a card
2. Leave remarks empty
3. Confirm</t>
  </si>
  <si>
    <t>Logged in as HRMS admin (amit); a published opening has applicants → Click Put on hold on a card → Leave remarks empty → Confirm</t>
  </si>
  <si>
    <t>Message "A reason is required to put an application on hold."</t>
  </si>
  <si>
    <t>TC-REC-328</t>
  </si>
  <si>
    <t>Put on hold with no On Hold stage configured</t>
  </si>
  <si>
    <t xml:space="preserve">1. On a tenant without an On Hold stage, put a card on hold
2. Compare the screen with the expected result
3. Reload the page and confirm the result persists</t>
  </si>
  <si>
    <t>Logged in as HRMS admin (amit); a published opening has applicants → On a tenant without an On Hold stage, put a card on hold → Compare the screen with the expected result → Reload the page and confirm the result persists</t>
  </si>
  <si>
    <t>Message "No 'On Hold' stage is configured…"</t>
  </si>
  <si>
    <t>Known gap D-02: On Hold stage not created by default</t>
  </si>
  <si>
    <t>TC-REC-329</t>
  </si>
  <si>
    <t>Reopen a rejected application</t>
  </si>
  <si>
    <t xml:space="preserve">1. Open Recruitment &gt; Pipeline Board
2. Click Reopen application on a rejected card
3. Confirm "Reopen this application?"</t>
  </si>
  <si>
    <t>Logged in as HRMS admin (amit); a published opening has applicants → Open Recruitment &gt; Pipeline Board → Click Reopen application on a rejected card → Confirm "Reopen this application?"</t>
  </si>
  <si>
    <t>"Application reopened"</t>
  </si>
  <si>
    <t>TC-REC-330</t>
  </si>
  <si>
    <t>Stage history per card</t>
  </si>
  <si>
    <t xml:space="preserve">1. Open Recruitment &gt; Pipeline Board
2. Click Stage history on a card
3. Compare the screen with the expected result</t>
  </si>
  <si>
    <t>Logged in as HRMS admin (amit); a published opening has applicants → Open Recruitment &gt; Pipeline Board → Click Stage history on a card → Compare the screen with the expected result</t>
  </si>
  <si>
    <t>Moves listed with actor, timestamp, from-stage, reason</t>
  </si>
  <si>
    <t>TC-REC-331</t>
  </si>
  <si>
    <t>Score computes match scores</t>
  </si>
  <si>
    <t xml:space="preserve">1. Open Recruitment &gt; Pipeline Board
2. Click Score
3. Compare the screen with the expected result</t>
  </si>
  <si>
    <t>Logged in as HRMS admin (amit); a published opening has applicants → Open Recruitment &gt; Pipeline Board → Click Score → Compare the screen with the expected result</t>
  </si>
  <si>
    <t>"Scored N candidate(s)"; scores shown on cards</t>
  </si>
  <si>
    <t>TC-REC-332</t>
  </si>
  <si>
    <t>Configure Stages: add and delete a stage</t>
  </si>
  <si>
    <t xml:space="preserve">1. Configure Stages
2. Add Stage "Technical Test"
3. Delete it and confirm "Delete this stage?"</t>
  </si>
  <si>
    <t>Logged in as HRMS admin (amit); a published opening has applicants → Configure Stages → Add Stage "Technical Test" → Delete it and confirm "Delete this stage?"</t>
  </si>
  <si>
    <t>Stage added then removed</t>
  </si>
  <si>
    <t>TC-REC-333</t>
  </si>
  <si>
    <t>Card stage follows interview and offer actions</t>
  </si>
  <si>
    <t xml:space="preserve">1. Schedule an interview, then record an accepted offer for a candidate
2. Refresh board
3. Compare the screen with the expected result</t>
  </si>
  <si>
    <t>Logged in as HRMS admin (amit); a published opening has applicants → Schedule an interview, then record an accepted offer for a candidate → Refresh board → Compare the screen with the expected result</t>
  </si>
  <si>
    <t>Card moves to Interview, then Hired</t>
  </si>
  <si>
    <t>TC-REC-334</t>
  </si>
  <si>
    <t>Read-only user cannot drag cards</t>
  </si>
  <si>
    <t xml:space="preserve">1. Log in as a read-only recruitment user
2. Try dragging a card
3. Compare the screen with the expected result</t>
  </si>
  <si>
    <t>Read-only recruitment role user exists → Log in as a read-only recruitment user → Try dragging a card → Compare the screen with the expected result</t>
  </si>
  <si>
    <t>Drag does nothing</t>
  </si>
  <si>
    <t>P-03</t>
  </si>
  <si>
    <t>TC-REC-335</t>
  </si>
  <si>
    <t>End-to-End</t>
  </si>
  <si>
    <t>Hiring lifecycle</t>
  </si>
  <si>
    <t>Requisition to accepted offer and pre-boarding invite</t>
  </si>
  <si>
    <t>Logged in as HRMS admin (amit); master data (department, designation, branch, approver) configured</t>
  </si>
  <si>
    <t xml:space="preserve">1. Raise and approve a requisition
2. Create and publish a job opening
3. Add a candidate (Candidates register)
4. Create a take-home assignment and a scorecard; send the assignment
5. Add a round and schedule the interview with the scorecard
6. Evaluate the assignment and save panel feedback (Completed)
7. Create offer &gt; submit &gt; approve &gt; send &gt; track Accepted
8. Send the pre-boarding invite</t>
  </si>
  <si>
    <t>Logged in as HRMS admin (amit); master data (department, designation, branch, approver) configured → Raise and approve a requisition → Create and publish a job opening → Add a candidate (Candidates register) → Create a take-home assignment and a scorecard; send the assignment → Add a round and schedule the interview with the scorecard → Evaluate the assignment and save panel feedback (Completed) → Create offer &gt; submit &gt; approve &gt; send &gt; track Accepted → Send the pre-boarding invite</t>
  </si>
  <si>
    <t>Every step persists; candidate stage APPLIED → INTERVIEW → OFFER → HIRED; Offer Acceptance shows "Invited expires DD-Mon"</t>
  </si>
  <si>
    <t>Linear 012–018 — raiseAndApproveRequisition, openingAndCandidate, takeHomeAssessment, interviewAndFeedback, offerApprovedSentAccepted, preboardingInvite</t>
  </si>
  <si>
    <t>TC-REC-336</t>
  </si>
  <si>
    <t>Candidate self-applies on the career page and is hired</t>
  </si>
  <si>
    <t xml:space="preserve">1. Publish an opening
2. Apply as a logged-out candidate
3. Interview and evaluate the self-applied candidate
4. Create, approve, send and accept the offer</t>
  </si>
  <si>
    <t>Logged in as HRMS admin (amit); master data (department, designation, branch, approver) configured → Publish an opening → Apply as a logged-out candidate → Interview and evaluate the self-applied candidate → Create, approve, send and accept the offer</t>
  </si>
  <si>
    <t>Self-applied candidate (Source Portal) reaches HIRED and Offer Acceptance</t>
  </si>
  <si>
    <t>Self-apply step automated (Linear 014); the rest of this path for a Portal candidate is manual</t>
  </si>
  <si>
    <t>TC-REC-337</t>
  </si>
  <si>
    <t>Recruitment hand-off to Onboarding and Core HR employee</t>
  </si>
  <si>
    <t xml:space="preserve">1. Hire a candidate and send the pre-boarding invite
2. Candidate submits pre-boarding details
3. Start Onboarding
4. Complete onboarding</t>
  </si>
  <si>
    <t>Logged in as HRMS admin (amit); master data (department, designation, branch, approver) configured → Hire a candidate and send the pre-boarding invite → Candidate submits pre-boarding details → Start Onboarding → Complete onboarding</t>
  </si>
  <si>
    <t>Candidate becomes an onboarding new hire and then a Core HR employee without re-keying data</t>
  </si>
  <si>
    <t>Needs the candidate to submit the e-mailed pre-boarding form</t>
  </si>
  <si>
    <t>TC-REC-338</t>
  </si>
  <si>
    <t>Rejected candidate flows to the talent pool</t>
  </si>
  <si>
    <t xml:space="preserve">1. Reject an application with a reason
2. Open Talent Pool &gt; Rejected
3. Archive and restore the candidate</t>
  </si>
  <si>
    <t>Logged in as HRMS admin (amit); master data (department, designation, branch, approver) configured → Reject an application with a reason → Open Talent Pool &gt; Rejected → Archive and restore the candidate</t>
  </si>
  <si>
    <t>Candidate listed under Rejected with the reason; archive/restore messages shown</t>
  </si>
  <si>
    <t>TC-REC-339</t>
  </si>
  <si>
    <t>Closing an opening stops new applications end-to-end</t>
  </si>
  <si>
    <t xml:space="preserve">1. Publish an opening and copy its job link
2. Close it
3. Apply through the copied link</t>
  </si>
  <si>
    <t>Logged in as HRMS admin (amit); master data (department, designation, branch, approver) configured → Publish an opening and copy its job link → Close it → Apply through the copied link</t>
  </si>
  <si>
    <t>"This job opening is no longer accepting applications."; opening off the career page</t>
  </si>
  <si>
    <t>TC-REC-340</t>
  </si>
  <si>
    <t>Cross-tenant record access is refused</t>
  </si>
  <si>
    <t xml:space="preserve">1. As a user of another tenant open a /candidate-info/g/&lt;guid&gt; of this tenant
2. Compare the screen with the expected result
3. Reload the page and confirm the result persists</t>
  </si>
  <si>
    <t>Logged in as HRMS admin (amit); master data (department, designation, branch, approver) configured → As a user of another tenant open a /candidate-info/g/&lt;guid&gt; of this tenant → Compare the screen with the expected result → Reload the page and confirm the result persists</t>
  </si>
  <si>
    <t>"Not Authorized" / "Invalid Submission"; no data shown</t>
  </si>
  <si>
    <t>Second organisation not available on the test tenant</t>
  </si>
  <si>
    <t>TC-REF-001</t>
  </si>
  <si>
    <t>Refer &amp; Earn page opens and renders correctly</t>
  </si>
  <si>
    <t>Logged in as an employee (amit or a test-created employee); Referral programme active; published openings exist</t>
  </si>
  <si>
    <t xml:space="preserve">1. Open Referral &gt; Refer &amp; Earn
2. Compare the screen with the expected result
3. Reload the page and confirm the result persists</t>
  </si>
  <si>
    <t>Logged in as an employee (amit or a test-created employee); Referral programme active; published openings exist → Open Referral &gt; Refer &amp; Earn → Compare the screen with the expected result → Reload the page and confirm the result persists</t>
  </si>
  <si>
    <t>Page loads; Refer a Candidate and My Referrals buttons, open-jobs list with Refer buttons, search "Search position, job code, department or branch", Department / Location / Employment type filters, pager "Page 1 of N"</t>
  </si>
  <si>
    <t>Linear 127 Refer &amp; Earn — page check</t>
  </si>
  <si>
    <t>TC-REF-002</t>
  </si>
  <si>
    <t>Open jobs list</t>
  </si>
  <si>
    <t>Open jobs list shows published openings</t>
  </si>
  <si>
    <t xml:space="preserve">1. Publish an opening on Job Board
2. Open Refer &amp; Earn
3. Compare the screen with the expected result</t>
  </si>
  <si>
    <t>Logged in as an employee (amit or a test-created employee); Referral programme active; published openings exist → Publish an opening on Job Board → Open Refer &amp; Earn → Compare the screen with the expected result</t>
  </si>
  <si>
    <t>The opening appears with position, job code, department, branch and a Refer button</t>
  </si>
  <si>
    <t>TC-REF-003</t>
  </si>
  <si>
    <t>Search jobs by job code</t>
  </si>
  <si>
    <t xml:space="preserve">1. Open Referral &gt; Refer &amp; Earn
2. Type a JOB code in the search
3. Compare the screen with the expected result</t>
  </si>
  <si>
    <t>Logged in as an employee (amit or a test-created employee); Referral programme active; published openings exist → Open Referral &gt; Refer &amp; Earn → Type a JOB code in the search → Compare the screen with the expected result</t>
  </si>
  <si>
    <t>Only that job is listed</t>
  </si>
  <si>
    <t>TC-REF-004</t>
  </si>
  <si>
    <t>Filter jobs by Department, Location and Employment type</t>
  </si>
  <si>
    <t xml:space="preserve">1. Open Referral &gt; Refer &amp; Earn
2. Pick SOFTWARE DEVELOPMENT, Office, Full Time
3. Compare the screen with the expected result</t>
  </si>
  <si>
    <t>Logged in as an employee (amit or a test-created employee); Referral programme active; published openings exist → Open Referral &gt; Refer &amp; Earn → Pick SOFTWARE DEVELOPMENT, Office, Full Time → Compare the screen with the expected result</t>
  </si>
  <si>
    <t>Only matching jobs listed; "All" options reset</t>
  </si>
  <si>
    <t>TC-REF-005</t>
  </si>
  <si>
    <t>No jobs match shows an empty state</t>
  </si>
  <si>
    <t xml:space="preserve">1. Open Referral &gt; Refer &amp; Earn
2. Search "zzzz"
3. Compare the screen with the expected result</t>
  </si>
  <si>
    <t>Logged in as an employee (amit or a test-created employee); Referral programme active; published openings exist → Open Referral &gt; Refer &amp; Earn → Search "zzzz" → Compare the screen with the expected result</t>
  </si>
  <si>
    <t>Friendly empty-state message; no error</t>
  </si>
  <si>
    <t>TC-REF-006</t>
  </si>
  <si>
    <t>Paginate the jobs list</t>
  </si>
  <si>
    <t xml:space="preserve">1. Open Referral &gt; Refer &amp; Earn
2. Click Next and Previous
3. Compare the screen with the expected result</t>
  </si>
  <si>
    <t>Logged in as an employee (amit or a test-created employee); Referral programme active; published openings exist → Open Referral &gt; Refer &amp; Earn → Click Next and Previous → Compare the screen with the expected result</t>
  </si>
  <si>
    <t>Page indicator updates; Previous disabled on page 1</t>
  </si>
  <si>
    <t>TC-REF-007</t>
  </si>
  <si>
    <t>Submit referral</t>
  </si>
  <si>
    <t>Submit a general referral with all mandatory fields</t>
  </si>
  <si>
    <t>Realistic name; &lt;first&gt;.&lt;last&gt;.&lt;stamp&gt;@example.com; "Former colleague at Infopark, Kochi"; sample-cv.pdf</t>
  </si>
  <si>
    <t xml:space="preserve">1. Click Refer a Candidate
2. Keep "Which role are you referring for?" = General referral (talent pool)
3. Enter First name, Last name, Email
4. Select Gender, phone code IND and Phone
5. Enter "How do you know the candidate?"
6. Upload Resume / CV
7. Click Submit Referral</t>
  </si>
  <si>
    <t>Logged in as an employee (amit or a test-created employee); Referral programme active; published openings exist → Click Refer a Candidate → Keep "Which role are you referring for?" = General referral (talent pool) → Enter First name, Last name, Email → Select Gender, phone code IND and Phone → Enter "How do you know the candidate?" → Upload Resume / CV → Click Submit Referral</t>
  </si>
  <si>
    <t>Redirects to /ess/referral/detail/&lt;id&gt;; referral shows status Submitted; it appears in My Referrals and on the Referral Dashboard</t>
  </si>
  <si>
    <t>TC-REF-008</t>
  </si>
  <si>
    <t>Refer a candidate for a specific open job</t>
  </si>
  <si>
    <t xml:space="preserve">1. Click Refer on an open job (or choose the job in "Which role are you referring for?")
2. Fill mandatory fields
3. Submit Referral</t>
  </si>
  <si>
    <t>Logged in as an employee (amit or a test-created employee); Referral programme active; published openings exist → Click Refer on an open job (or choose the job in "Which role are you referring for?") → Fill mandatory fields → Submit Referral</t>
  </si>
  <si>
    <t>Referral created already linked to that job (role shown on the referral)</t>
  </si>
  <si>
    <t>TC-REF-009</t>
  </si>
  <si>
    <t>Submit a referral with all fields</t>
  </si>
  <si>
    <t xml:space="preserve">1. Refer a Candidate
2. Fill mandatory fields + LinkedIn / portfolio URL and "Why are you recommending them?"
3. Submit Referral</t>
  </si>
  <si>
    <t>Logged in as an employee (amit or a test-created employee); Referral programme active; published openings exist → Refer a Candidate → Fill mandatory fields + LinkedIn / portfolio URL and "Why are you recommending them?" → Submit Referral</t>
  </si>
  <si>
    <t>Saved; optional values shown on the referral detail</t>
  </si>
  <si>
    <t>TC-REF-010</t>
  </si>
  <si>
    <t>Submit referral without First name</t>
  </si>
  <si>
    <t xml:space="preserve">1. Refer a Candidate
2. Fill all mandatory fields except First name
3. Click Submit Referral</t>
  </si>
  <si>
    <t>Logged in as an employee (amit or a test-created employee); Referral programme active; published openings exist → Refer a Candidate → Fill all mandatory fields except First name → Click Submit Referral</t>
  </si>
  <si>
    <t>Blocked; First name * flagged; no referral created</t>
  </si>
  <si>
    <t>TC-REF-011</t>
  </si>
  <si>
    <t>Submit referral without Email</t>
  </si>
  <si>
    <t xml:space="preserve">1. Refer a Candidate
2. Fill all mandatory fields except Email
3. Click Submit Referral</t>
  </si>
  <si>
    <t>Logged in as an employee (amit or a test-created employee); Referral programme active; published openings exist → Refer a Candidate → Fill all mandatory fields except Email → Click Submit Referral</t>
  </si>
  <si>
    <t>Blocked; Email * flagged; no referral created</t>
  </si>
  <si>
    <t>TC-REF-012</t>
  </si>
  <si>
    <t>Submit referral without Gender</t>
  </si>
  <si>
    <t xml:space="preserve">1. Refer a Candidate
2. Fill all mandatory fields except Gender
3. Click Submit Referral</t>
  </si>
  <si>
    <t>Logged in as an employee (amit or a test-created employee); Referral programme active; published openings exist → Refer a Candidate → Fill all mandatory fields except Gender → Click Submit Referral</t>
  </si>
  <si>
    <t>Blocked; Gender * flagged; no referral created</t>
  </si>
  <si>
    <t>TC-REF-013</t>
  </si>
  <si>
    <t>Submit referral without Phone</t>
  </si>
  <si>
    <t xml:space="preserve">1. Refer a Candidate
2. Fill all mandatory fields except Phone
3. Click Submit Referral</t>
  </si>
  <si>
    <t>Logged in as an employee (amit or a test-created employee); Referral programme active; published openings exist → Refer a Candidate → Fill all mandatory fields except Phone → Click Submit Referral</t>
  </si>
  <si>
    <t>Blocked; Phone * flagged; no referral created</t>
  </si>
  <si>
    <t>TC-REF-014</t>
  </si>
  <si>
    <t>Submit referral without How do you know the candidate?</t>
  </si>
  <si>
    <t xml:space="preserve">1. Refer a Candidate
2. Fill all mandatory fields except How do you know the candidate?
3. Click Submit Referral</t>
  </si>
  <si>
    <t>Logged in as an employee (amit or a test-created employee); Referral programme active; published openings exist → Refer a Candidate → Fill all mandatory fields except How do you know the candidate? → Click Submit Referral</t>
  </si>
  <si>
    <t>Blocked; How do you know the candidate? * flagged; no referral created</t>
  </si>
  <si>
    <t>TC-REF-015</t>
  </si>
  <si>
    <t>Submit referral without Resume / CV</t>
  </si>
  <si>
    <t xml:space="preserve">1. Refer a Candidate
2. Fill all mandatory fields except Resume / CV
3. Click Submit Referral</t>
  </si>
  <si>
    <t>Logged in as an employee (amit or a test-created employee); Referral programme active; published openings exist → Refer a Candidate → Fill all mandatory fields except Resume / CV → Click Submit Referral</t>
  </si>
  <si>
    <t>Blocked; Resume / CV * flagged; no referral created</t>
  </si>
  <si>
    <t>TC-REF-016</t>
  </si>
  <si>
    <t>Invalid e-mail format</t>
  </si>
  <si>
    <t xml:space="preserve">1. Refer a Candidate
2. Email "priya.sharma@"
3. Submit Referral</t>
  </si>
  <si>
    <t>Logged in as an employee (amit or a test-created employee); Referral programme active; published openings exist → Refer a Candidate → Email "priya.sharma@" → Submit Referral</t>
  </si>
  <si>
    <t>E-mail validation message; not saved</t>
  </si>
  <si>
    <t>TC-REF-017</t>
  </si>
  <si>
    <t>Phone with wrong length for +91</t>
  </si>
  <si>
    <t xml:space="preserve">1. Open Referral &gt; Refer &amp; Earn
2. Phone code IND, number 12345
3. Submit Referral</t>
  </si>
  <si>
    <t>Logged in as an employee (amit or a test-created employee); Referral programme active; published openings exist → Open Referral &gt; Refer &amp; Earn → Phone code IND, number 12345 → Submit Referral</t>
  </si>
  <si>
    <t>Phone validation message; not saved</t>
  </si>
  <si>
    <t>TC-REF-018</t>
  </si>
  <si>
    <t>Phone with letters</t>
  </si>
  <si>
    <t xml:space="preserve">1. Open Referral &gt; Refer &amp; Earn
2. Enter phone "98abc"
3. Compare the screen with the expected result</t>
  </si>
  <si>
    <t>Logged in as an employee (amit or a test-created employee); Referral programme active; published openings exist → Open Referral &gt; Refer &amp; Earn → Enter phone "98abc" → Compare the screen with the expected result</t>
  </si>
  <si>
    <t>Letters rejected</t>
  </si>
  <si>
    <t>TC-REF-019</t>
  </si>
  <si>
    <t>Digits or special characters in names</t>
  </si>
  <si>
    <t xml:space="preserve">1. Open Referral &gt; Refer &amp; Earn
2. First name "Priya2", Last name "@Sharma"
3. Submit Referral</t>
  </si>
  <si>
    <t>Logged in as an employee (amit or a test-created employee); Referral programme active; published openings exist → Open Referral &gt; Refer &amp; Earn → First name "Priya2", Last name "@Sharma" → Submit Referral</t>
  </si>
  <si>
    <t>Name validation message; not saved</t>
  </si>
  <si>
    <t>TC-REF-020</t>
  </si>
  <si>
    <t>Invalid LinkedIn / portfolio URL</t>
  </si>
  <si>
    <t xml:space="preserve">1. Open Referral &gt; Refer &amp; Earn
2. LinkedIn "not a url"
3. Submit Referral</t>
  </si>
  <si>
    <t>Logged in as an employee (amit or a test-created employee); Referral programme active; published openings exist → Open Referral &gt; Refer &amp; Earn → LinkedIn "not a url" → Submit Referral</t>
  </si>
  <si>
    <t>URL validation message or saved as typed (record behaviour)</t>
  </si>
  <si>
    <t>TC-REF-021</t>
  </si>
  <si>
    <t>Resume with an unsupported file type</t>
  </si>
  <si>
    <t xml:space="preserve">1. Open Referral &gt; Refer &amp; Earn
2. Upload a .exe as Resume / CV
3. Submit Referral</t>
  </si>
  <si>
    <t>Logged in as an employee (amit or a test-created employee); Referral programme active; published openings exist → Open Referral &gt; Refer &amp; Earn → Upload a .exe as Resume / CV → Submit Referral</t>
  </si>
  <si>
    <t>File-type validation; not saved</t>
  </si>
  <si>
    <t>TC-REF-022</t>
  </si>
  <si>
    <t>Resume larger than the allowed size</t>
  </si>
  <si>
    <t xml:space="preserve">1. Open Referral &gt; Refer &amp; Earn
2. Upload a 12 MB PDF
3. Compare the screen with the expected result</t>
  </si>
  <si>
    <t>Logged in as an employee (amit or a test-created employee); Referral programme active; published openings exist → Open Referral &gt; Refer &amp; Earn → Upload a 12 MB PDF → Compare the screen with the expected result</t>
  </si>
  <si>
    <t>Size validation; not saved</t>
  </si>
  <si>
    <t>TC-REF-023</t>
  </si>
  <si>
    <t>Duplicate referral of the same e-mail</t>
  </si>
  <si>
    <t xml:space="preserve">1. Refer a person
2. Refer the same e-mail again
3. Compare the screen with the expected result</t>
  </si>
  <si>
    <t>Logged in as an employee (amit or a test-created employee); Referral programme active; published openings exist → Refer a person → Refer the same e-mail again → Compare the screen with the expected result</t>
  </si>
  <si>
    <t>Refused with a duplicate message; only one referral exists</t>
  </si>
  <si>
    <t>TC-REF-024</t>
  </si>
  <si>
    <t>Referring an existing candidate</t>
  </si>
  <si>
    <t xml:space="preserve">1. Refer a person who is already in the Candidates register (same e-mail/phone)
2. Compare the screen with the expected result
3. Reload the page and confirm the result persists</t>
  </si>
  <si>
    <t>Logged in as an employee (amit or a test-created employee); Referral programme active; published openings exist → Refer a person who is already in the Candidates register (same e-mail/phone) → Compare the screen with the expected result → Reload the page and confirm the result persists</t>
  </si>
  <si>
    <t>Refused or flagged as an existing candidate</t>
  </si>
  <si>
    <t>TC-REF-025</t>
  </si>
  <si>
    <t>Self-referral is not allowed</t>
  </si>
  <si>
    <t xml:space="preserve">1. Refer yourself (your own e-mail)
2. Compare the screen with the expected result
3. Reload the page and confirm the result persists</t>
  </si>
  <si>
    <t>Logged in as an employee (amit or a test-created employee); Referral programme active; published openings exist → Refer yourself (your own e-mail) → Compare the screen with the expected result → Reload the page and confirm the result persists</t>
  </si>
  <si>
    <t>Refused with a message</t>
  </si>
  <si>
    <t>TC-REF-026</t>
  </si>
  <si>
    <t>Cancel the referral form</t>
  </si>
  <si>
    <t xml:space="preserve">1. Refer a Candidate
2. Type data
3. Cancel / close</t>
  </si>
  <si>
    <t>Logged in as an employee (amit or a test-created employee); Referral programme active; published openings exist → Refer a Candidate → Type data → Cancel / close</t>
  </si>
  <si>
    <t>Nothing saved</t>
  </si>
  <si>
    <t>TC-REF-027</t>
  </si>
  <si>
    <t>Double-click Submit Referral creates one referral</t>
  </si>
  <si>
    <t xml:space="preserve">1. Open Referral &gt; Refer &amp; Earn
2. Fill the form
3. Double-click Submit Referral</t>
  </si>
  <si>
    <t>Logged in as an employee (amit or a test-created employee); Referral programme active; published openings exist → Open Referral &gt; Refer &amp; Earn → Fill the form → Double-click Submit Referral</t>
  </si>
  <si>
    <t>Only one referral created</t>
  </si>
  <si>
    <t>TC-REF-028</t>
  </si>
  <si>
    <t>My Referrals</t>
  </si>
  <si>
    <t>My Referrals lists my submissions</t>
  </si>
  <si>
    <t xml:space="preserve">1. Submit a referral
2. Click My Referrals
3. Compare the screen with the expected result</t>
  </si>
  <si>
    <t>Logged in as an employee (amit or a test-created employee); Referral programme active; published openings exist → Submit a referral → Click My Referrals → Compare the screen with the expected result</t>
  </si>
  <si>
    <t>New referral listed with candidate, role, status Submitted and date</t>
  </si>
  <si>
    <t>TC-REF-029</t>
  </si>
  <si>
    <t>Open a referral detail from My Referrals</t>
  </si>
  <si>
    <t xml:space="preserve">1. Open Referral &gt; Refer &amp; Earn
2. Click a referral in My Referrals
3. Compare the screen with the expected result</t>
  </si>
  <si>
    <t>Logged in as an employee (amit or a test-created employee); Referral programme active; published openings exist → Open Referral &gt; Refer &amp; Earn → Click a referral in My Referrals → Compare the screen with the expected result</t>
  </si>
  <si>
    <t>Detail page /ess/referral/detail/&lt;id&gt; shows candidate, role, status, timeline and reward (if any)</t>
  </si>
  <si>
    <t>TC-REF-030</t>
  </si>
  <si>
    <t>Referrer sees status follow the hiring pipeline</t>
  </si>
  <si>
    <t xml:space="preserve">1. Open Referral &gt; Refer &amp; Earn
2. Admin accepts the referral and moves the candidate through interview and offer
3. Referrer opens My Referrals</t>
  </si>
  <si>
    <t>Logged in as an employee (amit or a test-created employee); Referral programme active; published openings exist → Open Referral &gt; Refer &amp; Earn → Admin accepts the referral and moves the candidate through interview and offer → Referrer opens My Referrals</t>
  </si>
  <si>
    <t>Status updates In Pipeline → Interviewing → Hired</t>
  </si>
  <si>
    <t>TC-REF-031</t>
  </si>
  <si>
    <t>Referrer sees the pending reward once hired</t>
  </si>
  <si>
    <t xml:space="preserve">1. Open Referral &gt; Refer &amp; Earn
2. After the referred candidate is Hired, open the referral detail
3. Compare the screen with the expected result</t>
  </si>
  <si>
    <t>Logged in as an employee (amit or a test-created employee); Referral programme active; published openings exist → Open Referral &gt; Refer &amp; Earn → After the referred candidate is Hired, open the referral detail → Compare the screen with the expected result</t>
  </si>
  <si>
    <t>Reward shown as Pending with the policy amount</t>
  </si>
  <si>
    <t>TC-REF-032</t>
  </si>
  <si>
    <t>Employee sees only their own referrals</t>
  </si>
  <si>
    <t>Two test-created employees with logins; each has referred someone</t>
  </si>
  <si>
    <t xml:space="preserve">1. Log in as test employee A
2. Open My Referrals
3. Compare the screen with the expected result</t>
  </si>
  <si>
    <t>Two test-created employees with logins; each has referred someone → Log in as test employee A → Open My Referrals → Compare the screen with the expected result</t>
  </si>
  <si>
    <t>Referrals submitted by other employees are not listed</t>
  </si>
  <si>
    <t>TC-REF-033</t>
  </si>
  <si>
    <t>Employee cannot open another employee's referral by URL</t>
  </si>
  <si>
    <t xml:space="preserve">1. As employee A open /ess/referral/detail/&lt;id of B's referral&gt;
2. Compare the screen with the expected result
3. Reload the page and confirm the result persists</t>
  </si>
  <si>
    <t>Logged in as an employee (amit or a test-created employee); Referral programme active; published openings exist → As employee A open /ess/referral/detail/&lt;id of B's referral&gt; → Compare the screen with the expected result → Reload the page and confirm the result persists</t>
  </si>
  <si>
    <t>Access refused / not found</t>
  </si>
  <si>
    <t>TC-REF-034</t>
  </si>
  <si>
    <t>Programme inactive hides Refer &amp; Earn submission</t>
  </si>
  <si>
    <t xml:space="preserve">1. With "Programme active" unticked in Reward Policy, open Refer &amp; Earn as an employee
2. Compare the screen with the expected result
3. Reload the page and confirm the result persists</t>
  </si>
  <si>
    <t>Logged in as an employee (amit or a test-created employee); Referral programme active; published openings exist → With "Programme active" unticked in Reward Policy, open Refer &amp; Earn as an employee → Compare the screen with the expected result → Reload the page and confirm the result persists</t>
  </si>
  <si>
    <t>Referral submission unavailable / programme shown as inactive</t>
  </si>
  <si>
    <t>Requires editing the shared Reward Policy</t>
  </si>
  <si>
    <t>TC-REF-035</t>
  </si>
  <si>
    <t>Logged-out access redirects to login</t>
  </si>
  <si>
    <t xml:space="preserve">1. Log out
2. Open /ess/referral
3. Compare the screen with the expected result</t>
  </si>
  <si>
    <t>Not logged in → Log out → Open /ess/referral → Compare the screen with the expected result</t>
  </si>
  <si>
    <t>TC-REF-036</t>
  </si>
  <si>
    <t>Admin list</t>
  </si>
  <si>
    <t>Referral Dashboard opens and renders correctly</t>
  </si>
  <si>
    <t>Logged in as HRMS admin (amit); referrals exist</t>
  </si>
  <si>
    <t xml:space="preserve">1. Open Recruitment &gt; Referral Dashboard
2. Compare the screen with the expected result
3. Reload the page and confirm the result persists</t>
  </si>
  <si>
    <t>Logged in as HRMS admin (amit); referrals exist → Open Recruitment &gt; Referral Dashboard → Compare the screen with the expected result → Reload the page and confirm the result persists</t>
  </si>
  <si>
    <t>Page loads; Reward Policy button, Status and Reward filters, search "Candidate, email or referrer", Search button, table with Manage per row, Previous/Next pager</t>
  </si>
  <si>
    <t>Linear 024 Referral Dashboard — page check</t>
  </si>
  <si>
    <t>TC-REF-037</t>
  </si>
  <si>
    <t>Search referrals by candidate e-mail</t>
  </si>
  <si>
    <t xml:space="preserve">1. Open Recruitment &gt; Referral Dashboard
2. Type the referred e-mail in the search
3. Press Enter / Search</t>
  </si>
  <si>
    <t>Logged in as HRMS admin (amit); referrals exist → Open Recruitment &gt; Referral Dashboard → Type the referred e-mail in the search → Press Enter / Search</t>
  </si>
  <si>
    <t>Only that referral listed</t>
  </si>
  <si>
    <t>TC-REF-038</t>
  </si>
  <si>
    <t>Search by referrer name</t>
  </si>
  <si>
    <t xml:space="preserve">1. Open Recruitment &gt; Referral Dashboard
2. Search "Amit"
3. Compare the screen with the expected result</t>
  </si>
  <si>
    <t>Logged in as HRMS admin (amit); referrals exist → Open Recruitment &gt; Referral Dashboard → Search "Amit" → Compare the screen with the expected result</t>
  </si>
  <si>
    <t>Referrals submitted by Amit listed</t>
  </si>
  <si>
    <t>TC-REF-039</t>
  </si>
  <si>
    <t>Search with no match</t>
  </si>
  <si>
    <t xml:space="preserve">1. Open Recruitment &gt; Referral Dashboard
2. Search "zzzz"
3. Compare the screen with the expected result</t>
  </si>
  <si>
    <t>Logged in as HRMS admin (amit); referrals exist → Open Recruitment &gt; Referral Dashboard → Search "zzzz" → Compare the screen with the expected result</t>
  </si>
  <si>
    <t>Empty state; no error</t>
  </si>
  <si>
    <t>TC-REF-040</t>
  </si>
  <si>
    <t>Filter by each status</t>
  </si>
  <si>
    <t xml:space="preserve">1. Open Recruitment &gt; Referral Dashboard
2. Choose Status Submitted, Under Review, In Pipeline, Shortlisted, Interviewing, Hired, Not Selected, On Hold, Withdrawn in turn
3. Compare the screen with the expected result</t>
  </si>
  <si>
    <t>Logged in as HRMS admin (amit); referrals exist → Open Recruitment &gt; Referral Dashboard → Choose Status Submitted, Under Review, In Pipeline, Shortlisted, Interviewing, Hired, Not Selected, On Hold, Withdrawn in turn → Compare the screen with the expected result</t>
  </si>
  <si>
    <t>List shows only referrals with that status</t>
  </si>
  <si>
    <t>TC-REF-041</t>
  </si>
  <si>
    <t>Filter by reward state</t>
  </si>
  <si>
    <t xml:space="preserve">1. Open Recruitment &gt; Referral Dashboard
2. Choose Reward Pending, Approved, Paid, Rejected in turn
3. Compare the screen with the expected result</t>
  </si>
  <si>
    <t>Logged in as HRMS admin (amit); referrals exist → Open Recruitment &gt; Referral Dashboard → Choose Reward Pending, Approved, Paid, Rejected in turn → Compare the screen with the expected result</t>
  </si>
  <si>
    <t>Only matching referrals listed</t>
  </si>
  <si>
    <t>TC-REF-042</t>
  </si>
  <si>
    <t>Combine status and reward filters</t>
  </si>
  <si>
    <t xml:space="preserve">1. Open Recruitment &gt; Referral Dashboard
2. Status Hired + Reward Pending
3. Compare the screen with the expected result</t>
  </si>
  <si>
    <t>Logged in as HRMS admin (amit); referrals exist → Open Recruitment &gt; Referral Dashboard → Status Hired + Reward Pending → Compare the screen with the expected result</t>
  </si>
  <si>
    <t>Only hired referrals with a pending reward are listed</t>
  </si>
  <si>
    <t>TC-REF-043</t>
  </si>
  <si>
    <t>Pagination</t>
  </si>
  <si>
    <t xml:space="preserve">1. Open Recruitment &gt; Referral Dashboard
2. Click Next / Previous
3. Compare the screen with the expected result</t>
  </si>
  <si>
    <t>Logged in as HRMS admin (amit); referrals exist → Open Recruitment &gt; Referral Dashboard → Click Next / Previous → Compare the screen with the expected result</t>
  </si>
  <si>
    <t>Page changes; indicator updates</t>
  </si>
  <si>
    <t>TC-REF-044</t>
  </si>
  <si>
    <t>Manage opens the referral detail</t>
  </si>
  <si>
    <t xml:space="preserve">1. Open Recruitment &gt; Referral Dashboard
2. Click Manage on a row
3. Compare the screen with the expected result</t>
  </si>
  <si>
    <t>Logged in as HRMS admin (amit); referrals exist → Open Recruitment &gt; Referral Dashboard → Click Manage on a row → Compare the screen with the expected result</t>
  </si>
  <si>
    <t>Navigates to /ess/referral/admin/detail/&lt;id&gt;</t>
  </si>
  <si>
    <t>TC-REF-045</t>
  </si>
  <si>
    <t>Reward Policy button opens the policy page</t>
  </si>
  <si>
    <t xml:space="preserve">1. Open Recruitment &gt; Referral Dashboard
2. Click Reward Policy
3. Compare the screen with the expected result</t>
  </si>
  <si>
    <t>Logged in as HRMS admin (amit); referrals exist → Open Recruitment &gt; Referral Dashboard → Click Reward Policy → Compare the screen with the expected result</t>
  </si>
  <si>
    <t>Navigates to /ess/referral/admin/policy</t>
  </si>
  <si>
    <t>TC-REF-046</t>
  </si>
  <si>
    <t>New referral appears with status Submitted</t>
  </si>
  <si>
    <t xml:space="preserve">1. Submit a referral as an employee
2. Search it on the dashboard
3. Compare the screen with the expected result</t>
  </si>
  <si>
    <t>Logged in as HRMS admin (amit); referrals exist → Submit a referral as an employee → Search it on the dashboard → Compare the screen with the expected result</t>
  </si>
  <si>
    <t>Row shows candidate, referrer, status Submitted, no reward</t>
  </si>
  <si>
    <t>TC-REF-047</t>
  </si>
  <si>
    <t>Staff employee cannot open the Referral Dashboard</t>
  </si>
  <si>
    <t xml:space="preserve">1. Log in as a Staff employee
2. Open /ess/referral/admin
3. Compare the screen with the expected result</t>
  </si>
  <si>
    <t>A test-created Staff employee with login exists → Log in as a Staff employee → Open /ess/referral/admin → Compare the screen with the expected result</t>
  </si>
  <si>
    <t>Access refused; admin menu hidden</t>
  </si>
  <si>
    <t>TC-REF-048</t>
  </si>
  <si>
    <t>Manage Referral</t>
  </si>
  <si>
    <t>Assign and accept</t>
  </si>
  <si>
    <t>Manage page shows the referral details</t>
  </si>
  <si>
    <t>Logged in as HRMS admin (amit); a Submitted general referral exists; an open SOFTWARE TESTER opening exists</t>
  </si>
  <si>
    <t xml:space="preserve">1. Open Recruitment &gt; Referral Dashboard, search the referral and click Manage
2. Open Manage on a referral
3. Compare the screen with the expected result</t>
  </si>
  <si>
    <t>Logged in as HRMS admin (amit); a Submitted general referral exists; an open SOFTWARE TESTER opening exists → Open Recruitment &gt; Referral Dashboard, search the referral and click Manage → Open Manage on a referral → Compare the screen with the expected result</t>
  </si>
  <si>
    <t>Candidate details, referrer, resume, status, "Choose an open job" selector with Assign, Accept &amp; add to pipeline, Reject, Update status, timeline and reward section</t>
  </si>
  <si>
    <t>/ess/referral/admin/detail/&lt;id&gt;</t>
  </si>
  <si>
    <t>TC-REF-049</t>
  </si>
  <si>
    <t>Assign a general referral to an open job</t>
  </si>
  <si>
    <t xml:space="preserve">1. Open Recruitment &gt; Referral Dashboard, search the referral and click Manage
2. Pick a JOB opening in "Choose an open job"
3. Click Assign</t>
  </si>
  <si>
    <t>Logged in as HRMS admin (amit); a Submitted general referral exists; an open SOFTWARE TESTER opening exists → Open Recruitment &gt; Referral Dashboard, search the referral and click Manage → Pick a JOB opening in "Choose an open job" → Click Assign</t>
  </si>
  <si>
    <t>Referral now carries the role (designation shown on the dashboard row)</t>
  </si>
  <si>
    <t>TC-REF-050</t>
  </si>
  <si>
    <t>Open-job list contains only open openings</t>
  </si>
  <si>
    <t xml:space="preserve">1. Open Recruitment &gt; Referral Dashboard, search the referral and click Manage
2. Expand "Choose an open job"
3. Compare the screen with the expected result</t>
  </si>
  <si>
    <t>Logged in as HRMS admin (amit); a Submitted general referral exists; an open SOFTWARE TESTER opening exists → Open Recruitment &gt; Referral Dashboard, search the referral and click Manage → Expand "Choose an open job" → Compare the screen with the expected result</t>
  </si>
  <si>
    <t>Only Open/published openings (JOB code + designation) are offered; closed ones absent</t>
  </si>
  <si>
    <t>TC-REF-051</t>
  </si>
  <si>
    <t>Assign without choosing a job</t>
  </si>
  <si>
    <t xml:space="preserve">1. Open Recruitment &gt; Referral Dashboard, search the referral and click Manage
2. Click Assign with "Choose an open job" selected
3. Compare the screen with the expected result</t>
  </si>
  <si>
    <t>Logged in as HRMS admin (amit); a Submitted general referral exists; an open SOFTWARE TESTER opening exists → Open Recruitment &gt; Referral Dashboard, search the referral and click Manage → Click Assign with "Choose an open job" selected → Compare the screen with the expected result</t>
  </si>
  <si>
    <t>TC-REF-052</t>
  </si>
  <si>
    <t>Accept before assigning a job is refused</t>
  </si>
  <si>
    <t xml:space="preserve">1. Open Recruitment &gt; Referral Dashboard, search the referral and click Manage
2. On an unassigned general referral click "Accept &amp; add to pipeline"
3. Compare the screen with the expected result</t>
  </si>
  <si>
    <t>Logged in as HRMS admin (amit); a Submitted general referral exists; an open SOFTWARE TESTER opening exists → Open Recruitment &gt; Referral Dashboard, search the referral and click Manage → On an unassigned general referral click "Accept &amp; add to pipeline" → Compare the screen with the expected result</t>
  </si>
  <si>
    <t>Popup "Assign this referral to an open job…"; not added to the pipeline</t>
  </si>
  <si>
    <t>TC-REF-053</t>
  </si>
  <si>
    <t>Accept &amp; add to pipeline</t>
  </si>
  <si>
    <t xml:space="preserve">1. Open Recruitment &gt; Referral Dashboard, search the referral and click Manage
2. Assign a job
3. Click "Accept &amp; add to pipeline"</t>
  </si>
  <si>
    <t>Logged in as HRMS admin (amit); a Submitted general referral exists; an open SOFTWARE TESTER opening exists → Open Recruitment &gt; Referral Dashboard, search the referral and click Manage → Assign a job → Click "Accept &amp; add to pipeline"</t>
  </si>
  <si>
    <t>Popup "Referral accepted and added to the recruitment pipeline"; dashboard status In Pipeline; candidate in the Candidates register with Source Referral, Stage APPLIED</t>
  </si>
  <si>
    <t>TC-REF-054</t>
  </si>
  <si>
    <t>Accepted referral can be scheduled for interview</t>
  </si>
  <si>
    <t xml:space="preserve">1. Accept a referral
2. Schedule an interview for the candidate on that opening
3. Compare the screen with the expected result</t>
  </si>
  <si>
    <t>Logged in as HRMS admin (amit); a Submitted general referral exists; an open SOFTWARE TESTER opening exists → Accept a referral → Schedule an interview for the candidate on that opening → Compare the screen with the expected result</t>
  </si>
  <si>
    <t>Referred candidate offered in the schedule form; interview booked</t>
  </si>
  <si>
    <t>TC-REF-055</t>
  </si>
  <si>
    <t>Reject a referral</t>
  </si>
  <si>
    <t xml:space="preserve">1. Click Reject
2. Enter reason
3. Confirm</t>
  </si>
  <si>
    <t>Logged in as HRMS admin (amit); a Submitted general referral exists; an open SOFTWARE TESTER opening exists → Click Reject → Enter reason → Confirm</t>
  </si>
  <si>
    <t>Status Not Selected; referrer sees the status; no reward</t>
  </si>
  <si>
    <t>TC-REF-056</t>
  </si>
  <si>
    <t>Reject without a reason</t>
  </si>
  <si>
    <t xml:space="preserve">1. Click Reject
2. Leave reason empty
3. Confirm</t>
  </si>
  <si>
    <t>Logged in as HRMS admin (amit); a Submitted general referral exists; an open SOFTWARE TESTER opening exists → Click Reject → Leave reason empty → Confirm</t>
  </si>
  <si>
    <t>Blocked (or record that a reason is optional)</t>
  </si>
  <si>
    <t>TC-REF-057</t>
  </si>
  <si>
    <t>Accept an already-accepted referral</t>
  </si>
  <si>
    <t xml:space="preserve">1. Open Recruitment &gt; Referral Dashboard, search the referral and click Manage
2. Open an In Pipeline referral
3. Compare the screen with the expected result</t>
  </si>
  <si>
    <t>Logged in as HRMS admin (amit); a Submitted general referral exists; an open SOFTWARE TESTER opening exists → Open Recruitment &gt; Referral Dashboard, search the referral and click Manage → Open an In Pipeline referral → Compare the screen with the expected result</t>
  </si>
  <si>
    <t>Accept &amp; add to pipeline is hidden/disabled; no duplicate candidate</t>
  </si>
  <si>
    <t>TC-REF-058</t>
  </si>
  <si>
    <t>Status and timeline</t>
  </si>
  <si>
    <t>Update status manually on an unlinked referral</t>
  </si>
  <si>
    <t xml:space="preserve">1. Click Update status
2. Choose Under Review
3. Save</t>
  </si>
  <si>
    <t>Logged in as HRMS admin (amit); a Submitted general referral exists; an open SOFTWARE TESTER opening exists → Click Update status → Choose Under Review → Save</t>
  </si>
  <si>
    <t>Status Under Review; timeline entry added</t>
  </si>
  <si>
    <t>TC-REF-059</t>
  </si>
  <si>
    <t>Linked referral status follows the ATS stage</t>
  </si>
  <si>
    <t xml:space="preserve">1. Open Recruitment &gt; Referral Dashboard, search the referral and click Manage
2. On an In Pipeline referral set Update status manually
3. Then move the candidate forward (interview evaluation)</t>
  </si>
  <si>
    <t>Logged in as HRMS admin (amit); a Submitted general referral exists; an open SOFTWARE TESTER opening exists → Open Recruitment &gt; Referral Dashboard, search the referral and click Manage → On an In Pipeline referral set Update status manually → Then move the candidate forward (interview evaluation)</t>
  </si>
  <si>
    <t>Next "Pipeline update" overwrites the manual status with the ATS stage (e.g. Interviewing)</t>
  </si>
  <si>
    <t>Proven: manual status is overwritten for linked referrals</t>
  </si>
  <si>
    <t>TC-REF-060</t>
  </si>
  <si>
    <t>Status becomes Hired when the offer is accepted</t>
  </si>
  <si>
    <t xml:space="preserve">1. Interview, offer, approve, send and accept for the referred candidate
2. Open the dashboard
3. Compare the screen with the expected result</t>
  </si>
  <si>
    <t>Logged in as HRMS admin (amit); a Submitted general referral exists; an open SOFTWARE TESTER opening exists → Interview, offer, approve, send and accept for the referred candidate → Open the dashboard → Compare the screen with the expected result</t>
  </si>
  <si>
    <t>Referral status Hired</t>
  </si>
  <si>
    <t>TC-REF-061</t>
  </si>
  <si>
    <t>Timeline records each change</t>
  </si>
  <si>
    <t xml:space="preserve">1. Open Recruitment &gt; Referral Dashboard, search the referral and click Manage
2. Open the timeline after assign, accept and pipeline moves
3. Compare the screen with the expected result</t>
  </si>
  <si>
    <t>Logged in as HRMS admin (amit); a Submitted general referral exists; an open SOFTWARE TESTER opening exists → Open Recruitment &gt; Referral Dashboard, search the referral and click Manage → Open the timeline after assign, accept and pipeline moves → Compare the screen with the expected result</t>
  </si>
  <si>
    <t>Entries for Submitted, Assigned, Accepted, each Pipeline update with time and actor</t>
  </si>
  <si>
    <t>TC-REF-062</t>
  </si>
  <si>
    <t>Withdrawn / On Hold statuses</t>
  </si>
  <si>
    <t xml:space="preserve">1. Open Recruitment &gt; Referral Dashboard, search the referral and click Manage
2. Update status to On Hold, then Withdrawn
3. Compare the screen with the expected result</t>
  </si>
  <si>
    <t>Logged in as HRMS admin (amit); a Submitted general referral exists; an open SOFTWARE TESTER opening exists → Open Recruitment &gt; Referral Dashboard, search the referral and click Manage → Update status to On Hold, then Withdrawn → Compare the screen with the expected result</t>
  </si>
  <si>
    <t>Statuses saved and filterable on the dashboard</t>
  </si>
  <si>
    <t>TC-REF-063</t>
  </si>
  <si>
    <t>Referral rejected in the ATS shows Not Selected</t>
  </si>
  <si>
    <t xml:space="preserve">1. Reject the referred candidate's application in the pipeline
2. Compare the screen with the expected result
3. Reload the page and confirm the result persists</t>
  </si>
  <si>
    <t>Logged in as HRMS admin (amit); a Submitted general referral exists; an open SOFTWARE TESTER opening exists → Reject the referred candidate's application in the pipeline → Compare the screen with the expected result → Reload the page and confirm the result persists</t>
  </si>
  <si>
    <t>Referral status Not Selected; no reward raised</t>
  </si>
  <si>
    <t>TC-REF-064</t>
  </si>
  <si>
    <t>Reward lifecycle</t>
  </si>
  <si>
    <t>Hired referral auto-raises a Pending reward</t>
  </si>
  <si>
    <t>Logged in as HRMS admin (amit); a referred candidate has been Hired</t>
  </si>
  <si>
    <t xml:space="preserve">1. Hire the referred candidate (offer Accepted)
2. Search the referral on the dashboard
3. Compare the screen with the expected result</t>
  </si>
  <si>
    <t>Logged in as HRMS admin (amit); a referred candidate has been Hired → Hire the referred candidate (offer Accepted) → Search the referral on the dashboard → Compare the screen with the expected result</t>
  </si>
  <si>
    <t>Row shows Hired and Reward Pending; amount = Reward Policy amount</t>
  </si>
  <si>
    <t>TC-REF-065</t>
  </si>
  <si>
    <t>Reward not raised before hire</t>
  </si>
  <si>
    <t xml:space="preserve">1. Check a referral that is In Pipeline / Interviewing
2. Compare the screen with the expected result
3. Reload the page and confirm the result persists</t>
  </si>
  <si>
    <t>Logged in as HRMS admin (amit); a referred candidate has been Hired → Check a referral that is In Pipeline / Interviewing → Compare the screen with the expected result → Reload the page and confirm the result persists</t>
  </si>
  <si>
    <t>No reward shown</t>
  </si>
  <si>
    <t>TC-REF-066</t>
  </si>
  <si>
    <t>Reward eligibility after probation</t>
  </si>
  <si>
    <t xml:space="preserve">1. Check the reward of a newly hired referral against "Reward after probation" and probation days
2. Compare the screen with the expected result
3. Reload the page and confirm the result persists</t>
  </si>
  <si>
    <t>Logged in as HRMS admin (amit); a referred candidate has been Hired → Check the reward of a newly hired referral against "Reward after probation" and probation days → Compare the screen with the expected result → Reload the page and confirm the result persists</t>
  </si>
  <si>
    <t>Reward stays Pending until the probation period has passed</t>
  </si>
  <si>
    <t>TC-REF-067</t>
  </si>
  <si>
    <t>Approve a pending reward</t>
  </si>
  <si>
    <t xml:space="preserve">1. Open Recruitment &gt; Referral Dashboard, search the referral and click Manage
2. Open the hired referral
3. Approve the reward</t>
  </si>
  <si>
    <t>Logged in as HRMS admin (amit); a referred candidate has been Hired → Open Recruitment &gt; Referral Dashboard, search the referral and click Manage → Open the hired referral → Approve the reward</t>
  </si>
  <si>
    <t>Reward Approved; Reward filter Approved lists it</t>
  </si>
  <si>
    <t>Approving referral rewards is deliberately never automated</t>
  </si>
  <si>
    <t>TC-REF-068</t>
  </si>
  <si>
    <t>Mark an approved reward as Paid</t>
  </si>
  <si>
    <t xml:space="preserve">1. Mark the reward Paid
2. Compare the screen with the expected result
3. Reload the page and confirm the result persists</t>
  </si>
  <si>
    <t>Logged in as HRMS admin (amit); a referred candidate has been Hired → Mark the reward Paid → Compare the screen with the expected result → Reload the page and confirm the result persists</t>
  </si>
  <si>
    <t>Reward Paid; referrer sees Paid</t>
  </si>
  <si>
    <t>Paying referral rewards is deliberately never automated</t>
  </si>
  <si>
    <t>TC-REF-069</t>
  </si>
  <si>
    <t>Reject a reward with a reason</t>
  </si>
  <si>
    <t xml:space="preserve">1. Reject a pending reward with remarks
2. Compare the screen with the expected result
3. Reload the page and confirm the result persists</t>
  </si>
  <si>
    <t>Logged in as HRMS admin (amit); a referred candidate has been Hired → Reject a pending reward with remarks → Compare the screen with the expected result → Reload the page and confirm the result persists</t>
  </si>
  <si>
    <t>Reward Rejected; referrer sees Rejected</t>
  </si>
  <si>
    <t>Reward approval actions are out of scope for automation</t>
  </si>
  <si>
    <t>TC-REF-070</t>
  </si>
  <si>
    <t>Paid reward cannot be changed back</t>
  </si>
  <si>
    <t xml:space="preserve">1. Open Recruitment &gt; Referral Dashboard, search the referral and click Manage
2. Try to change a Paid reward to Pending
3. Compare the screen with the expected result</t>
  </si>
  <si>
    <t>Logged in as HRMS admin (amit); a referred candidate has been Hired → Open Recruitment &gt; Referral Dashboard, search the referral and click Manage → Try to change a Paid reward to Pending → Compare the screen with the expected result</t>
  </si>
  <si>
    <t>Not allowed</t>
  </si>
  <si>
    <t>TC-REF-071</t>
  </si>
  <si>
    <t>Only one reward per hired referral</t>
  </si>
  <si>
    <t xml:space="preserve">1. Re-trigger the pipeline update for a hired referral
2. Compare the screen with the expected result
3. Reload the page and confirm the result persists</t>
  </si>
  <si>
    <t>Logged in as HRMS admin (amit); a referred candidate has been Hired → Re-trigger the pipeline update for a hired referral → Compare the screen with the expected result → Reload the page and confirm the result persists</t>
  </si>
  <si>
    <t>Still exactly one reward</t>
  </si>
  <si>
    <t>TC-REF-072</t>
  </si>
  <si>
    <t>Reward policy</t>
  </si>
  <si>
    <t>Reward Policy page opens and renders correctly</t>
  </si>
  <si>
    <t>Logged in as HRMS admin (amit); Reward Policy is SHARED tenant config</t>
  </si>
  <si>
    <t xml:space="preserve">1. Open Recruitment &gt; Reward Policy
2. Compare the screen with the expected result
3. Reload the page and confirm the result persists</t>
  </si>
  <si>
    <t>Logged in as HRMS admin (amit); Reward Policy is SHARED tenant config → Open Recruitment &gt; Reward Policy → Compare the screen with the expected result → Reload the page and confirm the result persists</t>
  </si>
  <si>
    <t>Page loads; Programme name *, Currency, Reward after probation *, Probation period (days), Programme terms &amp; conditions, "Programme active (visible to employees)" checkbox and Save Policy</t>
  </si>
  <si>
    <t>Linear 025 Reward Policy — page check</t>
  </si>
  <si>
    <t>TC-REF-073</t>
  </si>
  <si>
    <t>Current policy values are displayed</t>
  </si>
  <si>
    <t xml:space="preserve">1. Open Reward Policy
2. Compare the screen with the expected result
3. Reload the page and confirm the result persists</t>
  </si>
  <si>
    <t>Logged in as HRMS admin (amit); Reward Policy is SHARED tenant config → Open Reward Policy → Compare the screen with the expected result → Reload the page and confirm the result persists</t>
  </si>
  <si>
    <t>Saved programme name, currency, amount, probation days and terms are pre-filled</t>
  </si>
  <si>
    <t>TC-REF-074</t>
  </si>
  <si>
    <t>Edit and save the policy</t>
  </si>
  <si>
    <t xml:space="preserve">1. Change Reward after probation
2. Save Policy
3. Compare the screen with the expected result</t>
  </si>
  <si>
    <t>Logged in as HRMS admin (amit); Reward Policy is SHARED tenant config → Change Reward after probation → Save Policy → Compare the screen with the expected result</t>
  </si>
  <si>
    <t>Success message; new amount used for subsequent rewards</t>
  </si>
  <si>
    <t>Editing the shared Reward Policy is never automated</t>
  </si>
  <si>
    <t>TC-REF-075</t>
  </si>
  <si>
    <t>Programme name is mandatory</t>
  </si>
  <si>
    <t xml:space="preserve">1. Clear Programme name
2. Save Policy
3. Compare the screen with the expected result</t>
  </si>
  <si>
    <t>Logged in as HRMS admin (amit); Reward Policy is SHARED tenant config → Clear Programme name → Save Policy → Compare the screen with the expected result</t>
  </si>
  <si>
    <t>Blocked; field flagged</t>
  </si>
  <si>
    <t>TC-REF-076</t>
  </si>
  <si>
    <t>Reward after probation is mandatory</t>
  </si>
  <si>
    <t xml:space="preserve">1. Clear Reward after probation
2. Save Policy
3. Compare the screen with the expected result</t>
  </si>
  <si>
    <t>Logged in as HRMS admin (amit); Reward Policy is SHARED tenant config → Clear Reward after probation → Save Policy → Compare the screen with the expected result</t>
  </si>
  <si>
    <t>TC-REF-077</t>
  </si>
  <si>
    <t>Negative reward amount is rejected</t>
  </si>
  <si>
    <t xml:space="preserve">1. Open Recruitment &gt; Reward Policy
2. Reward after probation -500
3. Save Policy</t>
  </si>
  <si>
    <t>Logged in as HRMS admin (amit); Reward Policy is SHARED tenant config → Open Recruitment &gt; Reward Policy → Reward after probation -500 → Save Policy</t>
  </si>
  <si>
    <t>TC-REF-078</t>
  </si>
  <si>
    <t>Negative probation days is rejected</t>
  </si>
  <si>
    <t xml:space="preserve">1. Open Recruitment &gt; Reward Policy
2. Probation period -1
3. Save Policy</t>
  </si>
  <si>
    <t>Logged in as HRMS admin (amit); Reward Policy is SHARED tenant config → Open Recruitment &gt; Reward Policy → Probation period -1 → Save Policy</t>
  </si>
  <si>
    <t>TC-REF-079</t>
  </si>
  <si>
    <t>Deactivating the programme hides it from employees</t>
  </si>
  <si>
    <t xml:space="preserve">1. Untick Programme active
2. Save Policy
3. Open Refer &amp; Earn as an employee</t>
  </si>
  <si>
    <t>Logged in as HRMS admin (amit); Reward Policy is SHARED tenant config → Untick Programme active → Save Policy → Open Refer &amp; Earn as an employee</t>
  </si>
  <si>
    <t>Programme not offered to employees</t>
  </si>
  <si>
    <t>TC-REF-080</t>
  </si>
  <si>
    <t>Staff employee cannot open Reward Policy</t>
  </si>
  <si>
    <t xml:space="preserve">1. Log in as a Staff employee
2. Open /ess/referral/admin/policy
3. Compare the screen with the expected result</t>
  </si>
  <si>
    <t>A test-created Staff employee with login exists → Log in as a Staff employee → Open /ess/referral/admin/policy → Compare the screen with the expected result</t>
  </si>
  <si>
    <t>TC-REF-081</t>
  </si>
  <si>
    <t>Referral to hire</t>
  </si>
  <si>
    <t>Referral to hire with auto-raised reward</t>
  </si>
  <si>
    <t>Logged in as HRMS admin (amit) acting as referrer and recruiter; open SOFTWARE TESTER opening; approval workflow configured</t>
  </si>
  <si>
    <t xml:space="preserve">1. Submit a general referral on Refer &amp; Earn
2. Referral Dashboard &gt; Manage &gt; assign newest opening &gt; Accept &amp; add to pipeline
3. Add round, schedule interview, save Proceed evaluation
4. Create offer, submit, approve, send, track Accepted
5. Search the referral on the dashboard</t>
  </si>
  <si>
    <t>Logged in as HRMS admin (amit) acting as referrer and recruiter; open SOFTWARE TESTER opening; approval workflow configured → Submit a general referral on Refer &amp; Earn → Referral Dashboard &gt; Manage &gt; assign newest opening &gt; Accept &amp; add to pipeline → Add round, schedule interview, save Proceed evaluation → Create offer, submit, approve, send, track Accepted → Search the referral on the dashboard</t>
  </si>
  <si>
    <t>Referral In Pipeline → Interviewing → Hired; Reward Pending raised automatically (never approved/paid)</t>
  </si>
  <si>
    <t>TC-REF-082</t>
  </si>
  <si>
    <t>Referral rejected in recruitment ends without reward</t>
  </si>
  <si>
    <t xml:space="preserve">1. Submit and accept a referral
2. Reject the candidate in the pipeline
3. Compare the screen with the expected result</t>
  </si>
  <si>
    <t>Logged in as HRMS admin (amit) acting as referrer and recruiter; open SOFTWARE TESTER opening; approval workflow configured → Submit and accept a referral → Reject the candidate in the pipeline → Compare the screen with the expected result</t>
  </si>
  <si>
    <t>Referral Not Selected; no reward; referrer sees the status</t>
  </si>
  <si>
    <t>TC-REF-083</t>
  </si>
  <si>
    <t>Referral to reward payout</t>
  </si>
  <si>
    <t xml:space="preserve">1. Hire a referred candidate
2. Wait for probation
3. Approve and pay the reward</t>
  </si>
  <si>
    <t>Logged in as HRMS admin (amit) acting as referrer and recruiter; open SOFTWARE TESTER opening; approval workflow configured → Hire a referred candidate → Wait for probation → Approve and pay the reward</t>
  </si>
  <si>
    <t>Reward Pending → Approved → Paid; referrer sees Paid</t>
  </si>
  <si>
    <t>Approving/paying referral rewards is deliberately never automated</t>
  </si>
  <si>
    <t>TC-ONB-001</t>
  </si>
  <si>
    <t>Onboarding Templates page opens and renders the two-pane builder</t>
  </si>
  <si>
    <t xml:space="preserve">1. Log in to hrms-test.progbiz.in (company pbhrms) as stated in the preconditions
2. Open Onboarding &gt; Onboarding Templates
3. Wait for the loading indicator to clear</t>
  </si>
  <si>
    <t>Logged in as HRMS admin (amit) → Log in to hrms-test.progbiz.in (company pbhrms) as stated in the preconditions → Open Onboarding &gt; Onboarding Templates → Wait for the loading indicator to clear</t>
  </si>
  <si>
    <t>Page heading shown; left pane lists templates with "N stage(s) · N task(s)" counts and an Inactive badge where applicable; "New Template" button visible; no error or login redirect</t>
  </si>
  <si>
    <t>Linear 026 Onboarding Templates — page check</t>
  </si>
  <si>
    <t>TC-ONB-002</t>
  </si>
  <si>
    <t>Create a template with one stage and one task (all mandatory fields)</t>
  </si>
  <si>
    <t>Template Name: Software Tester Onboarding (Auto DD-Mon HH.MM.SS); Stage: Day 1 Orientation; Task: Collect signed offer letter and ID proof</t>
  </si>
  <si>
    <t xml:space="preserve">1. Click 'New Template'
2. Enter Template Name
3. Click 'Add Stage' and enter the stage name
4. Click 'Add Task'; enter Task name, Owner = Reporting Manager, Due (days) = 1, tick Required
5. Click 'Save Template'</t>
  </si>
  <si>
    <t>Logged in as HRMS admin (amit) → Click 'New Template' → Enter Template Name → Click 'Add Stage' and enter the stage name → Click 'Add Task'; enter Task name, Owner = Reporting Manager, Due (days) = 1, tick Required → Click 'Save Template'</t>
  </si>
  <si>
    <t>Template saved; it is listed in the left pane with "1 stage(s) · 1 task(s)"</t>
  </si>
  <si>
    <t>Linear 026 Onboarding Templates — createOnboardingTemplate</t>
  </si>
  <si>
    <t>FR-01</t>
  </si>
  <si>
    <t>TC-ONB-003</t>
  </si>
  <si>
    <t>Create a template with description, several stages and several tasks of each owner type</t>
  </si>
  <si>
    <t>Name: Frontend Developer Onboarding (Auto …); Description: Standard 3-stage pipeline for engineering hires</t>
  </si>
  <si>
    <t xml:space="preserve">1. Click 'New Template'
2. Enter Template Name and Description; leave Active ticked
3. Add stages Documentation, Verification, Provisioning
4. In each stage add tasks with owners Employee, Reporting Manager, Department (pick a department), Designation (pick a designation), Specific Employee (pick an employee)
5. Click 'Save Template'</t>
  </si>
  <si>
    <t>Logged in as HRMS admin (amit) → Click 'New Template' → Enter Template Name and Description; leave Active ticked → Add stages Documentation, Verification, Provisioning → In each stage add tasks with owners Employee, Reporting Manager, Department (pick a department), Designation (pick a designation), Specific Employee (pick an employee) → Click 'Save Template'</t>
  </si>
  <si>
    <t>Template saved; card shows 3 stage(s) and the correct total task count; re-opening shows every stage and task in the entered order with owners and references preserved</t>
  </si>
  <si>
    <t>FR-01, FR-05</t>
  </si>
  <si>
    <t>TC-ONB-004</t>
  </si>
  <si>
    <t>Stage order is assigned from row order starting at 1</t>
  </si>
  <si>
    <t>Stages: Joining Formalities, IT Setup, Induction</t>
  </si>
  <si>
    <t xml:space="preserve">1. Create a template with stages A, B, C added in that order
2. Save
3. Re-open the template</t>
  </si>
  <si>
    <t>Logged in as HRMS admin (amit) → Create a template with stages A, B, C added in that order → Save → Re-open the template</t>
  </si>
  <si>
    <t>Stages re-open in the same order A, B, C; the pipeline board shows them as columns in that order</t>
  </si>
  <si>
    <t>TC-ONB-005</t>
  </si>
  <si>
    <t>Defaults on a new template: Active ticked, Required ticked, Due (days) 0</t>
  </si>
  <si>
    <t xml:space="preserve">1. Click 'New Template'
2. Observe the Active checkbox
3. Add a stage and a task
4. Observe the Required checkbox and Due (days) value</t>
  </si>
  <si>
    <t>Logged in as HRMS admin (amit) → Click 'New Template' → Observe the Active checkbox → Add a stage and a task → Observe the Required checkbox and Due (days) value</t>
  </si>
  <si>
    <t>Active is ticked by default; new task row has Required ticked, Due (days) = 0, Owner defaulted (Reporting Manager)</t>
  </si>
  <si>
    <t>FR-01, 7.2</t>
  </si>
  <si>
    <t>TC-ONB-006</t>
  </si>
  <si>
    <t>Template validation</t>
  </si>
  <si>
    <t>Save with blank Template Name is refused</t>
  </si>
  <si>
    <t xml:space="preserve">1. Click 'New Template'
2. Leave Template Name blank
3. Add one stage with one task
4. Click 'Save Template'</t>
  </si>
  <si>
    <t>Logged in as HRMS admin (amit) → Click 'New Template' → Leave Template Name blank → Add one stage with one task → Click 'Save Template'</t>
  </si>
  <si>
    <t>Save refused with "Please enter a template name"; nothing is created</t>
  </si>
  <si>
    <t>FR-01, 10.1</t>
  </si>
  <si>
    <t>TC-ONB-007</t>
  </si>
  <si>
    <t>Template Name with spaces only is refused</t>
  </si>
  <si>
    <t>Template Name: "   "</t>
  </si>
  <si>
    <t xml:space="preserve">1. Click 'New Template'
2. Enter only spaces in Template Name
3. Add a stage and task
4. Save</t>
  </si>
  <si>
    <t>Logged in as HRMS admin (amit) → Click 'New Template' → Enter only spaces in Template Name → Add a stage and task → Save</t>
  </si>
  <si>
    <t>Save refused with "Please enter a template name"; no blank-named template appears</t>
  </si>
  <si>
    <t>7.2</t>
  </si>
  <si>
    <t>TC-ONB-008</t>
  </si>
  <si>
    <t>Template with zero stages cannot be saved</t>
  </si>
  <si>
    <t>Template Name: Empty Stage Test (Auto …)</t>
  </si>
  <si>
    <t xml:space="preserve">1. Click 'New Template'
2. Enter a Template Name only
3. Click 'Save Template'</t>
  </si>
  <si>
    <t>Logged in as HRMS admin (amit) → Click 'New Template' → Enter a Template Name only → Click 'Save Template'</t>
  </si>
  <si>
    <t>Save refused with "Please add at least one stage"; template is not listed</t>
  </si>
  <si>
    <t>Confirmed app behaviour: name-only template does not persist (correct)</t>
  </si>
  <si>
    <t>FR-01, BR-03</t>
  </si>
  <si>
    <t>TC-ONB-009</t>
  </si>
  <si>
    <t>Stage with a blank name is refused</t>
  </si>
  <si>
    <t xml:space="preserve">1. Click 'New Template'
2. Enter Template Name
3. Click 'Add Stage' and clear the stage name
4. Add a task
5. Save</t>
  </si>
  <si>
    <t>Logged in as HRMS admin (amit) → Click 'New Template' → Enter Template Name → Click 'Add Stage' and clear the stage name → Add a task → Save</t>
  </si>
  <si>
    <t>Save refused with "Every stage needs a name"</t>
  </si>
  <si>
    <t>10.1</t>
  </si>
  <si>
    <t>TC-ONB-010</t>
  </si>
  <si>
    <t>Stage with no tasks cannot be saved (empty stage)</t>
  </si>
  <si>
    <t xml:space="preserve">1. Click 'New Template'
2. Enter Template Name
3. Add a stage but no tasks
4. Save</t>
  </si>
  <si>
    <t>Logged in as HRMS admin (amit) → Click 'New Template' → Enter Template Name → Add a stage but no tasks → Save</t>
  </si>
  <si>
    <t>Template is not saved with an empty stage; a validation message is shown</t>
  </si>
  <si>
    <t>Proven behaviour: onboarding template cannot be saved with an empty stage</t>
  </si>
  <si>
    <t>TC-ONB-011</t>
  </si>
  <si>
    <t>Duplicate stage names within one template are refused (case-insensitive)</t>
  </si>
  <si>
    <t>Stages: Documentation / documentation</t>
  </si>
  <si>
    <t xml:space="preserve">1. Click 'New Template'
2. Enter Template Name
3. Add stage 'Documentation' and a second stage 'documentation', each with a task
4. Save</t>
  </si>
  <si>
    <t>Logged in as HRMS admin (amit) → Click 'New Template' → Enter Template Name → Add stage 'Documentation' and a second stage 'documentation', each with a task → Save</t>
  </si>
  <si>
    <t>Save refused: "Two stages are both named “Documentation”. Stage names must be unique within a template."; nothing saved</t>
  </si>
  <si>
    <t>BR-24, 7.2</t>
  </si>
  <si>
    <t>TC-ONB-012</t>
  </si>
  <si>
    <t>Blank task title is refused</t>
  </si>
  <si>
    <t xml:space="preserve">1. Click 'New Template'
2. Enter name and a stage
3. Click 'Add Task' and leave Task name blank
4. Save</t>
  </si>
  <si>
    <t>Logged in as HRMS admin (amit) → Click 'New Template' → Enter name and a stage → Click 'Add Task' and leave Task name blank → Save</t>
  </si>
  <si>
    <t>Save refused: "Every task in “&lt;Stage&gt;” needs a title. Fill it in or remove the empty row."</t>
  </si>
  <si>
    <t>TC-ONB-013</t>
  </si>
  <si>
    <t>Negative Due (days) is refused</t>
  </si>
  <si>
    <t>Due (days): -1</t>
  </si>
  <si>
    <t xml:space="preserve">1. Create a template with one stage and one task
2. Enter Due (days) = -1
3. Save</t>
  </si>
  <si>
    <t>Logged in as HRMS admin (amit) → Create a template with one stage and one task → Enter Due (days) = -1 → Save</t>
  </si>
  <si>
    <t>Save refused: "Due (days) for “&lt;Task&gt;” cannot be negative — it is counted forward from the joining date."</t>
  </si>
  <si>
    <t>BR-14, FR-06</t>
  </si>
  <si>
    <t>TC-ONB-014</t>
  </si>
  <si>
    <t>Due (days) boundary values 0 and large positive are accepted</t>
  </si>
  <si>
    <t>Due: 0, 90</t>
  </si>
  <si>
    <t xml:space="preserve">1. Create a template with two tasks: Due (days) 0 and 90
2. Save
3. Re-open</t>
  </si>
  <si>
    <t>Logged in as HRMS admin (amit) → Create a template with two tasks: Due (days) 0 and 90 → Save → Re-open</t>
  </si>
  <si>
    <t>Template saves; values persist as entered</t>
  </si>
  <si>
    <t>FR-06</t>
  </si>
  <si>
    <t>TC-ONB-015</t>
  </si>
  <si>
    <t>Due (days) rejects decimals / non-numeric input</t>
  </si>
  <si>
    <t>Due: 1.5, abc</t>
  </si>
  <si>
    <t xml:space="preserve">1. Add a task
2. Type 1.5 then "abc" into Due (days)
3. Save</t>
  </si>
  <si>
    <t>Logged in as HRMS admin (amit) → Add a task → Type 1.5 then "abc" into Due (days) → Save</t>
  </si>
  <si>
    <t>Non-integer values are rejected or not accepted by the number field; no corrupted due offset saved</t>
  </si>
  <si>
    <t>TC-ONB-016</t>
  </si>
  <si>
    <t>Owner = Department without a department chosen is refused</t>
  </si>
  <si>
    <t xml:space="preserve">1. Add a task
2. Set Owner = Department
3. Leave the department picker empty
4. Save</t>
  </si>
  <si>
    <t>Logged in as HRMS admin (amit) → Add a task → Set Owner = Department → Leave the department picker empty → Save</t>
  </si>
  <si>
    <t>Save refused: "Please choose the owning department for ‘&lt;Task&gt;’."</t>
  </si>
  <si>
    <t>TC-ONB-017</t>
  </si>
  <si>
    <t>Owner = Designation without a designation chosen is refused</t>
  </si>
  <si>
    <t xml:space="preserve">1. Add a task
2. Set Owner = Designation
3. Leave the designation picker empty
4. Save</t>
  </si>
  <si>
    <t>Logged in as HRMS admin (amit) → Add a task → Set Owner = Designation → Leave the designation picker empty → Save</t>
  </si>
  <si>
    <t>Save refused: "Please choose the owning designation for ‘&lt;Task&gt;’."</t>
  </si>
  <si>
    <t>TC-ONB-018</t>
  </si>
  <si>
    <t>Owner = Specific Employee without an employee chosen is refused</t>
  </si>
  <si>
    <t xml:space="preserve">1. Add a task
2. Set Owner = Specific Employee
3. Leave the employee picker empty
4. Save</t>
  </si>
  <si>
    <t>Logged in as HRMS admin (amit) → Add a task → Set Owner = Specific Employee → Leave the employee picker empty → Save</t>
  </si>
  <si>
    <t>Save refused: "Please choose the owning employee for ‘&lt;Task&gt;’."</t>
  </si>
  <si>
    <t>TC-ONB-019</t>
  </si>
  <si>
    <t>A rejected save leaves no partial stage or task behind</t>
  </si>
  <si>
    <t xml:space="preserve">1. Create a template with a valid stage and a second stage containing a blank task title
2. Save (refused)
3. Reload the page</t>
  </si>
  <si>
    <t>Logged in as HRMS admin (amit) → Create a template with a valid stage and a second stage containing a blank task title → Save (refused) → Reload the page</t>
  </si>
  <si>
    <t>No template, stage or task from the rejected save exists after reload (single transaction)</t>
  </si>
  <si>
    <t>TC-ONB-020</t>
  </si>
  <si>
    <t>Template Name maximum length 200 characters</t>
  </si>
  <si>
    <t>200 / 201 characters</t>
  </si>
  <si>
    <t xml:space="preserve">1. Open Onboarding Templates (/onboarding-templates)
2. Enter a 200-character name and save
3. Repeat with 201 characters</t>
  </si>
  <si>
    <t>Logged in as HRMS admin (amit) → Open Onboarding Templates (/onboarding-templates) → Enter a 200-character name and save → Repeat with 201 characters</t>
  </si>
  <si>
    <t>200 characters saves; 201 is blocked or trimmed with a message; no server error</t>
  </si>
  <si>
    <t>TC-ONB-021</t>
  </si>
  <si>
    <t>Template Name leading/trailing spaces are trimmed on save</t>
  </si>
  <si>
    <t xml:space="preserve">1. Enter "  QA Template  " as name with a valid stage/task
2. Save
3. Re-open</t>
  </si>
  <si>
    <t>Logged in as HRMS admin (amit) → Enter "  QA Template  " as name with a valid stage/task → Save → Re-open</t>
  </si>
  <si>
    <t>Saved name is "QA Template" without surrounding spaces</t>
  </si>
  <si>
    <t>TC-ONB-022</t>
  </si>
  <si>
    <t>Duplicate template</t>
  </si>
  <si>
    <t>Duplicate template name is warned/blocked</t>
  </si>
  <si>
    <t>Name: 2D Designer</t>
  </si>
  <si>
    <t xml:space="preserve">1. Note an existing template name (e.g. 2D Designer)
2. Create a new template with the same name and a valid stage/task
3. Save</t>
  </si>
  <si>
    <t>Logged in as HRMS admin (amit) → Note an existing template name (e.g. 2D Designer) → Create a new template with the same name and a valid stage/task → Save</t>
  </si>
  <si>
    <t>Expected: duplicate name refused with a message (as for Letters/Shifts)</t>
  </si>
  <si>
    <t>Known issue ON-1 (Medium): duplicate onboarding template names are accepted without warning (three "2D Designer" exist)</t>
  </si>
  <si>
    <t>TC-ONB-023</t>
  </si>
  <si>
    <t>Edit template</t>
  </si>
  <si>
    <t>Edit a template name and description</t>
  </si>
  <si>
    <t xml:space="preserve">1. Select an existing unused template
2. Change Template Name and Description
3. Save Template</t>
  </si>
  <si>
    <t>Logged in as HRMS admin (amit) → Select an existing unused template → Change Template Name and Description → Save Template</t>
  </si>
  <si>
    <t>Changes saved; left pane shows the new name; counts unchanged</t>
  </si>
  <si>
    <t>FR-02</t>
  </si>
  <si>
    <t>TC-ONB-024</t>
  </si>
  <si>
    <t>Add a stage and a task to an existing template</t>
  </si>
  <si>
    <t xml:space="preserve">1. Select a template
2. Click 'Add Stage', add a task
3. Save</t>
  </si>
  <si>
    <t>Logged in as HRMS admin (amit) → Select a template → Click 'Add Stage', add a task → Save</t>
  </si>
  <si>
    <t>Counts in the left pane increase by 1 stage and 1 task</t>
  </si>
  <si>
    <t>TC-ONB-025</t>
  </si>
  <si>
    <t>Remove a task from an existing template</t>
  </si>
  <si>
    <t xml:space="preserve">1. Select a template with 2+ tasks
2. Remove one task row
3. Save</t>
  </si>
  <si>
    <t>Logged in as HRMS admin (amit) → Select a template with 2+ tasks → Remove one task row → Save</t>
  </si>
  <si>
    <t>Task count drops by 1; already-running onboardings keep their materialised copy of the task</t>
  </si>
  <si>
    <t>TC-ONB-026</t>
  </si>
  <si>
    <t>Removing a stage used by a live joiner is refused</t>
  </si>
  <si>
    <t>An In Progress onboarding is on (or holds tasks in) a stage of the template</t>
  </si>
  <si>
    <t xml:space="preserve">1. Select that template
2. Delete the stage in use
3. Save</t>
  </si>
  <si>
    <t>An In Progress onboarding is on (or holds tasks in) a stage of the template → Select that template → Delete the stage in use → Save</t>
  </si>
  <si>
    <t>Save refused: "This stage is still in use by &lt;names&gt;. Complete or drop those onboardings first, or keep the stage and just empty it." (up to five names + count)</t>
  </si>
  <si>
    <t>FR-02, BR-25</t>
  </si>
  <si>
    <t>TC-ONB-027</t>
  </si>
  <si>
    <t>Delete a stage asks for confirmation</t>
  </si>
  <si>
    <t xml:space="preserve">1. Open Onboarding Templates (/onboarding-templates)
2. Select a template
3. Click the delete icon on a stage</t>
  </si>
  <si>
    <t>Logged in as HRMS admin (amit) → Open Onboarding Templates (/onboarding-templates) → Select a template → Click the delete icon on a stage</t>
  </si>
  <si>
    <t>A confirmation is shown before the stage row is removed</t>
  </si>
  <si>
    <t>Stage delete confirmation tracked in Jira HRMS-289</t>
  </si>
  <si>
    <t>TC-ONB-028</t>
  </si>
  <si>
    <t>Reorder stages and tasks</t>
  </si>
  <si>
    <t xml:space="preserve">1. Select a template with 3 stages
2. Move stage 3 above stage 2 (if reorder controls exist)
3. Save
4. Open the pipeline board</t>
  </si>
  <si>
    <t>Logged in as HRMS admin (amit) → Select a template with 3 stages → Move stage 3 above stage 2 (if reorder controls exist) → Save → Open the pipeline board</t>
  </si>
  <si>
    <t>New order persists and the board columns follow it</t>
  </si>
  <si>
    <t>TC-ONB-029</t>
  </si>
  <si>
    <t>Edits do not change tasks already materialised on running onboardings</t>
  </si>
  <si>
    <t>An onboarding is In Progress on template T</t>
  </si>
  <si>
    <t xml:space="preserve">1. Edit template T: rename a task and change its due days
2. Save
3. Open the joiner's workspace Overview tab</t>
  </si>
  <si>
    <t>An onboarding is In Progress on template T → Edit template T: rename a task and change its due days → Save → Open the joiner's workspace Overview tab</t>
  </si>
  <si>
    <t>The running joiner still shows the original task title and due date (independent copies)</t>
  </si>
  <si>
    <t>TC-ONB-030</t>
  </si>
  <si>
    <t>Activate / deactivate</t>
  </si>
  <si>
    <t>Untick Active hides the template from Start Onboarding and the board</t>
  </si>
  <si>
    <t xml:space="preserve">1. Select a template
2. Untick Active
3. Save
4. Open Onboarding Pipeline &gt; Start Onboarding &gt; Template dropdown
5. Check the board's template filter and columns</t>
  </si>
  <si>
    <t>Logged in as HRMS admin (amit) → Select a template → Untick Active → Save → Open Onboarding Pipeline &gt; Start Onboarding &gt; Template dropdown → Check the board's template filter and columns</t>
  </si>
  <si>
    <t>Template shows an "Inactive" badge in the left pane; it is not offered in the Template dropdown; its stage columns are not on the board</t>
  </si>
  <si>
    <t>4.1, 7.2</t>
  </si>
  <si>
    <t>TC-ONB-031</t>
  </si>
  <si>
    <t>Re-activate an inactive template</t>
  </si>
  <si>
    <t>An inactive template exists</t>
  </si>
  <si>
    <t xml:space="preserve">1. Select the inactive template in the left pane
2. Tick Active
3. Save
4. Open Start Onboarding</t>
  </si>
  <si>
    <t>An inactive template exists → Select the inactive template in the left pane → Tick Active → Save → Open Start Onboarding</t>
  </si>
  <si>
    <t>Inactive badge removed; template is offered again in the Template dropdown</t>
  </si>
  <si>
    <t>ON-2 / DEF-008 retested 2026-09: inactive templates stay visible with a badge (fixed)</t>
  </si>
  <si>
    <t>TC-ONB-032</t>
  </si>
  <si>
    <t>Delete template</t>
  </si>
  <si>
    <t>Delete an unused template</t>
  </si>
  <si>
    <t>A template with no onboarding exists</t>
  </si>
  <si>
    <t xml:space="preserve">1. Select the template
2. Click Delete
3. Confirm</t>
  </si>
  <si>
    <t>A template with no onboarding exists → Select the template → Click Delete → Confirm</t>
  </si>
  <si>
    <t>Template removed from the list (soft-deleted with its stages and tasks)</t>
  </si>
  <si>
    <t>FR-03</t>
  </si>
  <si>
    <t>TC-ONB-033</t>
  </si>
  <si>
    <t>Delete shows a confirmation dialog before removing the template</t>
  </si>
  <si>
    <t xml:space="preserve">1. Open Onboarding Templates (/onboarding-templates)
2. Select an unused template
3. Click Delete</t>
  </si>
  <si>
    <t>Logged in as HRMS admin (amit) → Open Onboarding Templates (/onboarding-templates) → Select an unused template → Click Delete</t>
  </si>
  <si>
    <t>A confirmation dialog appears; Cancel keeps the template</t>
  </si>
  <si>
    <t>Known issue ON-3 (Low): template delete has no confirmation — deletes immediately</t>
  </si>
  <si>
    <t>TC-ONB-034</t>
  </si>
  <si>
    <t>Delete a template in use by an active onboarding is blocked</t>
  </si>
  <si>
    <t>Template has an In Progress onboarding</t>
  </si>
  <si>
    <t xml:space="preserve">1. Open Onboarding Templates (/onboarding-templates)
2. Select the template
3. Click Delete</t>
  </si>
  <si>
    <t>Template has an In Progress onboarding → Open Onboarding Templates (/onboarding-templates) → Select the template → Click Delete</t>
  </si>
  <si>
    <t>Blocked: "This template is in use by an active onboarding and cannot be deleted…" recommending unticking Active instead</t>
  </si>
  <si>
    <t>FR-03, BR-25</t>
  </si>
  <si>
    <t>TC-ONB-035</t>
  </si>
  <si>
    <t>Template whose onboardings are all Dropped/Completed can be deleted</t>
  </si>
  <si>
    <t>Template used only by Dropped or Completed onboardings</t>
  </si>
  <si>
    <t xml:space="preserve">1. Select the template
2. Delete
3. Confirm</t>
  </si>
  <si>
    <t>Template used only by Dropped or Completed onboardings → Select the template → Delete → Confirm</t>
  </si>
  <si>
    <t>Delete allowed; historical onboardings remain viewable</t>
  </si>
  <si>
    <t>TC-ONB-036</t>
  </si>
  <si>
    <t>Template list</t>
  </si>
  <si>
    <t>Left pane shows stage/task counts per template</t>
  </si>
  <si>
    <t xml:space="preserve">1. Log in to hrms-test.progbiz.in (company pbhrms) as stated in the preconditions
2. Open the page
3. Compare a template card count with its contents</t>
  </si>
  <si>
    <t>Logged in as HRMS admin (amit) → Log in to hrms-test.progbiz.in (company pbhrms) as stated in the preconditions → Open the page → Compare a template card count with its contents</t>
  </si>
  <si>
    <t>Card counts equal the number of stages and tasks inside the template</t>
  </si>
  <si>
    <t>4.1</t>
  </si>
  <si>
    <t>TC-ONB-037</t>
  </si>
  <si>
    <t>Unsaved changes are discarded when switching template</t>
  </si>
  <si>
    <t xml:space="preserve">1. Select template A and edit its name without saving
2. Select template B
3. Select template A again</t>
  </si>
  <si>
    <t>Logged in as HRMS admin (amit) → Select template A and edit its name without saving → Select template B → Select template A again</t>
  </si>
  <si>
    <t>Either a "discard changes?" prompt is shown or A shows its saved name; no silent partial save</t>
  </si>
  <si>
    <t>TC-ONB-038</t>
  </si>
  <si>
    <t>Staff user cannot access Onboarding Templates</t>
  </si>
  <si>
    <t>Logged in as a Staff (Team Member) user without OnboardingTemplate</t>
  </si>
  <si>
    <t xml:space="preserve">1. Open Onboarding Templates (/onboarding-templates)
2. Check the sidebar for Onboarding &gt; Onboarding Templates
3. Navigate directly to /onboarding-templates</t>
  </si>
  <si>
    <t>Logged in as a Staff (Team Member) user without OnboardingTemplate → Open Onboarding Templates (/onboarding-templates) → Check the sidebar for Onboarding &gt; Onboarding Templates → Navigate directly to /onboarding-templates</t>
  </si>
  <si>
    <t>Menu entry hidden; direct URL shows access denied/redirect, no template data</t>
  </si>
  <si>
    <t>5.2</t>
  </si>
  <si>
    <t>TC-ONB-039</t>
  </si>
  <si>
    <t>Logged-out access to /onboarding-templates redirects to login</t>
  </si>
  <si>
    <t>Logged out</t>
  </si>
  <si>
    <t xml:space="preserve">1. Log in to hrms-test.progbiz.in (company pbhrms) as stated in the preconditions
2. Open https://hrms-test.progbiz.in/onboarding-templates directly
3. Verify the screen against the expected result</t>
  </si>
  <si>
    <t>Logged out → Log in to hrms-test.progbiz.in (company pbhrms) as stated in the preconditions → Open https://hrms-test.progbiz.in/onboarding-templates directly → Verify the screen against the expected result</t>
  </si>
  <si>
    <t>Redirected to the login page</t>
  </si>
  <si>
    <t>TC-ONB-040</t>
  </si>
  <si>
    <t>Onboarding Pipeline board opens with stage columns and trailing Probation / On Hold / Dropped</t>
  </si>
  <si>
    <t xml:space="preserve">1. Log in to hrms-test.progbiz.in (company pbhrms) as stated in the preconditions
2. Open Onboarding &gt; Onboarding Pipeline
3. Wait for loading to clear</t>
  </si>
  <si>
    <t>Logged in as HRMS admin (amit) → Log in to hrms-test.progbiz.in (company pbhrms) as stated in the preconditions → Open Onboarding &gt; Onboarding Pipeline → Wait for loading to clear</t>
  </si>
  <si>
    <t>Columns = distinct stage names of active templates in order, then Probation, On Hold, Dropped; 'Start Onboarding' button, search 'Search by joiner or template...' and 'All Templates' filter visible</t>
  </si>
  <si>
    <t>Linear 027 Onboarding Pipeline — page check</t>
  </si>
  <si>
    <t>TC-ONB-041</t>
  </si>
  <si>
    <t>Start onboarding</t>
  </si>
  <si>
    <t>Start onboarding for a hired candidate with all mandatory fields</t>
  </si>
  <si>
    <t>A candidate at Hired stage with Accepted offer and no live employee record; an active template with stages/tasks</t>
  </si>
  <si>
    <t>Template: Frontend Developer; Joining Date: next Monday</t>
  </si>
  <si>
    <t xml:space="preserve">1. Click 'Start Onboarding'
2. Select Template
3. Select New Hire (Hired Candidate)
4. Enter Joining Date
5. Click Start/Save</t>
  </si>
  <si>
    <t>A candidate at Hired stage with Accepted offer and no live employee record; an active template with stages/tasks → Click 'Start Onboarding' → Select Template → Select New Hire (Hired Candidate) → Enter Joining Date → Click Start/Save</t>
  </si>
  <si>
    <t>Success; a card appears in the first stage column with joiner, template, progress 0%, 0/N tasks and joining date; status In Progress</t>
  </si>
  <si>
    <t>Known issue DEF-001 (High): dates entered are shown one day earlier (timezone off-by-one) — joining date and orientation date</t>
  </si>
  <si>
    <t>FR-04</t>
  </si>
  <si>
    <t>TC-ONB-042</t>
  </si>
  <si>
    <t>Starting onboarding creates the Employee master, employee code and ERP login</t>
  </si>
  <si>
    <t>Onboarding just started for a hired candidate</t>
  </si>
  <si>
    <t xml:space="preserve">1. Open Core HR &gt; Employees and search the joiner
2. Open Onboarding Employees
3. Try logging in with username = employee code, password = employee code</t>
  </si>
  <si>
    <t>Onboarding just started for a hired candidate → Open Core HR &gt; Employees and search the joiner → Open Onboarding Employees → Try logging in with username = employee code, password = employee code</t>
  </si>
  <si>
    <t>Employee exists with an auto-generated code, status Pre-Employee, designation/department/reporting person from the offer; login works with the code</t>
  </si>
  <si>
    <t>FR-04, BR-05, BR-06</t>
  </si>
  <si>
    <t>TC-ONB-043</t>
  </si>
  <si>
    <t>Joining date is saved exactly as entered</t>
  </si>
  <si>
    <t>Hired candidate available</t>
  </si>
  <si>
    <t>Joining Date: 15-Nov-2026</t>
  </si>
  <si>
    <t xml:space="preserve">1. Open Onboarding Pipeline (/onboarding-pipeline)
2. Start Onboarding with Joining Date 15-Nov-2026
3. Check the card, the workspace header and Core HR employee Date of Joining</t>
  </si>
  <si>
    <t>Hired candidate available → Open Onboarding Pipeline (/onboarding-pipeline) → Start Onboarding with Joining Date 15-Nov-2026 → Check the card, the workspace header and Core HR employee Date of Joining</t>
  </si>
  <si>
    <t>All screens show 15-Nov-2026</t>
  </si>
  <si>
    <t>Known issue DEF-001 (High): dates entered are shown one day earlier (timezone off-by-one) — joining date and orientation date — release blocker until fixed</t>
  </si>
  <si>
    <t>7.1</t>
  </si>
  <si>
    <t>TC-ONB-044</t>
  </si>
  <si>
    <t>Checklist due dates = joining date + template due offset</t>
  </si>
  <si>
    <t>Template with tasks Due 0, 1 and 7 days</t>
  </si>
  <si>
    <t>Joining Date: 10-Nov-2026</t>
  </si>
  <si>
    <t xml:space="preserve">1. Open Onboarding Pipeline (/onboarding-pipeline)
2. Start Onboarding with Joining Date D
3. Open the joiner's workspace Overview tab</t>
  </si>
  <si>
    <t>Template with tasks Due 0, 1 and 7 days → Open Onboarding Pipeline (/onboarding-pipeline) → Start Onboarding with Joining Date D → Open the joiner's workspace Overview tab</t>
  </si>
  <si>
    <t>Due dates are 10-Nov, 11-Nov and 17-Nov-2026 respectively</t>
  </si>
  <si>
    <t>FR-06, BR-14</t>
  </si>
  <si>
    <t>TC-ONB-045</t>
  </si>
  <si>
    <t>Task owners resolve per owner type</t>
  </si>
  <si>
    <t>Template with one task per owner type; joiner has a reporting person</t>
  </si>
  <si>
    <t xml:space="preserve">1. Open Onboarding Pipeline (/onboarding-pipeline)
2. Start onboarding
3. Open the joiner's workspace Overview tab</t>
  </si>
  <si>
    <t>Template with one task per owner type; joiner has a reporting person → Open Onboarding Pipeline (/onboarding-pipeline) → Start onboarding → Open the joiner's workspace Overview tab</t>
  </si>
  <si>
    <t>Employee task → joiner; Reporting Manager → reporting person; Department/Designation → a logged-in employee of that dept/designation; Specific Employee → chosen person; unresolved → the user who started</t>
  </si>
  <si>
    <t>FR-05</t>
  </si>
  <si>
    <t>TC-ONB-046</t>
  </si>
  <si>
    <t>Start validation</t>
  </si>
  <si>
    <t>Start Onboarding without Template is refused</t>
  </si>
  <si>
    <t xml:space="preserve">1. Click 'Start Onboarding'
2. Leave Template '-- Select --'
3. Pick New Hire and Joining Date
4. Submit</t>
  </si>
  <si>
    <t>Logged in as HRMS admin (amit) → Click 'Start Onboarding' → Leave Template '-- Select --' → Pick New Hire and Joining Date → Submit</t>
  </si>
  <si>
    <t>"Please choose an onboarding template"; no onboarding created</t>
  </si>
  <si>
    <t>TC-ONB-047</t>
  </si>
  <si>
    <t>Start Onboarding without New Hire is refused</t>
  </si>
  <si>
    <t xml:space="preserve">1. Click 'Start Onboarding'
2. Pick Template and Joining Date
3. Leave New Hire '-- Select --'
4. Submit</t>
  </si>
  <si>
    <t>Logged in as HRMS admin (amit) → Click 'Start Onboarding' → Pick Template and Joining Date → Leave New Hire '-- Select --' → Submit</t>
  </si>
  <si>
    <t>Inline "Please choose the new hire" against the New Hire field</t>
  </si>
  <si>
    <t>TC-ONB-048</t>
  </si>
  <si>
    <t>Start Onboarding without Joining Date is refused</t>
  </si>
  <si>
    <t xml:space="preserve">1. Click 'Start Onboarding'
2. Pick Template and New Hire
3. Clear Joining Date
4. Submit</t>
  </si>
  <si>
    <t>Logged in as HRMS admin (amit) → Click 'Start Onboarding' → Pick Template and New Hire → Clear Joining Date → Submit</t>
  </si>
  <si>
    <t>"Please choose the joining date"; nothing created</t>
  </si>
  <si>
    <t>TC-ONB-049</t>
  </si>
  <si>
    <t>All three mandatory fields carry a required marker</t>
  </si>
  <si>
    <t xml:space="preserve">1. Log in to hrms-test.progbiz.in (company pbhrms) as stated in the preconditions
2. Open Onboarding Pipeline (/onboarding-pipeline)
3. Click 'Start Onboarding'</t>
  </si>
  <si>
    <t>Logged in as HRMS admin (amit) → Log in to hrms-test.progbiz.in (company pbhrms) as stated in the preconditions → Open Onboarding Pipeline (/onboarding-pipeline) → Click 'Start Onboarding'</t>
  </si>
  <si>
    <t>Template*, New Hire (Hired Candidate)*, Joining Date* show the asterisk</t>
  </si>
  <si>
    <t>TC-ONB-050</t>
  </si>
  <si>
    <t>Second live onboarding for the same joiner is refused</t>
  </si>
  <si>
    <t>Joiner already has an In Progress onboarding</t>
  </si>
  <si>
    <t xml:space="preserve">1. Click Start Onboarding
2. Check the New Hire list for the joiner
3. If present, select and submit</t>
  </si>
  <si>
    <t>Joiner already has an In Progress onboarding → Click Start Onboarding → Check the New Hire list for the joiner → If present, select and submit</t>
  </si>
  <si>
    <t>Joiner not offered, or refused with "An active onboarding already exists for this joiner."</t>
  </si>
  <si>
    <t>BR-02</t>
  </si>
  <si>
    <t>TC-ONB-051</t>
  </si>
  <si>
    <t>Template with no stages cannot be used to start</t>
  </si>
  <si>
    <t>A template without stages exists (legacy)</t>
  </si>
  <si>
    <t xml:space="preserve">1. Log in to hrms-test.progbiz.in (company pbhrms) as stated in the preconditions
2. Open Onboarding Pipeline (/onboarding-pipeline)
3. Start Onboarding with that template</t>
  </si>
  <si>
    <t>A template without stages exists (legacy) → Log in to hrms-test.progbiz.in (company pbhrms) as stated in the preconditions → Open Onboarding Pipeline (/onboarding-pipeline) → Start Onboarding with that template</t>
  </si>
  <si>
    <t>"This template has no stages configured."</t>
  </si>
  <si>
    <t>TC-ONB-052</t>
  </si>
  <si>
    <t>New Hire picker</t>
  </si>
  <si>
    <t>New Hire list shows only hired candidates without a live employee record</t>
  </si>
  <si>
    <t>Candidates at various ATS stages</t>
  </si>
  <si>
    <t xml:space="preserve">1. Open Onboarding Pipeline (/onboarding-pipeline)
2. Click 'Start Onboarding'
3. Open the New Hire (Hired Candidate) dropdown</t>
  </si>
  <si>
    <t>Candidates at various ATS stages → Open Onboarding Pipeline (/onboarding-pipeline) → Click 'Start Onboarding' → Open the New Hire (Hired Candidate) dropdown</t>
  </si>
  <si>
    <t>Only Hired candidates appear; candidates at Applied/Interview/Offer stages are absent</t>
  </si>
  <si>
    <t>TC-ONB-053</t>
  </si>
  <si>
    <t>Dropped joiners are offered again as "(Dropped - restart)"</t>
  </si>
  <si>
    <t>A joiner whose onboarding was Dropped</t>
  </si>
  <si>
    <t xml:space="preserve">1. Log in to hrms-test.progbiz.in (company pbhrms) as stated in the preconditions
2. Open the New Hire dropdown
3. Verify the screen against the expected result</t>
  </si>
  <si>
    <t>A joiner whose onboarding was Dropped → Log in to hrms-test.progbiz.in (company pbhrms) as stated in the preconditions → Open the New Hire dropdown → Verify the screen against the expected result</t>
  </si>
  <si>
    <t>Joiner listed with suffix "(Dropped - restart)" and can be onboarded again</t>
  </si>
  <si>
    <t>TC-ONB-054</t>
  </si>
  <si>
    <t>Exited former employee is offered as "(Rehire)" and reuses the employee record</t>
  </si>
  <si>
    <t>Hired candidate with an exited (Resigned/Terminated) employee record</t>
  </si>
  <si>
    <t xml:space="preserve">1. Open New Hire dropdown
2. Pick the "(Rehire)" entry and start onboarding
3. Check Core HR</t>
  </si>
  <si>
    <t>Hired candidate with an exited (Resigned/Terminated) employee record → Open New Hire dropdown → Pick the "(Rehire)" entry and start onboarding → Check Core HR</t>
  </si>
  <si>
    <t>No duplicate employee/code; existing record reset to Pre-Employee with the new joining date</t>
  </si>
  <si>
    <t>FR-12, BR-26</t>
  </si>
  <si>
    <t>TC-ONB-055</t>
  </si>
  <si>
    <t>Template dropdown lists only active templates</t>
  </si>
  <si>
    <t>One inactive template exists</t>
  </si>
  <si>
    <t xml:space="preserve">1. Log in to hrms-test.progbiz.in (company pbhrms) as stated in the preconditions
2. Open Start Onboarding &gt; Template dropdown
3. Verify the screen against the expected result</t>
  </si>
  <si>
    <t>One inactive template exists → Log in to hrms-test.progbiz.in (company pbhrms) as stated in the preconditions → Open Start Onboarding &gt; Template dropdown → Verify the screen against the expected result</t>
  </si>
  <si>
    <t>Inactive template not offered</t>
  </si>
  <si>
    <t>TC-ONB-056</t>
  </si>
  <si>
    <t>Board</t>
  </si>
  <si>
    <t>Search by joiner name filters the board</t>
  </si>
  <si>
    <t>Several joiners on the board</t>
  </si>
  <si>
    <t xml:space="preserve">1. Log in to hrms-test.progbiz.in (company pbhrms) as stated in the preconditions
2. Open Onboarding Pipeline (/onboarding-pipeline)
3. Type a joiner's name in 'Search by joiner or template...'</t>
  </si>
  <si>
    <t>Several joiners on the board → Log in to hrms-test.progbiz.in (company pbhrms) as stated in the preconditions → Open Onboarding Pipeline (/onboarding-pipeline) → Type a joiner's name in 'Search by joiner or template...'</t>
  </si>
  <si>
    <t>Only matching cards remain; clearing restores all</t>
  </si>
  <si>
    <t>4.2</t>
  </si>
  <si>
    <t>TC-ONB-057</t>
  </si>
  <si>
    <t>Search by template name filters the board</t>
  </si>
  <si>
    <t>Frontend Developer</t>
  </si>
  <si>
    <t xml:space="preserve">1. Log in to hrms-test.progbiz.in (company pbhrms) as stated in the preconditions
2. Open Onboarding Pipeline (/onboarding-pipeline)
3. Type a template name in the search box</t>
  </si>
  <si>
    <t>Logged in as HRMS admin (amit) → Log in to hrms-test.progbiz.in (company pbhrms) as stated in the preconditions → Open Onboarding Pipeline (/onboarding-pipeline) → Type a template name in the search box</t>
  </si>
  <si>
    <t>Only cards of that template remain</t>
  </si>
  <si>
    <t>TC-ONB-058</t>
  </si>
  <si>
    <t>Template filter hides other templates’ stage columns</t>
  </si>
  <si>
    <t xml:space="preserve">1. Log in to hrms-test.progbiz.in (company pbhrms) as stated in the preconditions
2. Open Onboarding Pipeline (/onboarding-pipeline)
3. Select one template in the 'All Templates' filter</t>
  </si>
  <si>
    <t>Logged in as HRMS admin (amit) → Log in to hrms-test.progbiz.in (company pbhrms) as stated in the preconditions → Open Onboarding Pipeline (/onboarding-pipeline) → Select one template in the 'All Templates' filter</t>
  </si>
  <si>
    <t>Only that template's cards and its stage columns (plus Probation/On Hold/Dropped) are shown</t>
  </si>
  <si>
    <t>TC-ONB-059</t>
  </si>
  <si>
    <t>Card shows joiner, template, progress bar, task counts and joining date</t>
  </si>
  <si>
    <t>At least one live joiner</t>
  </si>
  <si>
    <t xml:space="preserve">1. Log in to hrms-test.progbiz.in (company pbhrms) as stated in the preconditions
2. Open Onboarding Pipeline (/onboarding-pipeline)
3. Inspect a card</t>
  </si>
  <si>
    <t>At least one live joiner → Log in to hrms-test.progbiz.in (company pbhrms) as stated in the preconditions → Open Onboarding Pipeline (/onboarding-pipeline) → Inspect a card</t>
  </si>
  <si>
    <t>All five data points present and consistent with the workspace</t>
  </si>
  <si>
    <t>TC-ONB-060</t>
  </si>
  <si>
    <t>Empty search shows a no-results state</t>
  </si>
  <si>
    <t>zzzz-no-such-joiner</t>
  </si>
  <si>
    <t xml:space="preserve">1. Log in to hrms-test.progbiz.in (company pbhrms) as stated in the preconditions
2. Open Onboarding Pipeline (/onboarding-pipeline)
3. Search for "zzzz-no-such-joiner"</t>
  </si>
  <si>
    <t>Logged in as HRMS admin (amit) → Log in to hrms-test.progbiz.in (company pbhrms) as stated in the preconditions → Open Onboarding Pipeline (/onboarding-pipeline) → Search for "zzzz-no-such-joiner"</t>
  </si>
  <si>
    <t>No cards; a friendly empty message; no error</t>
  </si>
  <si>
    <t>TC-ONB-061</t>
  </si>
  <si>
    <t>Stage status matches task completion</t>
  </si>
  <si>
    <t>Joiner with 2/4 tasks complete in stage 1</t>
  </si>
  <si>
    <t xml:space="preserve">1. Open Onboarding Pipeline (/onboarding-pipeline)
2. Find the card
3. Compare stage status and progress</t>
  </si>
  <si>
    <t>Joiner with 2/4 tasks complete in stage 1 → Open Onboarding Pipeline (/onboarding-pipeline) → Find the card → Compare stage status and progress</t>
  </si>
  <si>
    <t>Stage shows In Progress at 50%; stage is not marked Completed and not advanced until required tasks are done</t>
  </si>
  <si>
    <t>Known issue ON-5 (Medium-High): stage status out of sync with tasks (aNU PB0104 "Completed" at 50% and force-advanced; Arjun/Sujith "InProgress" at 100%)</t>
  </si>
  <si>
    <t>BR-08</t>
  </si>
  <si>
    <t>TC-ONB-062</t>
  </si>
  <si>
    <t>Advance</t>
  </si>
  <si>
    <t>Manually advance a joiner after all required tasks are complete</t>
  </si>
  <si>
    <t>In Progress joiner, current stage required tasks complete, not on final stage</t>
  </si>
  <si>
    <t>Remark: All KYC documents verified; moving to Provisioning</t>
  </si>
  <si>
    <t xml:space="preserve">1. Open the card menu
2. Choose Advance/Next stage
3. Enter a remark
4. Confirm</t>
  </si>
  <si>
    <t>In Progress joiner, current stage required tasks complete, not on final stage → Open the card menu → Choose Advance/Next stage → Enter a remark → Confirm</t>
  </si>
  <si>
    <t>Card moves to the next column; Activity tab has an "Advance (manual)" row with actor and remark; next-stage owners notified</t>
  </si>
  <si>
    <t>FR-07</t>
  </si>
  <si>
    <t>TC-ONB-063</t>
  </si>
  <si>
    <t>Advance without a remark is refused</t>
  </si>
  <si>
    <t>Advanceable joiner</t>
  </si>
  <si>
    <t xml:space="preserve">1. Choose Advance
2. Leave remark blank (or spaces)
3. Confirm</t>
  </si>
  <si>
    <t>Advanceable joiner → Choose Advance → Leave remark blank (or spaces) → Confirm</t>
  </si>
  <si>
    <t>"Please enter a remark for this stage change."</t>
  </si>
  <si>
    <t>TC-ONB-064</t>
  </si>
  <si>
    <t>Advance with open required tasks is refused</t>
  </si>
  <si>
    <t>Joiner with pending required tasks in the current stage</t>
  </si>
  <si>
    <t xml:space="preserve">1. Choose Advance
2. Enter remark
3. Confirm</t>
  </si>
  <si>
    <t>Joiner with pending required tasks in the current stage → Choose Advance → Enter remark → Confirm</t>
  </si>
  <si>
    <t>"Complete all required tasks in “&lt;Stage&gt;” before advancing (N pending)."</t>
  </si>
  <si>
    <t>TC-ONB-065</t>
  </si>
  <si>
    <t>Advance from a document-gated stage with unverified documents is refused</t>
  </si>
  <si>
    <t>Stage flagged Require documents; a mandatory document missing</t>
  </si>
  <si>
    <t xml:space="preserve">1. Log in to hrms-test.progbiz.in (company pbhrms) as stated in the preconditions
2. Open Onboarding Pipeline (/onboarding-pipeline)
3. Choose Advance with remark</t>
  </si>
  <si>
    <t>Stage flagged Require documents; a mandatory document missing → Log in to hrms-test.progbiz.in (company pbhrms) as stated in the preconditions → Open Onboarding Pipeline (/onboarding-pipeline) → Choose Advance with remark</t>
  </si>
  <si>
    <t>"All required documents in “&lt;Stage&gt;” must be verified before advancing (N outstanding)."</t>
  </si>
  <si>
    <t>BR-09</t>
  </si>
  <si>
    <t>TC-ONB-066</t>
  </si>
  <si>
    <t>Advance past the final stage is refused</t>
  </si>
  <si>
    <t>Joiner on final stage</t>
  </si>
  <si>
    <t xml:space="preserve">1. Log in to hrms-test.progbiz.in (company pbhrms) as stated in the preconditions
2. Open Onboarding Pipeline (/onboarding-pipeline)
3. Choose Advance</t>
  </si>
  <si>
    <t>Joiner on final stage → Log in to hrms-test.progbiz.in (company pbhrms) as stated in the preconditions → Open Onboarding Pipeline (/onboarding-pipeline) → Choose Advance</t>
  </si>
  <si>
    <t>"This is the final stage. Use “Complete Onboarding” to finish."</t>
  </si>
  <si>
    <t>TC-ONB-067</t>
  </si>
  <si>
    <t>Auto-advance when the last required task of a stage is completed</t>
  </si>
  <si>
    <t>Joiner on stage 1 with one open required task</t>
  </si>
  <si>
    <t xml:space="preserve">1. Open Onboarding Pipeline (/onboarding-pipeline)
2. Owner marks the last required task done
3. Reload the pipeline</t>
  </si>
  <si>
    <t>Joiner on stage 1 with one open required task → Open Onboarding Pipeline (/onboarding-pipeline) → Owner marks the last required task done → Reload the pipeline</t>
  </si>
  <si>
    <t>Joiner moves to stage 2 automatically; Activity shows "Advance (auto)" by System</t>
  </si>
  <si>
    <t>FR-08, BR-11</t>
  </si>
  <si>
    <t>TC-ONB-068</t>
  </si>
  <si>
    <t>Auto-advance cascades through stages without required tasks but never past the final stage</t>
  </si>
  <si>
    <t>Template whose stage 2 has only optional tasks</t>
  </si>
  <si>
    <t xml:space="preserve">1. Open Onboarding Pipeline (/onboarding-pipeline)
2. Complete the last required task of stage 1
3. Reload</t>
  </si>
  <si>
    <t>Template whose stage 2 has only optional tasks → Open Onboarding Pipeline (/onboarding-pipeline) → Complete the last required task of stage 1 → Reload</t>
  </si>
  <si>
    <t>Joiner lands on stage 3 (or the final stage) — one history row per move — and not in Probation</t>
  </si>
  <si>
    <t>FR-08</t>
  </si>
  <si>
    <t>TC-ONB-069</t>
  </si>
  <si>
    <t>Hold / Resume</t>
  </si>
  <si>
    <t>Put an In Progress onboarding On Hold</t>
  </si>
  <si>
    <t>In Progress joiner</t>
  </si>
  <si>
    <t xml:space="preserve">1. Open the card menu
2. Choose Hold
3. Confirm (enter reason if asked)</t>
  </si>
  <si>
    <t>In Progress joiner → Open the card menu → Choose Hold → Confirm (enter reason if asked)</t>
  </si>
  <si>
    <t>Card moves to On Hold column; status On Hold; Activity "Hold" row; joiner listed on Hold &amp; Dropped Report</t>
  </si>
  <si>
    <t>Earlier DEF-002: Hold unreliable / UI desync — verify after reload</t>
  </si>
  <si>
    <t>FR-09</t>
  </si>
  <si>
    <t>TC-ONB-070</t>
  </si>
  <si>
    <t>Resume an On Hold onboarding</t>
  </si>
  <si>
    <t>On Hold joiner</t>
  </si>
  <si>
    <t xml:space="preserve">1. Log in to hrms-test.progbiz.in (company pbhrms) as stated in the preconditions
2. Open the card menu in On Hold column
3. Choose Resume</t>
  </si>
  <si>
    <t>On Hold joiner → Log in to hrms-test.progbiz.in (company pbhrms) as stated in the preconditions → Open the card menu in On Hold column → Choose Resume</t>
  </si>
  <si>
    <t>Status In Progress; card back in the same stage it held; tasks unchanged; Activity "Resume" row</t>
  </si>
  <si>
    <t>TC-ONB-071</t>
  </si>
  <si>
    <t>Advance and Complete are refused while On Hold</t>
  </si>
  <si>
    <t xml:space="preserve">1. Log in to hrms-test.progbiz.in (company pbhrms) as stated in the preconditions
2. Open Onboarding Pipeline (/onboarding-pipeline)
3. Attempt Advance / Move to Probation</t>
  </si>
  <si>
    <t>On Hold joiner → Log in to hrms-test.progbiz.in (company pbhrms) as stated in the preconditions → Open Onboarding Pipeline (/onboarding-pipeline) → Attempt Advance / Move to Probation</t>
  </si>
  <si>
    <t>Refused: "Only an in-progress onboarding can advance." / "This onboarding is on hold. Resume it before completing."</t>
  </si>
  <si>
    <t>9.3</t>
  </si>
  <si>
    <t>TC-ONB-072</t>
  </si>
  <si>
    <t>SLA reminders are not sent for a held onboarding</t>
  </si>
  <si>
    <t>On Hold joiner with overdue tasks</t>
  </si>
  <si>
    <t xml:space="preserve">1. Open Onboarding Pipeline (/onboarding-pipeline)
2. Wait for/trigger the hourly SLA job
3. Check task owners’ notifications</t>
  </si>
  <si>
    <t>On Hold joiner with overdue tasks → Open Onboarding Pipeline (/onboarding-pipeline) → Wait for/trigger the hourly SLA job → Check task owners’ notifications</t>
  </si>
  <si>
    <t>No due/overdue reminders or escalations for the held joiner</t>
  </si>
  <si>
    <t>BR-22</t>
  </si>
  <si>
    <t>TC-ONB-073</t>
  </si>
  <si>
    <t>Drop</t>
  </si>
  <si>
    <t>Drop an onboarding with a reason</t>
  </si>
  <si>
    <t>In Progress joiner with open tasks</t>
  </si>
  <si>
    <t>Reason: Candidate accepted another offer</t>
  </si>
  <si>
    <t xml:space="preserve">1. Open the card menu
2. Choose Drop
3. Enter reason
4. Leave Blacklist unticked
5. Confirm</t>
  </si>
  <si>
    <t>In Progress joiner with open tasks → Open the card menu → Choose Drop → Enter reason → Leave Blacklist unticked → Confirm</t>
  </si>
  <si>
    <t>Card in Dropped column; status Dropped; open tasks cancelled and leave owners’ queues; listed on Hold &amp; Dropped Report with reason and actor</t>
  </si>
  <si>
    <t>FR-10</t>
  </si>
  <si>
    <t>TC-ONB-074</t>
  </si>
  <si>
    <t>Drop without a reason is refused</t>
  </si>
  <si>
    <t xml:space="preserve">1. Choose Drop
2. Leave reason blank
3. Confirm</t>
  </si>
  <si>
    <t>In Progress joiner → Choose Drop → Leave reason blank → Confirm</t>
  </si>
  <si>
    <t>"Please enter the reason for dropping this onboarding."</t>
  </si>
  <si>
    <t>BR-21</t>
  </si>
  <si>
    <t>TC-ONB-075</t>
  </si>
  <si>
    <t>Drop with Blacklist ticked writes a blacklist entry</t>
  </si>
  <si>
    <t xml:space="preserve">1. Choose Drop
2. Enter reason
3. Tick Blacklist
4. Confirm
5. Open Onboarding &gt; Blacklisted Employees</t>
  </si>
  <si>
    <t>In Progress joiner → Choose Drop → Enter reason → Tick Blacklist → Confirm → Open Onboarding &gt; Blacklisted Employees</t>
  </si>
  <si>
    <t>Joiner appears on Blacklisted Employees with the drop reason and source "Onboarding Dropped"</t>
  </si>
  <si>
    <t>TC-ONB-076</t>
  </si>
  <si>
    <t>Dropped onboarding is terminal</t>
  </si>
  <si>
    <t>Dropped joiner</t>
  </si>
  <si>
    <t xml:space="preserve">1. Log in to hrms-test.progbiz.in (company pbhrms) as stated in the preconditions
2. Open the card in Dropped column
3. Look for Hold/Resume/Advance/Complete</t>
  </si>
  <si>
    <t>Dropped joiner → Log in to hrms-test.progbiz.in (company pbhrms) as stated in the preconditions → Open the card in Dropped column → Look for Hold/Resume/Advance/Complete</t>
  </si>
  <si>
    <t>No lifecycle actions offered; API attempts refused ("A dropped onboarding cannot be completed.")</t>
  </si>
  <si>
    <t>TC-ONB-077</t>
  </si>
  <si>
    <t>Drop an On Hold onboarding</t>
  </si>
  <si>
    <t xml:space="preserve">1. Choose Drop from the On Hold card
2. Enter reason
3. Confirm</t>
  </si>
  <si>
    <t>On Hold joiner → Choose Drop from the On Hold card → Enter reason → Confirm</t>
  </si>
  <si>
    <t>Status Dropped; history shows Hold then Dropped</t>
  </si>
  <si>
    <t>TC-ONB-078</t>
  </si>
  <si>
    <t>Complete</t>
  </si>
  <si>
    <t>Move to Probation from the final stage when all required items are closed</t>
  </si>
  <si>
    <t>Joiner on final stage, required tasks complete, pre-boarding approved (or never used)</t>
  </si>
  <si>
    <t xml:space="preserve">1. Open the final-stage card three-dot menu
2. Choose Move to Probation
3. Confirm</t>
  </si>
  <si>
    <t>Joiner on final stage, required tasks complete, pre-boarding approved (or never used) → Open the final-stage card three-dot menu → Choose Move to Probation → Confirm</t>
  </si>
  <si>
    <t>Instance Completed; card in Probation column with Start Probation; Welcome feed post; employee still Pre-Employee</t>
  </si>
  <si>
    <t>FR-11</t>
  </si>
  <si>
    <t>TC-ONB-079</t>
  </si>
  <si>
    <t>Move to Probation not offered while required tasks are open</t>
  </si>
  <si>
    <t>Joiner on final stage with an open required task</t>
  </si>
  <si>
    <t xml:space="preserve">1. Log in to hrms-test.progbiz.in (company pbhrms) as stated in the preconditions
2. Open the card three-dot menu
3. Verify the screen against the expected result</t>
  </si>
  <si>
    <t>Joiner on final stage with an open required task → Log in to hrms-test.progbiz.in (company pbhrms) as stated in the preconditions → Open the card three-dot menu → Verify the screen against the expected result</t>
  </si>
  <si>
    <t>Move to Probation hidden or refused: "N required checklist item(s) are still open…"</t>
  </si>
  <si>
    <t>TC-ONB-080</t>
  </si>
  <si>
    <t>Completion blocked while a pre-boarding submission is not approved</t>
  </si>
  <si>
    <t>Final stage, tasks done, submission Submitted/Sent back</t>
  </si>
  <si>
    <t xml:space="preserve">1. Log in to hrms-test.progbiz.in (company pbhrms) as stated in the preconditions
2. Open Onboarding Pipeline (/onboarding-pipeline)
3. Choose Move to Probation</t>
  </si>
  <si>
    <t>Final stage, tasks done, submission Submitted/Sent back → Log in to hrms-test.progbiz.in (company pbhrms) as stated in the preconditions → Open Onboarding Pipeline (/onboarding-pipeline) → Choose Move to Probation</t>
  </si>
  <si>
    <t>"Pre-boarding approval is pending for this joiner…"</t>
  </si>
  <si>
    <t>TC-ONB-081</t>
  </si>
  <si>
    <t>Completion before the final stage is refused</t>
  </si>
  <si>
    <t>Joiner on a middle stage</t>
  </si>
  <si>
    <t xml:space="preserve">1. Log in to hrms-test.progbiz.in (company pbhrms) as stated in the preconditions
2. Open Onboarding Pipeline (/onboarding-pipeline)
3. Attempt completion (if exposed)</t>
  </si>
  <si>
    <t>Joiner on a middle stage → Log in to hrms-test.progbiz.in (company pbhrms) as stated in the preconditions → Open Onboarding Pipeline (/onboarding-pipeline) → Attempt completion (if exposed)</t>
  </si>
  <si>
    <t>"This joiner is still at “&lt;Stage&gt;”. Advance through … to the final stage before completing."</t>
  </si>
  <si>
    <t>TC-ONB-082</t>
  </si>
  <si>
    <t>Start Probation from the Probation column</t>
  </si>
  <si>
    <t>Joiner in Probation column</t>
  </si>
  <si>
    <t xml:space="preserve">1. Click Start Probation on the card
2. Fill the probation start form (template/period)
3. Save
4. Open Probation Dashboard</t>
  </si>
  <si>
    <t>Joiner in Probation column → Click Start Probation on the card → Fill the probation start form (template/period) → Save → Open Probation Dashboard</t>
  </si>
  <si>
    <t>Employee status becomes Probation; joiner listed on Probation Dashboard; card offers View Probation</t>
  </si>
  <si>
    <t>9.1 step 9</t>
  </si>
  <si>
    <t>TC-ONB-083</t>
  </si>
  <si>
    <t>Open a joiner workspace from the card</t>
  </si>
  <si>
    <t>Live joiner</t>
  </si>
  <si>
    <t xml:space="preserve">1. Log in to hrms-test.progbiz.in (company pbhrms) as stated in the preconditions
2. Open Onboarding Pipeline (/onboarding-pipeline)
3. Click the joiner card</t>
  </si>
  <si>
    <t>Live joiner → Log in to hrms-test.progbiz.in (company pbhrms) as stated in the preconditions → Open Onboarding Pipeline (/onboarding-pipeline) → Click the joiner card</t>
  </si>
  <si>
    <t>/onboarding/&lt;guid&gt; opens: header (joiner, template, status, joining date, 360° link), pre-boarding banner, progress bar, tabs Overview/Documents/Provisioning/Induction/Activity</t>
  </si>
  <si>
    <t>4.3</t>
  </si>
  <si>
    <t>TC-ONB-084</t>
  </si>
  <si>
    <t>Pre-boarding banner reflects the submission state</t>
  </si>
  <si>
    <t>Joiners in states unsent / awaiting submission / awaiting approval / sent back</t>
  </si>
  <si>
    <t xml:space="preserve">1. Log in to hrms-test.progbiz.in (company pbhrms) as stated in the preconditions
2. Open each joiner workspace
3. Verify the screen against the expected result</t>
  </si>
  <si>
    <t>Joiners in states unsent / awaiting submission / awaiting approval / sent back → Log in to hrms-test.progbiz.in (company pbhrms) as stated in the preconditions → Open each joiner workspace → Verify the screen against the expected result</t>
  </si>
  <si>
    <t>Banner text matches the state and links to Pre-boarding Approvals</t>
  </si>
  <si>
    <t>TC-ONB-085</t>
  </si>
  <si>
    <t>Activity tab is immutable and shows every lifecycle move</t>
  </si>
  <si>
    <t>Joiner that was started, held, resumed and advanced</t>
  </si>
  <si>
    <t xml:space="preserve">1. Log in to hrms-test.progbiz.in (company pbhrms) as stated in the preconditions
2. Open Activity tab
3. Verify the screen against the expected result</t>
  </si>
  <si>
    <t>Joiner that was started, held, resumed and advanced → Log in to hrms-test.progbiz.in (company pbhrms) as stated in the preconditions → Open Activity tab → Verify the screen against the expected result</t>
  </si>
  <si>
    <t>Rows Started, Hold, Resume, Advance with from/to stage, actor ("System" for auto) and timestamp; no edit/delete controls</t>
  </si>
  <si>
    <t>FR-31</t>
  </si>
  <si>
    <t>TC-ONB-086</t>
  </si>
  <si>
    <t>Documents tab lists required documents with verification status (read-only)</t>
  </si>
  <si>
    <t>Template task naming a document type</t>
  </si>
  <si>
    <t xml:space="preserve">1. Log in to hrms-test.progbiz.in (company pbhrms) as stated in the preconditions
2. Open the Documents tab
3. Verify the screen against the expected result</t>
  </si>
  <si>
    <t>Template task naming a document type → Log in to hrms-test.progbiz.in (company pbhrms) as stated in the preconditions → Open the Documents tab → Verify the screen against the expected result</t>
  </si>
  <si>
    <t>Each required document with expiry and status (Pending/Verified); no edit controls</t>
  </si>
  <si>
    <t>4.8</t>
  </si>
  <si>
    <t>TC-ONB-087</t>
  </si>
  <si>
    <t>Upload a joiner document from the workspace</t>
  </si>
  <si>
    <t>Joiner workspace open</t>
  </si>
  <si>
    <t>aadhaar.pdf</t>
  </si>
  <si>
    <t xml:space="preserve">1. Upload a document file for a document type
2. Save
3. Upload a second version</t>
  </si>
  <si>
    <t>Joiner workspace open → Upload a document file for a document type → Save → Upload a second version</t>
  </si>
  <si>
    <t>First upload Pending/current; after second upload exactly one current version, earlier version kept</t>
  </si>
  <si>
    <t>FR-22, BR-15</t>
  </si>
  <si>
    <t>TC-ONB-088</t>
  </si>
  <si>
    <t>Document upload with neither file nor number is refused</t>
  </si>
  <si>
    <t xml:space="preserve">1. Log in to hrms-test.progbiz.in (company pbhrms) as stated in the preconditions
2. Open document upload
3. Submit empty</t>
  </si>
  <si>
    <t>Joiner workspace open → Log in to hrms-test.progbiz.in (company pbhrms) as stated in the preconditions → Open document upload → Submit empty</t>
  </si>
  <si>
    <t>"Please attach the document file or enter its number."</t>
  </si>
  <si>
    <t>TC-ONB-089</t>
  </si>
  <si>
    <t>Provisioning</t>
  </si>
  <si>
    <t>Add a system access record</t>
  </si>
  <si>
    <t>Joiner with an e-mail address</t>
  </si>
  <si>
    <t>System: Microsoft 365; Account: jane.doe@example.com</t>
  </si>
  <si>
    <t xml:space="preserve">1. Open Provisioning tab
2. Add access: System Name, Account ID, Credential Notes, Remark
3. Save</t>
  </si>
  <si>
    <t>Joiner with an e-mail address → Open Provisioning tab → Add access: System Name, Account ID, Credential Notes, Remark → Save</t>
  </si>
  <si>
    <t>Row listed (status Pending/Issued); joiner e-mailed best-effort; mail failure does not fail the save</t>
  </si>
  <si>
    <t>FR-23a</t>
  </si>
  <si>
    <t>TC-ONB-090</t>
  </si>
  <si>
    <t>System Name and Account ID are mandatory</t>
  </si>
  <si>
    <t>Provisioning tab</t>
  </si>
  <si>
    <t xml:space="preserve">1. Open Onboarding Pipeline (/onboarding-pipeline)
2. Add access with blank System Name, then blank Account ID
3. Save</t>
  </si>
  <si>
    <t>Provisioning tab → Open Onboarding Pipeline (/onboarding-pipeline) → Add access with blank System Name, then blank Account ID → Save</t>
  </si>
  <si>
    <t>Save refused for each missing field</t>
  </si>
  <si>
    <t>7.4</t>
  </si>
  <si>
    <t>TC-ONB-091</t>
  </si>
  <si>
    <t>Acknowledge then revoke a system access record</t>
  </si>
  <si>
    <t>Unacknowledged access row</t>
  </si>
  <si>
    <t>Reason: Account merged into the new tenant</t>
  </si>
  <si>
    <t xml:space="preserve">1. Open Onboarding Pipeline (/onboarding-pipeline)
2. Click Acknowledge
3. Then click Revoke and enter a reason</t>
  </si>
  <si>
    <t>Unacknowledged access row → Open Onboarding Pipeline (/onboarding-pipeline) → Click Acknowledge → Then click Revoke and enter a reason</t>
  </si>
  <si>
    <t>Acknowledged tick shown and button disappears; status Revoked with date; Revoke no longer offered</t>
  </si>
  <si>
    <t>FR-23b, FR-23c</t>
  </si>
  <si>
    <t>TC-ONB-092</t>
  </si>
  <si>
    <t>Induction</t>
  </si>
  <si>
    <t>Schedule an orientation event</t>
  </si>
  <si>
    <t>Confirmed employees at the joiner’s branch</t>
  </si>
  <si>
    <t>Day 1 Induction — HR policies; 15-Nov-2026 10:00; Training Room 2</t>
  </si>
  <si>
    <t xml:space="preserve">1. Open Induction tab
2. Add event: name, date, time, venue, link, expected attendees, facilitator, attendee
3. Save</t>
  </si>
  <si>
    <t>Confirmed employees at the joiner’s branch → Open Induction tab → Add event: name, date, time, venue, link, expected attendees, facilitator, attendee → Save</t>
  </si>
  <si>
    <t>Event listed; each facilitator/attendee receives a task and notification; date shown as entered</t>
  </si>
  <si>
    <t>FR-24a</t>
  </si>
  <si>
    <t>TC-ONB-093</t>
  </si>
  <si>
    <t>Orientation event validations (name/date mandatory, expected attendees 1–1000)</t>
  </si>
  <si>
    <t>Induction tab</t>
  </si>
  <si>
    <t xml:space="preserve">1. Save with blank Event Name
2. Save with blank Event Date
3. Enter Expected Attendees 0 and 1500</t>
  </si>
  <si>
    <t>Induction tab → Save with blank Event Name → Save with blank Event Date → Enter Expected Attendees 0 and 1500</t>
  </si>
  <si>
    <t>Each save refused with a field message</t>
  </si>
  <si>
    <t>7.5</t>
  </si>
  <si>
    <t>TC-ONB-094</t>
  </si>
  <si>
    <t>Complete an orientation event with feedback score</t>
  </si>
  <si>
    <t>Scheduled event</t>
  </si>
  <si>
    <t>Score 4 / 0 / 6</t>
  </si>
  <si>
    <t xml:space="preserve">1. Click Mark Done
2. Enter Feedback Score 4 and notes
3. Save
4. Try score 0 and 6</t>
  </si>
  <si>
    <t>Scheduled event → Click Mark Done → Enter Feedback Score 4 and notes → Save → Try score 0 and 6</t>
  </si>
  <si>
    <t>Score 4 → Completed badge, Mark Done replaced; 0 and 6 refused</t>
  </si>
  <si>
    <t>FR-24b</t>
  </si>
  <si>
    <t>TC-ONB-095</t>
  </si>
  <si>
    <t>Assign a training course to the joiner</t>
  </si>
  <si>
    <t>Active course exists</t>
  </si>
  <si>
    <t>Course: Workplace Safety Induction</t>
  </si>
  <si>
    <t xml:space="preserve">1. Open Induction tab
2. Assign training: course, due date, remarks
3. Save
4. Log in as the joiner &gt; My Workspace &gt; Trainings</t>
  </si>
  <si>
    <t>Active course exists → Open Induction tab → Assign training: course, due date, remarks → Save → Log in as the joiner &gt; My Workspace &gt; Trainings</t>
  </si>
  <si>
    <t>Assignment status Assigned on Induction tab and on joiner’s My Trainings page</t>
  </si>
  <si>
    <t>FR-26a</t>
  </si>
  <si>
    <t>TC-ONB-096</t>
  </si>
  <si>
    <t>Complete training: score at/above passing → Completed, below → Failed</t>
  </si>
  <si>
    <t>Course passing score 70; two assignments</t>
  </si>
  <si>
    <t>82 / 55 / 120</t>
  </si>
  <si>
    <t xml:space="preserve">1. Complete one with score 82
2. Complete another with score 55
3. Try score 120</t>
  </si>
  <si>
    <t>Course passing score 70; two assignments → Complete one with score 82 → Complete another with score 55 → Try score 120</t>
  </si>
  <si>
    <t>82 → Completed; 55 → Failed; 120 refused</t>
  </si>
  <si>
    <t>FR-26b</t>
  </si>
  <si>
    <t>TC-ONB-097</t>
  </si>
  <si>
    <t>Issue Letter</t>
  </si>
  <si>
    <t>Issue a letter from a letter-linked checklist task</t>
  </si>
  <si>
    <t>Template task linked to a letter template</t>
  </si>
  <si>
    <t xml:space="preserve">1. Open the workspace Overview
2. Click 'Issue Letter' on the task
3. Generate</t>
  </si>
  <si>
    <t>Template task linked to a letter template → Open the workspace Overview → Click 'Issue Letter' on the task → Generate</t>
  </si>
  <si>
    <t>Task Completed with "Letter #id" badge; letter retrievable in Letters against candidate (pre-handoff) or employee</t>
  </si>
  <si>
    <t>FR-14, BR-27</t>
  </si>
  <si>
    <t>TC-ONB-098</t>
  </si>
  <si>
    <t>360 profile</t>
  </si>
  <si>
    <t>Open the candidate 360° profile</t>
  </si>
  <si>
    <t>Joiner started from a candidate</t>
  </si>
  <si>
    <t xml:space="preserve">1. Log in to hrms-test.progbiz.in (company pbhrms) as stated in the preconditions
2. Open Onboarding Pipeline (/onboarding-pipeline)
3. Click the 360° link in the workspace header</t>
  </si>
  <si>
    <t>Joiner started from a candidate → Log in to hrms-test.progbiz.in (company pbhrms) as stated in the preconditions → Open Onboarding Pipeline (/onboarding-pipeline) → Click the 360° link in the workspace header</t>
  </si>
  <si>
    <t>Personal details from the Candidate master plus onboarding summary counts</t>
  </si>
  <si>
    <t>4.4</t>
  </si>
  <si>
    <t>TC-ONB-099</t>
  </si>
  <si>
    <t>Staff user cannot open the pipeline or start onboarding</t>
  </si>
  <si>
    <t>Logged in as Staff without OnboardingPipeline</t>
  </si>
  <si>
    <t xml:space="preserve">1. Open Onboarding Pipeline (/onboarding-pipeline)
2. Check the sidebar
3. Navigate directly to /onboarding-pipeline</t>
  </si>
  <si>
    <t>Logged in as Staff without OnboardingPipeline → Open Onboarding Pipeline (/onboarding-pipeline) → Check the sidebar → Navigate directly to /onboarding-pipeline</t>
  </si>
  <si>
    <t>Menu hidden; direct URL denied; no board data</t>
  </si>
  <si>
    <t>TC-ONB-100</t>
  </si>
  <si>
    <t>Logged-out access to /onboarding-pipeline redirects to login</t>
  </si>
  <si>
    <t xml:space="preserve">1. Log in to hrms-test.progbiz.in (company pbhrms) as stated in the preconditions
2. Open /onboarding-pipeline directly
3. Verify the screen against the expected result</t>
  </si>
  <si>
    <t>Logged out → Log in to hrms-test.progbiz.in (company pbhrms) as stated in the preconditions → Open /onboarding-pipeline directly → Verify the screen against the expected result</t>
  </si>
  <si>
    <t>TC-ONB-101</t>
  </si>
  <si>
    <t>Board loads within acceptable time with many joiners</t>
  </si>
  <si>
    <t>20+ live joiners</t>
  </si>
  <si>
    <t xml:space="preserve">1. Log in to hrms-test.progbiz.in (company pbhrms) as stated in the preconditions
2. Open the pipeline
3. Measure time until cards render</t>
  </si>
  <si>
    <t>20+ live joiners → Log in to hrms-test.progbiz.in (company pbhrms) as stated in the preconditions → Open the pipeline → Measure time until cards render</t>
  </si>
  <si>
    <t>Board renders within ~5 s; loading indicator then data (no stale empty state)</t>
  </si>
  <si>
    <t>TC-ONB-102</t>
  </si>
  <si>
    <t>Pre-boarding Approvals page opens with status tabs and search</t>
  </si>
  <si>
    <t xml:space="preserve">1. Log in to hrms-test.progbiz.in (company pbhrms) as stated in the preconditions
2. Open Onboarding &gt; Pre-boarding Approvals
3. Verify the screen against the expected result</t>
  </si>
  <si>
    <t>Logged in as HRMS admin (amit) → Log in to hrms-test.progbiz.in (company pbhrms) as stated in the preconditions → Open Onboarding &gt; Pre-boarding Approvals → Verify the screen against the expected result</t>
  </si>
  <si>
    <t>Tabs 'Awaiting review N', 'Sent back', 'Approved', 'All'; search 'Name or email'; rows with View</t>
  </si>
  <si>
    <t>Linear 028 Pre-boarding Approvals — page check</t>
  </si>
  <si>
    <t>TC-ONB-103</t>
  </si>
  <si>
    <t>Invite</t>
  </si>
  <si>
    <t>Send the pre-boarding invite from Offer Acceptance</t>
  </si>
  <si>
    <t>Candidate offer Accepted (Recruitment &gt; Offer Acceptance shows "Not invited")</t>
  </si>
  <si>
    <t xml:space="preserve">1. Open Recruitment &gt; Offer Acceptance
2. Find the row by e-mail
3. Click 'Send Invite'
4. Confirm 'Email the pre-boarding portal link to &lt;name&gt;?'</t>
  </si>
  <si>
    <t>Candidate offer Accepted (Recruitment &gt; Offer Acceptance shows "Not invited") → Open Recruitment &gt; Offer Acceptance → Find the row by e-mail → Click 'Send Invite' → Confirm 'Email the pre-boarding portal link to &lt;name&gt;?'</t>
  </si>
  <si>
    <t>Row shows "Invited expires DD-Mon" (14 days) and a "Resend Invite" button; candidate receives the e-mail</t>
  </si>
  <si>
    <t>FR-15, FR-16</t>
  </si>
  <si>
    <t>TC-ONB-104</t>
  </si>
  <si>
    <t>Resend Invite revokes the previous link</t>
  </si>
  <si>
    <t>Candidate already invited</t>
  </si>
  <si>
    <t xml:space="preserve">1. Open Pre-boarding Approvals (/offer-acceptance)
2. Click 'Resend Invite'
3. Open the old link in a private window</t>
  </si>
  <si>
    <t>Candidate already invited → Open Pre-boarding Approvals (/offer-acceptance) → Click 'Resend Invite' → Open the old link in a private window</t>
  </si>
  <si>
    <t>Old link shows "This link has expired. Please request a new one."; new link works</t>
  </si>
  <si>
    <t>Blocked: the pre-boarding portal is reached only through the link e-mailed to the candidate; automation cannot receive it</t>
  </si>
  <si>
    <t>BR-16</t>
  </si>
  <si>
    <t>TC-ONB-105</t>
  </si>
  <si>
    <t>Invite blocked when the candidate has no e-mail</t>
  </si>
  <si>
    <t>Accepted candidate with no e-mail</t>
  </si>
  <si>
    <t xml:space="preserve">1. Log in to hrms-test.progbiz.in (company pbhrms) as stated in the preconditions
2. Open Pre-boarding Approvals (/offer-acceptance)
3. Click Send Invite</t>
  </si>
  <si>
    <t>Accepted candidate with no e-mail → Log in to hrms-test.progbiz.in (company pbhrms) as stated in the preconditions → Open Pre-boarding Approvals (/offer-acceptance) → Click Send Invite</t>
  </si>
  <si>
    <t>"This candidate has no email address on file."</t>
  </si>
  <si>
    <t>FR-16</t>
  </si>
  <si>
    <t>TC-ONB-106</t>
  </si>
  <si>
    <t>Start Onboarding stays disabled until the candidate submits the portal form</t>
  </si>
  <si>
    <t>Candidate invited but not submitted</t>
  </si>
  <si>
    <t xml:space="preserve">1. Log in to hrms-test.progbiz.in (company pbhrms) as stated in the preconditions
2. Open the Offer Acceptance row More actions
3. Verify the screen against the expected result</t>
  </si>
  <si>
    <t>Candidate invited but not submitted → Log in to hrms-test.progbiz.in (company pbhrms) as stated in the preconditions → Open the Offer Acceptance row More actions → Verify the screen against the expected result</t>
  </si>
  <si>
    <t>'Start Onboarding' is disabled</t>
  </si>
  <si>
    <t>Observed 2026-10-08 in R9d</t>
  </si>
  <si>
    <t>TC-ONB-107</t>
  </si>
  <si>
    <t>Pre-boarding Portal (Candidate)</t>
  </si>
  <si>
    <t>Portal</t>
  </si>
  <si>
    <t>Candidate opens the portal link without an ERP login</t>
  </si>
  <si>
    <t>Valid invite link (private browser window)</t>
  </si>
  <si>
    <t xml:space="preserve">1. Log in to hrms-test.progbiz.in (company pbhrms) as stated in the preconditions
2. Open the e-mailed link
3. Verify the screen against the expected result</t>
  </si>
  <si>
    <t>Valid invite link (private browser window) → Log in to hrms-test.progbiz.in (company pbhrms) as stated in the preconditions → Open the e-mailed link → Verify the screen against the expected result</t>
  </si>
  <si>
    <t>Form loads with no login; fields Full Name, Date of Birth, Address, Emergency Contact Name/Number, Aadhaar, PAN, Nominees, Photograph, Signature, document slots</t>
  </si>
  <si>
    <t>/preboarding/&lt;token&gt;</t>
  </si>
  <si>
    <t>FR-17</t>
  </si>
  <si>
    <t>TC-ONB-108</t>
  </si>
  <si>
    <t>Submit the portal form with all mandatory data</t>
  </si>
  <si>
    <t>Valid link</t>
  </si>
  <si>
    <t>Full Name: Anitha Rajan; DOB 14-Jun-1998; Aadhaar 123412341234; Emergency 9847012345</t>
  </si>
  <si>
    <t xml:space="preserve">1. Fill all mandatory fields
2. Add one nominee (name, age, phone, address)
3. Upload photo, signature and mandatory documents
4. Submit</t>
  </si>
  <si>
    <t>Valid link → Fill all mandatory fields → Add one nominee (name, age, phone, address) → Upload photo, signature and mandatory documents → Submit</t>
  </si>
  <si>
    <t>Status Submitted; row appears in Pre-boarding Approvals &gt; Awaiting review</t>
  </si>
  <si>
    <t>FR-18</t>
  </si>
  <si>
    <t>TC-ONB-109</t>
  </si>
  <si>
    <t>Age is derived from Date of Birth and read-only</t>
  </si>
  <si>
    <t xml:space="preserve">1. Log in to hrms-test.progbiz.in (company pbhrms) as stated in the preconditions
2. Open Pre-boarding Portal (Candidate) (/preboarding/&lt;token&gt;)
3. Enter DOB 14-Jun-1998</t>
  </si>
  <si>
    <t>Valid link → Log in to hrms-test.progbiz.in (company pbhrms) as stated in the preconditions → Open Pre-boarding Portal (Candidate) (/preboarding/&lt;token&gt;) → Enter DOB 14-Jun-1998</t>
  </si>
  <si>
    <t>Age shows 28 and cannot be edited</t>
  </si>
  <si>
    <t>7.3</t>
  </si>
  <si>
    <t>TC-ONB-110</t>
  </si>
  <si>
    <t>Missing mandatory fields are all reported in one pass</t>
  </si>
  <si>
    <t xml:space="preserve">1. Log in to hrms-test.progbiz.in (company pbhrms) as stated in the preconditions
2. Open Pre-boarding Portal (Candidate) (/preboarding/&lt;token&gt;)
3. Click Submit on an empty form</t>
  </si>
  <si>
    <t>Valid link → Log in to hrms-test.progbiz.in (company pbhrms) as stated in the preconditions → Open Pre-boarding Portal (Candidate) (/preboarding/&lt;token&gt;) → Click Submit on an empty form</t>
  </si>
  <si>
    <t>All messages shown together (incl. "Please add at least one nominee", "Please upload: …"); nothing submitted</t>
  </si>
  <si>
    <t>TC-ONB-111</t>
  </si>
  <si>
    <t>Emergency contact number must be 7–15 digits only</t>
  </si>
  <si>
    <t xml:space="preserve">1. Open Pre-boarding Portal (Candidate) (/preboarding/&lt;token&gt;)
2. Enter 98470, 98470-12345, 9847O12345
3. Submit</t>
  </si>
  <si>
    <t>Valid link → Open Pre-boarding Portal (Candidate) (/preboarding/&lt;token&gt;) → Enter 98470, 98470-12345, 9847O12345 → Submit</t>
  </si>
  <si>
    <t>"Enter a valid phone number (7–15 digits, no letters)"</t>
  </si>
  <si>
    <t>TC-ONB-112</t>
  </si>
  <si>
    <t>Aadhaar must be exactly 12 digits</t>
  </si>
  <si>
    <t>12341234123 / 1234123412345</t>
  </si>
  <si>
    <t xml:space="preserve">1. Open Pre-boarding Portal (Candidate) (/preboarding/&lt;token&gt;)
2. Enter 11 then 13 digits
3. Submit</t>
  </si>
  <si>
    <t>Valid link → Open Pre-boarding Portal (Candidate) (/preboarding/&lt;token&gt;) → Enter 11 then 13 digits → Submit</t>
  </si>
  <si>
    <t>"Aadhaar must be exactly 12 digits"</t>
  </si>
  <si>
    <t>TC-ONB-113</t>
  </si>
  <si>
    <t>PAN longer than 10 characters is refused; PAN optional</t>
  </si>
  <si>
    <t xml:space="preserve">1. Enter ABCDE1234FG
2. Submit
3. Then leave PAN blank and submit</t>
  </si>
  <si>
    <t>Valid link → Enter ABCDE1234FG → Submit → Then leave PAN blank and submit</t>
  </si>
  <si>
    <t>11 chars → "PAN cannot exceed 10 characters"; blank PAN accepted</t>
  </si>
  <si>
    <t>TC-ONB-114</t>
  </si>
  <si>
    <t>At most three nominees; punctuation-only name rejected</t>
  </si>
  <si>
    <t xml:space="preserve">1. Add four nominees
2. Use "---" as a name
3. Submit</t>
  </si>
  <si>
    <t>Valid link → Add four nominees → Use "---" as a name → Submit</t>
  </si>
  <si>
    <t>Only three kept; "---" rejected ("Please add at least one nominee with a name")</t>
  </si>
  <si>
    <t>TC-ONB-115</t>
  </si>
  <si>
    <t>File type and 25 MB limits on uploads</t>
  </si>
  <si>
    <t xml:space="preserve">1. Upload photo.pdf as photograph
2. Upload a 30 MB image
3. Upload a 24 MB PDF document</t>
  </si>
  <si>
    <t>Valid link → Upload photo.pdf as photograph → Upload a 30 MB image → Upload a 24 MB PDF document</t>
  </si>
  <si>
    <t>PDF photo and 30 MB rejected; 24 MB PDF accepted</t>
  </si>
  <si>
    <t>Blocked: the pre-boarding portal is reached only through the link e-mailed to the candidate; automation cannot receive it. Known issue ON-4 (not re-verified): intermittent "Upload failed, please try again"</t>
  </si>
  <si>
    <t>FR-19</t>
  </si>
  <si>
    <t>TC-ONB-116</t>
  </si>
  <si>
    <t>Expired/unknown token shows the re-request screen</t>
  </si>
  <si>
    <t>Expired or tampered link</t>
  </si>
  <si>
    <t xml:space="preserve">1. Log in to hrms-test.progbiz.in (company pbhrms) as stated in the preconditions
2. Open the link
3. Verify the screen against the expected result</t>
  </si>
  <si>
    <t>Expired or tampered link → Log in to hrms-test.progbiz.in (company pbhrms) as stated in the preconditions → Open the link → Verify the screen against the expected result</t>
  </si>
  <si>
    <t>Friendly "This link has expired. Please request a new one." — no stack trace</t>
  </si>
  <si>
    <t>TC-ONB-117</t>
  </si>
  <si>
    <t>Approved submission renders read-only</t>
  </si>
  <si>
    <t>Submission Approved</t>
  </si>
  <si>
    <t xml:space="preserve">1. Open Pre-boarding Portal (Candidate) (/preboarding/&lt;token&gt;)
2. Re-open the link
3. Try to edit and submit</t>
  </si>
  <si>
    <t>Submission Approved → Open Pre-boarding Portal (Candidate) (/preboarding/&lt;token&gt;) → Re-open the link → Try to edit and submit</t>
  </si>
  <si>
    <t>Form read-only; "Your details were already approved and can no longer be changed."</t>
  </si>
  <si>
    <t>BR-18</t>
  </si>
  <si>
    <t>TC-ONB-118</t>
  </si>
  <si>
    <t>Candidate can resume and correct a submission before HR decides</t>
  </si>
  <si>
    <t>Submitted, not reviewed</t>
  </si>
  <si>
    <t xml:space="preserve">1. Re-open link
2. Change address
3. Submit</t>
  </si>
  <si>
    <t>Submitted, not reviewed → Re-open link → Change address → Submit</t>
  </si>
  <si>
    <t>Form prefilled; update replaces the earlier data (not appended)</t>
  </si>
  <si>
    <t>TC-ONB-119</t>
  </si>
  <si>
    <t>Review</t>
  </si>
  <si>
    <t>Awaiting review tab lists submitted candidates newest first</t>
  </si>
  <si>
    <t>Submissions exist</t>
  </si>
  <si>
    <t xml:space="preserve">1. Log in to hrms-test.progbiz.in (company pbhrms) as stated in the preconditions
2. Open Pre-boarding Approvals (/preboarding-approvals)
3. Click 'Awaiting review'</t>
  </si>
  <si>
    <t>Submissions exist → Log in to hrms-test.progbiz.in (company pbhrms) as stated in the preconditions → Open Pre-boarding Approvals (/preboarding-approvals) → Click 'Awaiting review'</t>
  </si>
  <si>
    <t>Rows show candidate, e-mail, phone, joining date, submitted date, document and nominee counts; waiting items first</t>
  </si>
  <si>
    <t>4.6</t>
  </si>
  <si>
    <t>TC-ONB-120</t>
  </si>
  <si>
    <t>View a submission</t>
  </si>
  <si>
    <t>Submission awaiting review</t>
  </si>
  <si>
    <t xml:space="preserve">1. Log in to hrms-test.progbiz.in (company pbhrms) as stated in the preconditions
2. Open Pre-boarding Approvals (/preboarding-approvals)
3. Click 'View' on a row</t>
  </si>
  <si>
    <t>Submission awaiting review → Log in to hrms-test.progbiz.in (company pbhrms) as stated in the preconditions → Open Pre-boarding Approvals (/preboarding-approvals) → Click 'View' on a row</t>
  </si>
  <si>
    <t>Modal renders all submitted values, nominees and document links (not blank)</t>
  </si>
  <si>
    <t>Verified 2026-09: View modal renders fine</t>
  </si>
  <si>
    <t>TC-ONB-121</t>
  </si>
  <si>
    <t>Approve a submission applies data to the employee record</t>
  </si>
  <si>
    <t>Submitted submission with onboarding instance</t>
  </si>
  <si>
    <t xml:space="preserve">1. View
2. Click Approve
3. Confirm
4. Open Core HR employee profile and documents</t>
  </si>
  <si>
    <t>Submitted submission with onboarding instance → View → Click Approve → Confirm → Open Core HR employee profile and documents</t>
  </si>
  <si>
    <t>Status Approved; DOB, Aadhaar, PAN, signature, photo, nominees on the employee; documents filed as Verified "Verified via pre-boarding approval"; row moves to Approved tab</t>
  </si>
  <si>
    <t>Blocked: needs a candidate portal submission made via the e-mailed link</t>
  </si>
  <si>
    <t>FR-20, BR-17</t>
  </si>
  <si>
    <t>TC-ONB-122</t>
  </si>
  <si>
    <t>Approval never overwrites an existing value with a blank</t>
  </si>
  <si>
    <t>Employee already has PAN; submission without PAN</t>
  </si>
  <si>
    <t xml:space="preserve">1. Open Pre-boarding Approvals (/preboarding-approvals)
2. Approve the submission
3. Check PAN on employee</t>
  </si>
  <si>
    <t>Employee already has PAN; submission without PAN → Open Pre-boarding Approvals (/preboarding-approvals) → Approve the submission → Check PAN on employee</t>
  </si>
  <si>
    <t>Existing PAN retained</t>
  </si>
  <si>
    <t>Blocked: needs a candidate portal submission</t>
  </si>
  <si>
    <t>FR-20</t>
  </si>
  <si>
    <t>TC-ONB-123</t>
  </si>
  <si>
    <t>Send back with remarks</t>
  </si>
  <si>
    <t>Submitted submission</t>
  </si>
  <si>
    <t>Remarks: Aadhaar upload is unreadable — please re-upload a clear scan</t>
  </si>
  <si>
    <t xml:space="preserve">1. View
2. Click Send back
3. Enter remarks
4. Confirm</t>
  </si>
  <si>
    <t>Submitted submission → View → Click Send back → Enter remarks → Confirm</t>
  </si>
  <si>
    <t>Status Rejected; row in Sent back tab; candidate e-mailed a fresh link showing the remarks; workspace banner "sent back"</t>
  </si>
  <si>
    <t>FR-21</t>
  </si>
  <si>
    <t>TC-ONB-124</t>
  </si>
  <si>
    <t>Send back without remarks is refused</t>
  </si>
  <si>
    <t xml:space="preserve">1. Open Pre-boarding Approvals (/preboarding-approvals)
2. View
3. Send back with blank remarks</t>
  </si>
  <si>
    <t>Submitted submission → Open Pre-boarding Approvals (/preboarding-approvals) → View → Send back with blank remarks</t>
  </si>
  <si>
    <t>"Please say what the candidate needs to change before sending it back."</t>
  </si>
  <si>
    <t>TC-ONB-125</t>
  </si>
  <si>
    <t>Approved submission cannot be re-approved or sent back</t>
  </si>
  <si>
    <t>Approved submission</t>
  </si>
  <si>
    <t xml:space="preserve">1. Log in to hrms-test.progbiz.in (company pbhrms) as stated in the preconditions
2. Open Approved tab
3. View the row</t>
  </si>
  <si>
    <t>Approved submission → Log in to hrms-test.progbiz.in (company pbhrms) as stated in the preconditions → Open Approved tab → View the row</t>
  </si>
  <si>
    <t>Approve/Send back not offered or refused ("already approved… cannot be sent back")</t>
  </si>
  <si>
    <t>TC-ONB-126</t>
  </si>
  <si>
    <t>Search by name or e-mail</t>
  </si>
  <si>
    <t>Rows exist</t>
  </si>
  <si>
    <t xml:space="preserve">1. Log in to hrms-test.progbiz.in (company pbhrms) as stated in the preconditions
2. Open Pre-boarding Approvals (/preboarding-approvals)
3. Type part of a name, then an e-mail, in 'Name or email'</t>
  </si>
  <si>
    <t>Rows exist → Log in to hrms-test.progbiz.in (company pbhrms) as stated in the preconditions → Open Pre-boarding Approvals (/preboarding-approvals) → Type part of a name, then an e-mail, in 'Name or email'</t>
  </si>
  <si>
    <t>List filters to matching rows; no match shows empty state</t>
  </si>
  <si>
    <t>TC-ONB-127</t>
  </si>
  <si>
    <t>Tab counts match listed rows</t>
  </si>
  <si>
    <t xml:space="preserve">1. Log in to hrms-test.progbiz.in (company pbhrms) as stated in the preconditions
2. Open Pre-boarding Approvals (/preboarding-approvals)
3. Compare the 'Awaiting review N' badge to rows in the tab</t>
  </si>
  <si>
    <t>Logged in as HRMS admin (amit) → Log in to hrms-test.progbiz.in (company pbhrms) as stated in the preconditions → Open Pre-boarding Approvals (/preboarding-approvals) → Compare the 'Awaiting review N' badge to rows in the tab</t>
  </si>
  <si>
    <t>Badge equals the row count</t>
  </si>
  <si>
    <t>TC-ONB-128</t>
  </si>
  <si>
    <t>Submission without an onboarding instance is not listed</t>
  </si>
  <si>
    <t>Candidate submitted but onboarding not started</t>
  </si>
  <si>
    <t xml:space="preserve">1. Log in to hrms-test.progbiz.in (company pbhrms) as stated in the preconditions
2. Open Pre-boarding Approvals (/preboarding-approvals)
3. Search the candidate</t>
  </si>
  <si>
    <t>Candidate submitted but onboarding not started → Log in to hrms-test.progbiz.in (company pbhrms) as stated in the preconditions → Open Pre-boarding Approvals (/preboarding-approvals) → Search the candidate</t>
  </si>
  <si>
    <t>Not listed until onboarding starts</t>
  </si>
  <si>
    <t>TC-ONB-129</t>
  </si>
  <si>
    <t>Staff user cannot access Pre-boarding Approvals</t>
  </si>
  <si>
    <t>Logged in as Staff</t>
  </si>
  <si>
    <t xml:space="preserve">1. Log in to hrms-test.progbiz.in (company pbhrms) as stated in the preconditions
2. Open Pre-boarding Approvals (/preboarding-approvals)
3. Navigate to /preboarding-approvals</t>
  </si>
  <si>
    <t>Logged in as Staff → Log in to hrms-test.progbiz.in (company pbhrms) as stated in the preconditions → Open Pre-boarding Approvals (/preboarding-approvals) → Navigate to /preboarding-approvals</t>
  </si>
  <si>
    <t>Access denied; no candidate personal data exposed</t>
  </si>
  <si>
    <t>TC-ONB-130</t>
  </si>
  <si>
    <t>Onboarding Tasks page opens with stats, tabs and list</t>
  </si>
  <si>
    <t xml:space="preserve">1. Log in to hrms-test.progbiz.in (company pbhrms) as stated in the preconditions
2. Open Onboarding &gt; Onboarding Tasks
3. Verify the screen against the expected result</t>
  </si>
  <si>
    <t>Logged in as HRMS admin (amit) → Log in to hrms-test.progbiz.in (company pbhrms) as stated in the preconditions → Open Onboarding &gt; Onboarding Tasks → Verify the screen against the expected result</t>
  </si>
  <si>
    <t>Stat cards Total Tasks / Completed / Pending / Overdue; tabs All, Pending, In Progress, Completed; 'List View' and 'Kanban'; search 'Search Tasks or New Hire'; 'Assigned To' filter; page size 10/25/50/100</t>
  </si>
  <si>
    <t>Linear 029 Onboarding Tasks — page check</t>
  </si>
  <si>
    <t>TC-ONB-131</t>
  </si>
  <si>
    <t>Status tabs filter the task list</t>
  </si>
  <si>
    <t>Tasks in several states</t>
  </si>
  <si>
    <t xml:space="preserve">1. Log in to hrms-test.progbiz.in (company pbhrms) as stated in the preconditions
2. Open Onboarding Tasks (/onboarding-tasks)
3. Click Pending, then In Progress, then Completed, then All</t>
  </si>
  <si>
    <t>Tasks in several states → Log in to hrms-test.progbiz.in (company pbhrms) as stated in the preconditions → Open Onboarding Tasks (/onboarding-tasks) → Click Pending, then In Progress, then Completed, then All</t>
  </si>
  <si>
    <t>Each tab shows only tasks of that status; All shows every task</t>
  </si>
  <si>
    <t>TC-ONB-132</t>
  </si>
  <si>
    <t>Stat card totals are consistent</t>
  </si>
  <si>
    <t xml:space="preserve">1. Log in to hrms-test.progbiz.in (company pbhrms) as stated in the preconditions
2. Open Onboarding Tasks (/onboarding-tasks)
3. Compare Total with Completed + Pending</t>
  </si>
  <si>
    <t>Logged in as HRMS admin (amit) → Log in to hrms-test.progbiz.in (company pbhrms) as stated in the preconditions → Open Onboarding Tasks (/onboarding-tasks) → Compare Total with Completed + Pending</t>
  </si>
  <si>
    <t>Total = Completed + Pending (+ In Progress); Overdue ≤ Pending</t>
  </si>
  <si>
    <t>TC-ONB-133</t>
  </si>
  <si>
    <t>Search by task name or new hire</t>
  </si>
  <si>
    <t xml:space="preserve">1. Open Onboarding Tasks (/onboarding-tasks)
2. Type a task title
3. Then a joiner name</t>
  </si>
  <si>
    <t>Logged in as HRMS admin (amit) → Open Onboarding Tasks (/onboarding-tasks) → Type a task title → Then a joiner name</t>
  </si>
  <si>
    <t>List narrows to matches</t>
  </si>
  <si>
    <t>TC-ONB-134</t>
  </si>
  <si>
    <t>'Assigned To' filter: You and a named employee</t>
  </si>
  <si>
    <t xml:space="preserve">1. Open Onboarding Tasks (/onboarding-tasks)
2. Select 'You'
3. Select another employee</t>
  </si>
  <si>
    <t>Logged in as HRMS admin (amit) → Open Onboarding Tasks (/onboarding-tasks) → Select 'You' → Select another employee</t>
  </si>
  <si>
    <t>Only that person's tasks</t>
  </si>
  <si>
    <t>Picker contains duplicate names (e.g. two "Aaradhya") — hard to distinguish</t>
  </si>
  <si>
    <t>TC-ONB-135</t>
  </si>
  <si>
    <t>Page size and pagination</t>
  </si>
  <si>
    <t>&gt;10 tasks</t>
  </si>
  <si>
    <t xml:space="preserve">1. Open Onboarding Tasks (/onboarding-tasks)
2. Change page size 10→25
3. Use next/previous</t>
  </si>
  <si>
    <t>&gt;10 tasks → Open Onboarding Tasks (/onboarding-tasks) → Change page size 10→25 → Use next/previous</t>
  </si>
  <si>
    <t>Row count follows page size; paging works</t>
  </si>
  <si>
    <t>TC-ONB-136</t>
  </si>
  <si>
    <t>Switch between List View and Kanban</t>
  </si>
  <si>
    <t xml:space="preserve">1. Open Onboarding Tasks (/onboarding-tasks)
2. Click 'Kanban'
3. Click 'List View'</t>
  </si>
  <si>
    <t>Logged in as HRMS admin (amit) → Open Onboarding Tasks (/onboarding-tasks) → Click 'Kanban' → Click 'List View'</t>
  </si>
  <si>
    <t>Kanban groups tasks by status; same tasks in both views</t>
  </si>
  <si>
    <t>TC-ONB-137</t>
  </si>
  <si>
    <t>View task</t>
  </si>
  <si>
    <t>View a task</t>
  </si>
  <si>
    <t xml:space="preserve">1. Log in to hrms-test.progbiz.in (company pbhrms) as stated in the preconditions
2. Open Onboarding Tasks (/onboarding-tasks)
3. Click 'View' on a task</t>
  </si>
  <si>
    <t>Logged in as HRMS admin (amit) → Log in to hrms-test.progbiz.in (company pbhrms) as stated in the preconditions → Open Onboarding Tasks (/onboarding-tasks) → Click 'View' on a task</t>
  </si>
  <si>
    <t>Task details: joiner, stage, owner, due date, priority, status</t>
  </si>
  <si>
    <t>TC-ONB-138</t>
  </si>
  <si>
    <t>Derived priority: required task due ≤2 days/overdue = High, other required = Medium, optional = Low</t>
  </si>
  <si>
    <t>Tasks of each kind</t>
  </si>
  <si>
    <t xml:space="preserve">1. Log in to hrms-test.progbiz.in (company pbhrms) as stated in the preconditions
2. Open Onboarding Tasks (/onboarding-tasks)
3. Inspect priority column</t>
  </si>
  <si>
    <t>Tasks of each kind → Log in to hrms-test.progbiz.in (company pbhrms) as stated in the preconditions → Open Onboarding Tasks (/onboarding-tasks) → Inspect priority column</t>
  </si>
  <si>
    <t>Priorities follow the rule</t>
  </si>
  <si>
    <t>4.7</t>
  </si>
  <si>
    <t>TC-ONB-139</t>
  </si>
  <si>
    <t>Overdue</t>
  </si>
  <si>
    <t>Overdue tasks are highlighted and counted</t>
  </si>
  <si>
    <t>Task with past due date</t>
  </si>
  <si>
    <t xml:space="preserve">1. Log in to hrms-test.progbiz.in (company pbhrms) as stated in the preconditions
2. Open Onboarding Tasks (/onboarding-tasks)
3. Inspect the task row and Overdue card</t>
  </si>
  <si>
    <t>Task with past due date → Log in to hrms-test.progbiz.in (company pbhrms) as stated in the preconditions → Open Onboarding Tasks (/onboarding-tasks) → Inspect the task row and Overdue card</t>
  </si>
  <si>
    <t>Task flagged overdue; included in Overdue count</t>
  </si>
  <si>
    <t>TC-ONB-140</t>
  </si>
  <si>
    <t>Only reached stages’ tasks appear</t>
  </si>
  <si>
    <t>Joiner on stage 1 of a 3-stage template</t>
  </si>
  <si>
    <t xml:space="preserve">1. Log in to hrms-test.progbiz.in (company pbhrms) as stated in the preconditions
2. Open Onboarding Tasks (/onboarding-tasks)
3. Search the joiner</t>
  </si>
  <si>
    <t>Joiner on stage 1 of a 3-stage template → Log in to hrms-test.progbiz.in (company pbhrms) as stated in the preconditions → Open Onboarding Tasks (/onboarding-tasks) → Search the joiner</t>
  </si>
  <si>
    <t>Only stage-1 tasks listed; stage 2/3 tasks absent</t>
  </si>
  <si>
    <t>BR-13</t>
  </si>
  <si>
    <t>TC-ONB-141</t>
  </si>
  <si>
    <t>Completed and Dropped onboardings’ tasks are absent</t>
  </si>
  <si>
    <t>A Dropped joiner with formerly open tasks</t>
  </si>
  <si>
    <t xml:space="preserve">1. Log in to hrms-test.progbiz.in (company pbhrms) as stated in the preconditions
2. Open Onboarding Tasks (/onboarding-tasks)
3. Search the dropped joiner</t>
  </si>
  <si>
    <t>A Dropped joiner with formerly open tasks → Log in to hrms-test.progbiz.in (company pbhrms) as stated in the preconditions → Open Onboarding Tasks (/onboarding-tasks) → Search the dropped joiner</t>
  </si>
  <si>
    <t>No open tasks for the dropped/completed joiner</t>
  </si>
  <si>
    <t>FR-27</t>
  </si>
  <si>
    <t>TC-ONB-142</t>
  </si>
  <si>
    <t>Non-privileged user sees only own tasks</t>
  </si>
  <si>
    <t>Logged in as an Onboarding user who is not SuperAdmin/Support/Owner</t>
  </si>
  <si>
    <t xml:space="preserve">1. Log in to hrms-test.progbiz.in (company pbhrms) as stated in the preconditions
2. Open Onboarding Tasks
3. Verify the screen against the expected result</t>
  </si>
  <si>
    <t>Logged in as an Onboarding user who is not SuperAdmin/Support/Owner → Log in to hrms-test.progbiz.in (company pbhrms) as stated in the preconditions → Open Onboarding Tasks → Verify the screen against the expected result</t>
  </si>
  <si>
    <t>Only tasks owned by that user</t>
  </si>
  <si>
    <t>TC-ONB-143</t>
  </si>
  <si>
    <t>Complete task</t>
  </si>
  <si>
    <t>Task owner marks a task done from My Workspace &gt; Onboarding Tasks</t>
  </si>
  <si>
    <t>Logged in as the resolved owner (e.g. reporting manager)</t>
  </si>
  <si>
    <t xml:space="preserve">1. Log in to hrms-test.progbiz.in (company pbhrms) as stated in the preconditions
2. Open My Workspace &gt; Onboarding Tasks
3. Click Mark Done on own task</t>
  </si>
  <si>
    <t>Logged in as the resolved owner (e.g. reporting manager) → Log in to hrms-test.progbiz.in (company pbhrms) as stated in the preconditions → Open My Workspace &gt; Onboarding Tasks → Click Mark Done on own task</t>
  </si>
  <si>
    <t>Task Completed with timestamp; disappears from open lists; joiner progress increases; stage re-evaluated</t>
  </si>
  <si>
    <t>FR-13, FR-28</t>
  </si>
  <si>
    <t>TC-ONB-144</t>
  </si>
  <si>
    <t>Non-owner cannot complete someone else’s task</t>
  </si>
  <si>
    <t>Logged in as an Onboarding user who is not the owner</t>
  </si>
  <si>
    <t xml:space="preserve">1. Log in to hrms-test.progbiz.in (company pbhrms) as stated in the preconditions
2. Open the joiner workspace
3. Click Mark Done on another owner’s task</t>
  </si>
  <si>
    <t>Logged in as an Onboarding user who is not the owner → Log in to hrms-test.progbiz.in (company pbhrms) as stated in the preconditions → Open the joiner workspace → Click Mark Done on another owner’s task</t>
  </si>
  <si>
    <t>"Only the assigned owner can mark this task as done."</t>
  </si>
  <si>
    <t>BR-12</t>
  </si>
  <si>
    <t>TC-ONB-145</t>
  </si>
  <si>
    <t>Coordinator can complete a task with no resolved owner</t>
  </si>
  <si>
    <t>Task whose owner could not be resolved</t>
  </si>
  <si>
    <t xml:space="preserve">1. Log in to hrms-test.progbiz.in (company pbhrms) as stated in the preconditions
2. Open Onboarding Tasks (/onboarding-tasks)
3. As pipeline coordinator click Mark Done</t>
  </si>
  <si>
    <t>Task whose owner could not be resolved → Log in to hrms-test.progbiz.in (company pbhrms) as stated in the preconditions → Open Onboarding Tasks (/onboarding-tasks) → As pipeline coordinator click Mark Done</t>
  </si>
  <si>
    <t>Task Completed</t>
  </si>
  <si>
    <t>FR-13</t>
  </si>
  <si>
    <t>TC-ONB-146</t>
  </si>
  <si>
    <t>Joiner completes an Employee-owned task in ESS</t>
  </si>
  <si>
    <t>Logged in as the joiner (username/password = employee code)</t>
  </si>
  <si>
    <t xml:space="preserve">1. Log in to hrms-test.progbiz.in (company pbhrms) as stated in the preconditions
2. Open My Workspace &gt; Onboarding Tasks
3. Complete own task</t>
  </si>
  <si>
    <t>Logged in as the joiner (username/password = employee code) → Log in to hrms-test.progbiz.in (company pbhrms) as stated in the preconditions → Open My Workspace &gt; Onboarding Tasks → Complete own task</t>
  </si>
  <si>
    <t>Task Completed and reflected on admin Onboarding Tasks</t>
  </si>
  <si>
    <t>FR-28</t>
  </si>
  <si>
    <t>TC-ONB-147</t>
  </si>
  <si>
    <t>Onboarding Employees page opens with search and list</t>
  </si>
  <si>
    <t xml:space="preserve">1. Log in to hrms-test.progbiz.in (company pbhrms) as stated in the preconditions
2. Open Onboarding &gt; Onboarding Employees
3. Verify the screen against the expected result</t>
  </si>
  <si>
    <t>Logged in as HRMS admin (amit) → Log in to hrms-test.progbiz.in (company pbhrms) as stated in the preconditions → Open Onboarding &gt; Onboarding Employees → Verify the screen against the expected result</t>
  </si>
  <si>
    <t>Search 'Name or employee code'; table of Pre-Employee/Probation employees with onboarding summary; paging</t>
  </si>
  <si>
    <t>Linear 030 Onboarding Employees — page check</t>
  </si>
  <si>
    <t>TC-ONB-148</t>
  </si>
  <si>
    <t>Newly started joiner appears with status Pre-Employee</t>
  </si>
  <si>
    <t>Onboarding just started</t>
  </si>
  <si>
    <t xml:space="preserve">1. Log in to hrms-test.progbiz.in (company pbhrms) as stated in the preconditions
2. Open Onboarding Employees (/onboarding-employees)
3. Search by joiner name</t>
  </si>
  <si>
    <t>Onboarding just started → Log in to hrms-test.progbiz.in (company pbhrms) as stated in the preconditions → Open Onboarding Employees (/onboarding-employees) → Search by joiner name</t>
  </si>
  <si>
    <t>Row with employee code, template, onboarding status In Progress, joining date</t>
  </si>
  <si>
    <t>FR-29</t>
  </si>
  <si>
    <t>TC-ONB-149</t>
  </si>
  <si>
    <t>Search by employee code</t>
  </si>
  <si>
    <t>PB0105</t>
  </si>
  <si>
    <t xml:space="preserve">1. Log in to hrms-test.progbiz.in (company pbhrms) as stated in the preconditions
2. Open Onboarding Employees (/onboarding-employees)
3. Enter an employee code</t>
  </si>
  <si>
    <t>Logged in as HRMS admin (amit) → Log in to hrms-test.progbiz.in (company pbhrms) as stated in the preconditions → Open Onboarding Employees (/onboarding-employees) → Enter an employee code</t>
  </si>
  <si>
    <t>Only that employee listed</t>
  </si>
  <si>
    <t>TC-ONB-150</t>
  </si>
  <si>
    <t>Search by partial name, case-insensitive</t>
  </si>
  <si>
    <t xml:space="preserve">1. Log in to hrms-test.progbiz.in (company pbhrms) as stated in the preconditions
2. Open Onboarding Employees (/onboarding-employees)
3. Enter a lowercase partial name</t>
  </si>
  <si>
    <t>Logged in as HRMS admin (amit) → Log in to hrms-test.progbiz.in (company pbhrms) as stated in the preconditions → Open Onboarding Employees (/onboarding-employees) → Enter a lowercase partial name</t>
  </si>
  <si>
    <t>Matching rows listed</t>
  </si>
  <si>
    <t>TC-ONB-151</t>
  </si>
  <si>
    <t>Filter by employee status Pre-Employee / Probation</t>
  </si>
  <si>
    <t xml:space="preserve">1. Open Onboarding Employees (/onboarding-employees)
2. Select Pre-Employee
3. Select Probation</t>
  </si>
  <si>
    <t>Logged in as HRMS admin (amit) → Open Onboarding Employees (/onboarding-employees) → Select Pre-Employee → Select Probation</t>
  </si>
  <si>
    <t>Rows match the selected status</t>
  </si>
  <si>
    <t>TC-ONB-152</t>
  </si>
  <si>
    <t>Filter by branch, designation, template and onboarding status</t>
  </si>
  <si>
    <t xml:space="preserve">1. Log in to hrms-test.progbiz.in (company pbhrms) as stated in the preconditions
2. Open Onboarding Employees (/onboarding-employees)
3. Apply each filter in turn</t>
  </si>
  <si>
    <t>Logged in as HRMS admin (amit) → Log in to hrms-test.progbiz.in (company pbhrms) as stated in the preconditions → Open Onboarding Employees (/onboarding-employees) → Apply each filter in turn</t>
  </si>
  <si>
    <t>Rows match each filter</t>
  </si>
  <si>
    <t>TC-ONB-153</t>
  </si>
  <si>
    <t>Joining date range is inclusive of both days</t>
  </si>
  <si>
    <t>Joiner with joining date D</t>
  </si>
  <si>
    <t xml:space="preserve">1. Log in to hrms-test.progbiz.in (company pbhrms) as stated in the preconditions
2. Open Onboarding Employees (/onboarding-employees)
3. Set From = D and To = D</t>
  </si>
  <si>
    <t>Joiner with joining date D → Log in to hrms-test.progbiz.in (company pbhrms) as stated in the preconditions → Open Onboarding Employees (/onboarding-employees) → Set From = D and To = D</t>
  </si>
  <si>
    <t>Joiner with date D is listed</t>
  </si>
  <si>
    <t>TC-ONB-154</t>
  </si>
  <si>
    <t>Employee created at Pre-Employee outside the pipeline shows with no link</t>
  </si>
  <si>
    <t>Employee at Pre-Employee created in Core HR</t>
  </si>
  <si>
    <t xml:space="preserve">1. Log in to hrms-test.progbiz.in (company pbhrms) as stated in the preconditions
2. Open Onboarding Employees (/onboarding-employees)
3. Search the employee</t>
  </si>
  <si>
    <t>Employee at Pre-Employee created in Core HR → Log in to hrms-test.progbiz.in (company pbhrms) as stated in the preconditions → Open Onboarding Employees (/onboarding-employees) → Search the employee</t>
  </si>
  <si>
    <t>Row shown with no open link (no instance)</t>
  </si>
  <si>
    <t>4.12</t>
  </si>
  <si>
    <t>TC-ONB-155</t>
  </si>
  <si>
    <t>Confirmed (Active) employees are excluded</t>
  </si>
  <si>
    <t>Employee confirmed after probation</t>
  </si>
  <si>
    <t>Employee confirmed after probation → Log in to hrms-test.progbiz.in (company pbhrms) as stated in the preconditions → Open Onboarding Employees (/onboarding-employees) → Search the employee</t>
  </si>
  <si>
    <t>Not listed</t>
  </si>
  <si>
    <t>TC-ONB-156</t>
  </si>
  <si>
    <t>Empty search result shows empty state</t>
  </si>
  <si>
    <t xml:space="preserve">1. Log in to hrms-test.progbiz.in (company pbhrms) as stated in the preconditions
2. Open Onboarding Employees (/onboarding-employees)
3. Search "zzzz"</t>
  </si>
  <si>
    <t>Logged in as HRMS admin (amit) → Log in to hrms-test.progbiz.in (company pbhrms) as stated in the preconditions → Open Onboarding Employees (/onboarding-employees) → Search "zzzz"</t>
  </si>
  <si>
    <t>No rows; friendly message</t>
  </si>
  <si>
    <t>TC-ONB-157</t>
  </si>
  <si>
    <t>Pagination with total count</t>
  </si>
  <si>
    <t>&gt;10 rows</t>
  </si>
  <si>
    <t xml:space="preserve">1. Log in to hrms-test.progbiz.in (company pbhrms) as stated in the preconditions
2. Open Onboarding Employees (/onboarding-employees)
3. Navigate pages</t>
  </si>
  <si>
    <t>&gt;10 rows → Log in to hrms-test.progbiz.in (company pbhrms) as stated in the preconditions → Open Onboarding Employees (/onboarding-employees) → Navigate pages</t>
  </si>
  <si>
    <t>Total count shown; paging consistent</t>
  </si>
  <si>
    <t>TC-ONB-158</t>
  </si>
  <si>
    <t>Blacklisted Employees page opens</t>
  </si>
  <si>
    <t xml:space="preserve">1. Log in to hrms-test.progbiz.in (company pbhrms) as stated in the preconditions
2. Open Onboarding &gt; Blacklisted Employees
3. Verify the screen against the expected result</t>
  </si>
  <si>
    <t>Logged in as HRMS admin (amit) → Log in to hrms-test.progbiz.in (company pbhrms) as stated in the preconditions → Open Onboarding &gt; Blacklisted Employees → Verify the screen against the expected result</t>
  </si>
  <si>
    <t>Heading and list of blacklisted persons with reason, source and date (or empty state)</t>
  </si>
  <si>
    <t>Linear 031 Blacklisted Employees — page check</t>
  </si>
  <si>
    <t>TC-ONB-159</t>
  </si>
  <si>
    <t>Blacklist</t>
  </si>
  <si>
    <t>Dropped-with-blacklist joiner is listed</t>
  </si>
  <si>
    <t>Joiner dropped with Blacklist ticked</t>
  </si>
  <si>
    <t xml:space="preserve">1. Log in to hrms-test.progbiz.in (company pbhrms) as stated in the preconditions
2. Open the page
3. Search the joiner</t>
  </si>
  <si>
    <t>Joiner dropped with Blacklist ticked → Log in to hrms-test.progbiz.in (company pbhrms) as stated in the preconditions → Open the page → Search the joiner</t>
  </si>
  <si>
    <t>Row with name, reason, source "Onboarding Dropped", actioned date</t>
  </si>
  <si>
    <t>TC-ONB-160</t>
  </si>
  <si>
    <t>Dropped without blacklist is not listed</t>
  </si>
  <si>
    <t>Joiner dropped with Blacklist unticked</t>
  </si>
  <si>
    <t xml:space="preserve">1. Log in to hrms-test.progbiz.in (company pbhrms) as stated in the preconditions
2. Open Blacklisted Employees (/blacklisted-employees)
3. Search the joiner</t>
  </si>
  <si>
    <t>Joiner dropped with Blacklist unticked → Log in to hrms-test.progbiz.in (company pbhrms) as stated in the preconditions → Open Blacklisted Employees (/blacklisted-employees) → Search the joiner</t>
  </si>
  <si>
    <t>TC-ONB-161</t>
  </si>
  <si>
    <t>Search the blacklist by name</t>
  </si>
  <si>
    <t>Entries exist</t>
  </si>
  <si>
    <t xml:space="preserve">1. Log in to hrms-test.progbiz.in (company pbhrms) as stated in the preconditions
2. Open Blacklisted Employees (/blacklisted-employees)
3. Type part of a name</t>
  </si>
  <si>
    <t>Entries exist → Log in to hrms-test.progbiz.in (company pbhrms) as stated in the preconditions → Open Blacklisted Employees (/blacklisted-employees) → Type part of a name</t>
  </si>
  <si>
    <t>Matching rows</t>
  </si>
  <si>
    <t>TC-ONB-162</t>
  </si>
  <si>
    <t>EmployeeProbation / EmployeeManage role can open the page; Staff cannot</t>
  </si>
  <si>
    <t>Two users</t>
  </si>
  <si>
    <t xml:space="preserve">1. Log in to hrms-test.progbiz.in (company pbhrms) as stated in the preconditions
2. Open /blacklisted-employees as each
3. Verify the screen against the expected result</t>
  </si>
  <si>
    <t>Two users → Log in to hrms-test.progbiz.in (company pbhrms) as stated in the preconditions → Open /blacklisted-employees as each → Verify the screen against the expected result</t>
  </si>
  <si>
    <t>Probation/Manage role user sees list; Staff denied</t>
  </si>
  <si>
    <t>4.13</t>
  </si>
  <si>
    <t>TC-ONB-163</t>
  </si>
  <si>
    <t>Training Courses page opens with filters and course cards</t>
  </si>
  <si>
    <t xml:space="preserve">1. Log in to hrms-test.progbiz.in (company pbhrms) as stated in the preconditions
2. Open Onboarding &gt; Training Courses
3. Verify the screen against the expected result</t>
  </si>
  <si>
    <t>Logged in as HRMS admin (amit) → Log in to hrms-test.progbiz.in (company pbhrms) as stated in the preconditions → Open Onboarding &gt; Training Courses → Verify the screen against the expected result</t>
  </si>
  <si>
    <t>'New Course', 'Search Courses', Category and Status filters, 'Reset', Grid/List view, course cards with 'Edit' and 'Assignments (N)'</t>
  </si>
  <si>
    <t>Linear 032 Training Courses — page check</t>
  </si>
  <si>
    <t>TC-ONB-164</t>
  </si>
  <si>
    <t>Create course</t>
  </si>
  <si>
    <t>Create a course with mandatory fields only</t>
  </si>
  <si>
    <t>Course Name: Workplace Safety Induction (Auto …)</t>
  </si>
  <si>
    <t xml:space="preserve">1. Click 'New Course'
2. Enter Course Name
3. Select Provider/Instructor = Self
4. Save</t>
  </si>
  <si>
    <t>Logged in as HRMS admin (amit) → Click 'New Course' → Enter Course Name → Select Provider/Instructor = Self → Save</t>
  </si>
  <si>
    <t>Success message; course listed</t>
  </si>
  <si>
    <t>Linear 032 Training Courses — createTrainingCourse</t>
  </si>
  <si>
    <t>FR-25</t>
  </si>
  <si>
    <t>TC-ONB-165</t>
  </si>
  <si>
    <t>Create a course with all fields</t>
  </si>
  <si>
    <t>ISA-101; Compliance; 4 h; 70 %; 12 months; https://learn.example.com/isa-101</t>
  </si>
  <si>
    <t xml:space="preserve">1. Click 'New Course'
2. Fill Course Name, Course Code, Description, Category, Duration (hours), Provider/Instructor, Passing Score (%), Validity (months), Active, Course URL
3. Save</t>
  </si>
  <si>
    <t>Logged in as HRMS admin (amit) → Click 'New Course' → Fill Course Name, Course Code, Description, Category, Duration (hours), Provider/Instructor, Passing Score (%), Validity (months), Active, Course URL → Save</t>
  </si>
  <si>
    <t>Course listed with all values; Edit shows them unchanged; completion rate 0%</t>
  </si>
  <si>
    <t>TC-ONB-166</t>
  </si>
  <si>
    <t>Provider/Instructor = Specific Employee requires an employee</t>
  </si>
  <si>
    <t xml:space="preserve">1. Select Specific Employee
2. Leave employee picker empty
3. Save</t>
  </si>
  <si>
    <t>Logged in as HRMS admin (amit) → Select Specific Employee → Leave employee picker empty → Save</t>
  </si>
  <si>
    <t>Save refused until an employee is chosen</t>
  </si>
  <si>
    <t>TC-ONB-167</t>
  </si>
  <si>
    <t>Course validation</t>
  </si>
  <si>
    <t>Course Name is mandatory</t>
  </si>
  <si>
    <t xml:space="preserve">1. Click 'New Course'
2. Leave Course Name blank
3. Select Provider
4. Save</t>
  </si>
  <si>
    <t>Logged in as HRMS admin (amit) → Click 'New Course' → Leave Course Name blank → Select Provider → Save</t>
  </si>
  <si>
    <t>Validation message on Course Name; not saved</t>
  </si>
  <si>
    <t>TC-ONB-168</t>
  </si>
  <si>
    <t>Provider/Instructor is mandatory</t>
  </si>
  <si>
    <t xml:space="preserve">1. Enter Course Name
2. Leave Provider/Instructor "-- Select --"
3. Save</t>
  </si>
  <si>
    <t>Logged in as HRMS admin (amit) → Enter Course Name → Leave Provider/Instructor "-- Select --" → Save</t>
  </si>
  <si>
    <t>Validation on Provider/Instructor; not saved</t>
  </si>
  <si>
    <t>TC-ONB-169</t>
  </si>
  <si>
    <t>Category and Duration should be required/defaulted</t>
  </si>
  <si>
    <t xml:space="preserve">1. Log in to hrms-test.progbiz.in (company pbhrms) as stated in the preconditions
2. Open Training Courses (/training-courses)
3. Save with Category and Duration blank</t>
  </si>
  <si>
    <t>Logged in as HRMS admin (amit) → Log in to hrms-test.progbiz.in (company pbhrms) as stated in the preconditions → Open Training Courses (/training-courses) → Save with Category and Duration blank</t>
  </si>
  <si>
    <t>Course should not save with category "Not set" and blank hours</t>
  </si>
  <si>
    <t>Known issue ON-6 (Low): Category &amp; Duration not required — courses saved with "Not set" category and blank hours</t>
  </si>
  <si>
    <t>TC-ONB-170</t>
  </si>
  <si>
    <t>Passing Score must be 0–100</t>
  </si>
  <si>
    <t xml:space="preserve">1. Open Training Courses (/training-courses)
2. Enter 101, then -5, then 0 and 100
3. Save each</t>
  </si>
  <si>
    <t>Logged in as HRMS admin (amit) → Open Training Courses (/training-courses) → Enter 101, then -5, then 0 and 100 → Save each</t>
  </si>
  <si>
    <t>101 and -5 refused; 0 and 100 accepted</t>
  </si>
  <si>
    <t>7.6</t>
  </si>
  <si>
    <t>TC-ONB-171</t>
  </si>
  <si>
    <t>Validity must be 0–600 months (0 = indefinite)</t>
  </si>
  <si>
    <t xml:space="preserve">1. Log in to hrms-test.progbiz.in (company pbhrms) as stated in the preconditions
2. Open Training Courses (/training-courses)
3. Enter 700, then 0, then 600</t>
  </si>
  <si>
    <t>Logged in as HRMS admin (amit) → Log in to hrms-test.progbiz.in (company pbhrms) as stated in the preconditions → Open Training Courses (/training-courses) → Enter 700, then 0, then 600</t>
  </si>
  <si>
    <t>700 refused; 0 shows indefinite; 600 accepted</t>
  </si>
  <si>
    <t>TC-ONB-172</t>
  </si>
  <si>
    <t>Duration (hours) rejects negative values</t>
  </si>
  <si>
    <t xml:space="preserve">1. Open Training Courses (/training-courses)
2. Enter -2 in Duration (hours)
3. Save</t>
  </si>
  <si>
    <t>Logged in as HRMS admin (amit) → Open Training Courses (/training-courses) → Enter -2 in Duration (hours) → Save</t>
  </si>
  <si>
    <t>Refused</t>
  </si>
  <si>
    <t>TC-ONB-173</t>
  </si>
  <si>
    <t>Course URL must be a valid URL</t>
  </si>
  <si>
    <t xml:space="preserve">1. Open Training Courses (/training-courses)
2. Enter "learn.example.com" without scheme
3. Save</t>
  </si>
  <si>
    <t>Logged in as HRMS admin (amit) → Open Training Courses (/training-courses) → Enter "learn.example.com" without scheme → Save</t>
  </si>
  <si>
    <t>Refused as invalid URL; https://… accepted</t>
  </si>
  <si>
    <t>TC-ONB-174</t>
  </si>
  <si>
    <t>Course Name max 300 / Code max 50 characters</t>
  </si>
  <si>
    <t xml:space="preserve">1. Open Training Courses (/training-courses)
2. Enter 301-char name and 51-char code
3. Save</t>
  </si>
  <si>
    <t>Logged in as HRMS admin (amit) → Open Training Courses (/training-courses) → Enter 301-char name and 51-char code → Save</t>
  </si>
  <si>
    <t>Blocked or trimmed with a message; no server error</t>
  </si>
  <si>
    <t>TC-ONB-175</t>
  </si>
  <si>
    <t>Duplicate course name/code is warned</t>
  </si>
  <si>
    <t>Course ISA-101 exists</t>
  </si>
  <si>
    <t xml:space="preserve">1. Log in to hrms-test.progbiz.in (company pbhrms) as stated in the preconditions
2. Open Training Courses (/training-courses)
3. Create another course with the same name and code</t>
  </si>
  <si>
    <t>Course ISA-101 exists → Log in to hrms-test.progbiz.in (company pbhrms) as stated in the preconditions → Open Training Courses (/training-courses) → Create another course with the same name and code</t>
  </si>
  <si>
    <t>Duplicate refused or warned</t>
  </si>
  <si>
    <t>TC-ONB-176</t>
  </si>
  <si>
    <t>Edit course</t>
  </si>
  <si>
    <t>Edit a course</t>
  </si>
  <si>
    <t>Course exists</t>
  </si>
  <si>
    <t xml:space="preserve">1. Click 'Edit'
2. Change Description and Passing Score
3. Save</t>
  </si>
  <si>
    <t>Course exists → Click 'Edit' → Change Description and Passing Score → Save</t>
  </si>
  <si>
    <t>Changes saved and shown</t>
  </si>
  <si>
    <t>TC-ONB-177</t>
  </si>
  <si>
    <t>Deactivate a course</t>
  </si>
  <si>
    <t>Active course</t>
  </si>
  <si>
    <t xml:space="preserve">1. Edit
2. Untick Active
3. Save
4. Filter Status = Inactive</t>
  </si>
  <si>
    <t>Active course → Edit → Untick Active → Save → Filter Status = Inactive</t>
  </si>
  <si>
    <t>Course shows Inactive; not offered when assigning training</t>
  </si>
  <si>
    <t>TC-ONB-178</t>
  </si>
  <si>
    <t>Search courses by name</t>
  </si>
  <si>
    <t xml:space="preserve">1. Log in to hrms-test.progbiz.in (company pbhrms) as stated in the preconditions
2. Open Training Courses (/training-courses)
3. Type in 'Search Courses'</t>
  </si>
  <si>
    <t>Logged in as HRMS admin (amit) → Log in to hrms-test.progbiz.in (company pbhrms) as stated in the preconditions → Open Training Courses (/training-courses) → Type in 'Search Courses'</t>
  </si>
  <si>
    <t>Matching cards only</t>
  </si>
  <si>
    <t>TC-ONB-179</t>
  </si>
  <si>
    <t>Filter by Category and Status; Reset clears</t>
  </si>
  <si>
    <t xml:space="preserve">1. Select Category Compliance
2. Select Status Active
3. Click Reset</t>
  </si>
  <si>
    <t>Logged in as HRMS admin (amit) → Select Category Compliance → Select Status Active → Click Reset</t>
  </si>
  <si>
    <t>Filters apply; Reset restores the full list</t>
  </si>
  <si>
    <t>TC-ONB-180</t>
  </si>
  <si>
    <t>Grid View / List View toggle</t>
  </si>
  <si>
    <t xml:space="preserve">1. Log in to hrms-test.progbiz.in (company pbhrms) as stated in the preconditions
2. Open Training Courses (/training-courses)
3. Click 'List View' then 'Grid View'</t>
  </si>
  <si>
    <t>Logged in as HRMS admin (amit) → Log in to hrms-test.progbiz.in (company pbhrms) as stated in the preconditions → Open Training Courses (/training-courses) → Click 'List View' then 'Grid View'</t>
  </si>
  <si>
    <t>Same courses in both layouts</t>
  </si>
  <si>
    <t>TC-ONB-181</t>
  </si>
  <si>
    <t>Assignments</t>
  </si>
  <si>
    <t>Open 'Assignments (N)' for a course</t>
  </si>
  <si>
    <t>Course with assignments</t>
  </si>
  <si>
    <t xml:space="preserve">1. Log in to hrms-test.progbiz.in (company pbhrms) as stated in the preconditions
2. Open Training Courses (/training-courses)
3. Click 'Assignments (N)'</t>
  </si>
  <si>
    <t>Course with assignments → Log in to hrms-test.progbiz.in (company pbhrms) as stated in the preconditions → Open Training Courses (/training-courses) → Click 'Assignments (N)'</t>
  </si>
  <si>
    <t>N assignment rows with joiner, status, due date, score</t>
  </si>
  <si>
    <t>TC-ONB-182</t>
  </si>
  <si>
    <t>Assigned/completed counts and completion rate update</t>
  </si>
  <si>
    <t>Course assigned to two joiners, one completed</t>
  </si>
  <si>
    <t xml:space="preserve">1. Log in to hrms-test.progbiz.in (company pbhrms) as stated in the preconditions
2. Open the course card
3. Verify the screen against the expected result</t>
  </si>
  <si>
    <t>Course assigned to two joiners, one completed → Log in to hrms-test.progbiz.in (company pbhrms) as stated in the preconditions → Open the course card → Verify the screen against the expected result</t>
  </si>
  <si>
    <t>Assigned 2, Completed 1, rate 50%</t>
  </si>
  <si>
    <t>TC-ONB-183</t>
  </si>
  <si>
    <t>Joiner sees assigned training in My Workspace &gt; Trainings</t>
  </si>
  <si>
    <t>Training assigned to joiner</t>
  </si>
  <si>
    <t xml:space="preserve">1. Open Training Courses (/my-trainings)
2. Log in as the joiner
3. Open My Workspace &gt; Trainings</t>
  </si>
  <si>
    <t>Training assigned to joiner → Open Training Courses (/my-trainings) → Log in as the joiner → Open My Workspace &gt; Trainings</t>
  </si>
  <si>
    <t>Course listed with status Assigned and due date</t>
  </si>
  <si>
    <t>TC-ONB-184</t>
  </si>
  <si>
    <t>Training not completed by due date becomes Expired</t>
  </si>
  <si>
    <t>Assignment past due</t>
  </si>
  <si>
    <t xml:space="preserve">1. Log in to hrms-test.progbiz.in (company pbhrms) as stated in the preconditions
2. Open the assignment
3. Verify the screen against the expected result</t>
  </si>
  <si>
    <t>Assignment past due → Log in to hrms-test.progbiz.in (company pbhrms) as stated in the preconditions → Open the assignment → Verify the screen against the expected result</t>
  </si>
  <si>
    <t>Status Expired</t>
  </si>
  <si>
    <t>4.11</t>
  </si>
  <si>
    <t>TC-ONB-185</t>
  </si>
  <si>
    <t>Staff user cannot manage the course catalogue</t>
  </si>
  <si>
    <t xml:space="preserve">1. Log in to hrms-test.progbiz.in (company pbhrms) as stated in the preconditions
2. Open Training Courses (/training-courses)
3. Navigate to /training-courses</t>
  </si>
  <si>
    <t>Logged in as Staff → Log in to hrms-test.progbiz.in (company pbhrms) as stated in the preconditions → Open Training Courses (/training-courses) → Navigate to /training-courses</t>
  </si>
  <si>
    <t>Access denied; no New Course</t>
  </si>
  <si>
    <t>TC-ONB-186</t>
  </si>
  <si>
    <t>Training Assessment Report opens</t>
  </si>
  <si>
    <t xml:space="preserve">1. Log in to hrms-test.progbiz.in (company pbhrms) as stated in the preconditions
2. Open Onboarding &gt; Training Assessment Report
3. Verify the screen against the expected result</t>
  </si>
  <si>
    <t>Logged in as HRMS admin (amit) → Log in to hrms-test.progbiz.in (company pbhrms) as stated in the preconditions → Open Onboarding &gt; Training Assessment Report → Verify the screen against the expected result</t>
  </si>
  <si>
    <t>Heading, filters and table of training assignments/results (or empty state)</t>
  </si>
  <si>
    <t>Linear 039 Training Assessment Report — page check</t>
  </si>
  <si>
    <t>TC-ONB-187</t>
  </si>
  <si>
    <t>Report</t>
  </si>
  <si>
    <t>Completed and Failed assignments show score and outcome</t>
  </si>
  <si>
    <t>Assignments completed with 82 and 55 (pass 70)</t>
  </si>
  <si>
    <t xml:space="preserve">1. Log in to hrms-test.progbiz.in (company pbhrms) as stated in the preconditions
2. Open the report
3. Find both rows</t>
  </si>
  <si>
    <t>Assignments completed with 82 and 55 (pass 70) → Log in to hrms-test.progbiz.in (company pbhrms) as stated in the preconditions → Open the report → Find both rows</t>
  </si>
  <si>
    <t>Rows show score, passing score and outcome Completed / Failed</t>
  </si>
  <si>
    <t>TC-ONB-188</t>
  </si>
  <si>
    <t>Filter by course / status / employee</t>
  </si>
  <si>
    <t xml:space="preserve">1. Log in to hrms-test.progbiz.in (company pbhrms) as stated in the preconditions
2. Open Training Assessment Report (/training-assessment-report)
3. Apply each available filter</t>
  </si>
  <si>
    <t>Logged in as HRMS admin (amit) → Log in to hrms-test.progbiz.in (company pbhrms) as stated in the preconditions → Open Training Assessment Report (/training-assessment-report) → Apply each available filter</t>
  </si>
  <si>
    <t>Rows match the filters</t>
  </si>
  <si>
    <t>TC-ONB-189</t>
  </si>
  <si>
    <t>Report figures match course Assignments</t>
  </si>
  <si>
    <t xml:space="preserve">1. Log in to hrms-test.progbiz.in (company pbhrms) as stated in the preconditions
2. Open Training Assessment Report (/training-assessment-report)
3. Compare a course in the report with its Assignments (N) list</t>
  </si>
  <si>
    <t>Logged in as HRMS admin (amit) → Log in to hrms-test.progbiz.in (company pbhrms) as stated in the preconditions → Open Training Assessment Report (/training-assessment-report) → Compare a course in the report with its Assignments (N) list</t>
  </si>
  <si>
    <t>Counts and statuses agree</t>
  </si>
  <si>
    <t>TC-ONB-190</t>
  </si>
  <si>
    <t>Empty state when no assessments match</t>
  </si>
  <si>
    <t xml:space="preserve">1. Log in to hrms-test.progbiz.in (company pbhrms) as stated in the preconditions
2. Open Training Assessment Report (/training-assessment-report)
3. Filter to a course with no assignments</t>
  </si>
  <si>
    <t>Logged in as HRMS admin (amit) → Log in to hrms-test.progbiz.in (company pbhrms) as stated in the preconditions → Open Training Assessment Report (/training-assessment-report) → Filter to a course with no assignments</t>
  </si>
  <si>
    <t>Friendly empty message</t>
  </si>
  <si>
    <t>TC-ONB-191</t>
  </si>
  <si>
    <t>Hold &amp; Dropped Report opens</t>
  </si>
  <si>
    <t xml:space="preserve">1. Log in to hrms-test.progbiz.in (company pbhrms) as stated in the preconditions
2. Open Onboarding &gt; Hold &amp; Dropped Report
3. Verify the screen against the expected result</t>
  </si>
  <si>
    <t>Logged in as HRMS admin (amit) → Log in to hrms-test.progbiz.in (company pbhrms) as stated in the preconditions → Open Onboarding &gt; Hold &amp; Dropped Report → Verify the screen against the expected result</t>
  </si>
  <si>
    <t>Table with joiner, employee code, template, stage, branch, joining date, status, action date, actioned by, reason, progress</t>
  </si>
  <si>
    <t>Linear 038 Hold &amp; Dropped Report — page check</t>
  </si>
  <si>
    <t>TC-ONB-192</t>
  </si>
  <si>
    <t>Held joiner appears with hold date and actor</t>
  </si>
  <si>
    <t>Joiner put On Hold by user A</t>
  </si>
  <si>
    <t xml:space="preserve">1. Log in to hrms-test.progbiz.in (company pbhrms) as stated in the preconditions
2. Open the report
3. Verify the screen against the expected result</t>
  </si>
  <si>
    <t>Joiner put On Hold by user A → Log in to hrms-test.progbiz.in (company pbhrms) as stated in the preconditions → Open the report → Verify the screen against the expected result</t>
  </si>
  <si>
    <t>Row status On Hold, action date = hold time, Actioned By = user A</t>
  </si>
  <si>
    <t>FR-30</t>
  </si>
  <si>
    <t>TC-ONB-193</t>
  </si>
  <si>
    <t>Dropped joiner appears with the drop reason</t>
  </si>
  <si>
    <t>Joiner dropped with reason</t>
  </si>
  <si>
    <t>Joiner dropped with reason → Log in to hrms-test.progbiz.in (company pbhrms) as stated in the preconditions → Open the report → Verify the screen against the expected result</t>
  </si>
  <si>
    <t>Row status Dropped with the exact reason and actor</t>
  </si>
  <si>
    <t>TC-ONB-194</t>
  </si>
  <si>
    <t>Resumed joiner leaves the report</t>
  </si>
  <si>
    <t>Joiner resumed from hold</t>
  </si>
  <si>
    <t>Joiner resumed from hold → Log in to hrms-test.progbiz.in (company pbhrms) as stated in the preconditions → Open the report → Verify the screen against the expected result</t>
  </si>
  <si>
    <t>Joiner no longer listed</t>
  </si>
  <si>
    <t>TC-ONB-195</t>
  </si>
  <si>
    <t>Newest action first; filters by status</t>
  </si>
  <si>
    <t xml:space="preserve">1. Open Hold &amp; Dropped Report (/onboarding-hold-dropped)
2. Inspect sort order
3. Filter On Hold / Dropped</t>
  </si>
  <si>
    <t>Logged in as HRMS admin (amit) → Open Hold &amp; Dropped Report (/onboarding-hold-dropped) → Inspect sort order → Filter On Hold / Dropped</t>
  </si>
  <si>
    <t>Newest first; filter works</t>
  </si>
  <si>
    <t>TC-ONB-196</t>
  </si>
  <si>
    <t>Report has no export control</t>
  </si>
  <si>
    <t xml:space="preserve">1. Log in to hrms-test.progbiz.in (company pbhrms) as stated in the preconditions
2. Open Hold &amp; Dropped Report (/onboarding-hold-dropped)
3. Look for export/print</t>
  </si>
  <si>
    <t>Logged in as HRMS admin (amit) → Log in to hrms-test.progbiz.in (company pbhrms) as stated in the preconditions → Open Hold &amp; Dropped Report (/onboarding-hold-dropped) → Look for export/print</t>
  </si>
  <si>
    <t>None (per SRS: no onboarding screen exports)</t>
  </si>
  <si>
    <t>3.2</t>
  </si>
  <si>
    <t>TC-ONB-197</t>
  </si>
  <si>
    <t>Probation Templates page opens</t>
  </si>
  <si>
    <t xml:space="preserve">1. Log in to hrms-test.progbiz.in (company pbhrms) as stated in the preconditions
2. Open Onboarding &gt; Probation &gt; Probation Templates
3. Verify the screen against the expected result</t>
  </si>
  <si>
    <t>Logged in as HRMS admin (amit) → Log in to hrms-test.progbiz.in (company pbhrms) as stated in the preconditions → Open Onboarding &gt; Probation &gt; Probation Templates → Verify the screen against the expected result</t>
  </si>
  <si>
    <t>Heading, template list and New/Add button; no error</t>
  </si>
  <si>
    <t>Linear 033 Probation Templates — page check</t>
  </si>
  <si>
    <t>TC-ONB-198</t>
  </si>
  <si>
    <t>Create a probation template with name, duration and review checkpoints</t>
  </si>
  <si>
    <t>Name: Standard 6-Month Probation; Duration 180 days; Checkpoints 30,60,90,180</t>
  </si>
  <si>
    <t xml:space="preserve">1. Click New/Add template
2. Enter name, probation duration and review checkpoints (days)
3. Save</t>
  </si>
  <si>
    <t>Logged in as HRMS admin (amit) → Click New/Add template → Enter name, probation duration and review checkpoints (days) → Save</t>
  </si>
  <si>
    <t>Template listed with the values</t>
  </si>
  <si>
    <t>TC-ONB-199</t>
  </si>
  <si>
    <t>Template name mandatory</t>
  </si>
  <si>
    <t xml:space="preserve">1. Open Probation Templates (/hrms/probation-templates)
2. Leave name blank
3. Save</t>
  </si>
  <si>
    <t>Logged in as HRMS admin (amit) → Open Probation Templates (/hrms/probation-templates) → Leave name blank → Save</t>
  </si>
  <si>
    <t>TC-ONB-200</t>
  </si>
  <si>
    <t>Checkpoints reject invalid characters/negatives</t>
  </si>
  <si>
    <t>-1,...,240fghf%</t>
  </si>
  <si>
    <t xml:space="preserve">1. Open Probation Templates (/hrms/probation-templates)
2. Enter checkpoints "-1,...,240fghf%"
3. Save</t>
  </si>
  <si>
    <t>Logged in as HRMS admin (amit) → Open Probation Templates (/hrms/probation-templates) → Enter checkpoints "-1,...,240fghf%" → Save</t>
  </si>
  <si>
    <t>Refused with a format message</t>
  </si>
  <si>
    <t>Known issue HRMS-354: invalid checkpoint characters accepted</t>
  </si>
  <si>
    <t>TC-ONB-201</t>
  </si>
  <si>
    <t>Checkpoint beyond probation duration refused</t>
  </si>
  <si>
    <t xml:space="preserve">1. Open Probation Templates (/hrms/probation-templates)
2. Duration 90, checkpoint 120
3. Save</t>
  </si>
  <si>
    <t>Logged in as HRMS admin (amit) → Open Probation Templates (/hrms/probation-templates) → Duration 90, checkpoint 120 → Save</t>
  </si>
  <si>
    <t>TC-ONB-202</t>
  </si>
  <si>
    <t>Duplicate probation template name</t>
  </si>
  <si>
    <t>Template exists</t>
  </si>
  <si>
    <t xml:space="preserve">1. Log in to hrms-test.progbiz.in (company pbhrms) as stated in the preconditions
2. Open Probation Templates (/hrms/probation-templates)
3. Create another with the same name</t>
  </si>
  <si>
    <t>Template exists → Log in to hrms-test.progbiz.in (company pbhrms) as stated in the preconditions → Open Probation Templates (/hrms/probation-templates) → Create another with the same name</t>
  </si>
  <si>
    <t>Refused or warned</t>
  </si>
  <si>
    <t>TC-ONB-203</t>
  </si>
  <si>
    <t>Edit / delete</t>
  </si>
  <si>
    <t>Edit a probation template</t>
  </si>
  <si>
    <t xml:space="preserve">1. Edit
2. Change duration
3. Save</t>
  </si>
  <si>
    <t>Template exists → Edit → Change duration → Save</t>
  </si>
  <si>
    <t>Change saved; existing probations unaffected</t>
  </si>
  <si>
    <t>TC-ONB-204</t>
  </si>
  <si>
    <t>Unused template</t>
  </si>
  <si>
    <t xml:space="preserve">1. Open Probation Templates (/hrms/probation-templates)
2. Delete
3. Confirm</t>
  </si>
  <si>
    <t>Unused template → Open Probation Templates (/hrms/probation-templates) → Delete → Confirm</t>
  </si>
  <si>
    <t>Removed; template in use cannot be deleted</t>
  </si>
  <si>
    <t>TC-ONB-205</t>
  </si>
  <si>
    <t>Staff user cannot open probation templates</t>
  </si>
  <si>
    <t xml:space="preserve">1. Log in to hrms-test.progbiz.in (company pbhrms) as stated in the preconditions
2. Open Probation Templates (/hrms/probation-templates)
3. Navigate to /hrms/probation-templates</t>
  </si>
  <si>
    <t>Logged in as Staff → Log in to hrms-test.progbiz.in (company pbhrms) as stated in the preconditions → Open Probation Templates (/hrms/probation-templates) → Navigate to /hrms/probation-templates</t>
  </si>
  <si>
    <t>TC-ONB-206</t>
  </si>
  <si>
    <t>Probation Dashboard opens and lists employees on probation</t>
  </si>
  <si>
    <t xml:space="preserve">1. Log in to hrms-test.progbiz.in (company pbhrms) as stated in the preconditions
2. Open Onboarding &gt; Probation &gt; Probation Dashboard
3. Wait for loading</t>
  </si>
  <si>
    <t>Logged in as HRMS admin (amit) → Log in to hrms-test.progbiz.in (company pbhrms) as stated in the preconditions → Open Onboarding &gt; Probation &gt; Probation Dashboard → Wait for loading</t>
  </si>
  <si>
    <t>Employees on probation with start/end dates and reviews done/total</t>
  </si>
  <si>
    <t>Linear 034 Probation Dashboard — page check</t>
  </si>
  <si>
    <t>TC-ONB-207</t>
  </si>
  <si>
    <t>No false "No one on probation" during load</t>
  </si>
  <si>
    <t>Employees on probation exist</t>
  </si>
  <si>
    <t xml:space="preserve">1. Log in to hrms-test.progbiz.in (company pbhrms) as stated in the preconditions
2. Open the dashboard and watch the first seconds
3. Verify the screen against the expected result</t>
  </si>
  <si>
    <t>Employees on probation exist → Log in to hrms-test.progbiz.in (company pbhrms) as stated in the preconditions → Open the dashboard and watch the first seconds → Verify the screen against the expected result</t>
  </si>
  <si>
    <t>Loading indicator shown, not 0/"No one on probation" before data arrives</t>
  </si>
  <si>
    <t>Known issue HRMS-394: shows 0 / "No one on probation" then repopulates</t>
  </si>
  <si>
    <t>TC-ONB-208</t>
  </si>
  <si>
    <t>Start probation</t>
  </si>
  <si>
    <t>Employee moved to Probation from the pipeline appears here</t>
  </si>
  <si>
    <t>Start Probation done from pipeline</t>
  </si>
  <si>
    <t xml:space="preserve">1. Log in to hrms-test.progbiz.in (company pbhrms) as stated in the preconditions
2. Open dashboard
3. Search employee</t>
  </si>
  <si>
    <t>Start Probation done from pipeline → Log in to hrms-test.progbiz.in (company pbhrms) as stated in the preconditions → Open dashboard → Search employee</t>
  </si>
  <si>
    <t>Listed; Core HR status Probation; correct period per template</t>
  </si>
  <si>
    <t>TC-ONB-209</t>
  </si>
  <si>
    <t>Reviews</t>
  </si>
  <si>
    <t>Record a probation review at a checkpoint</t>
  </si>
  <si>
    <t>Employee on probation with a due review</t>
  </si>
  <si>
    <t xml:space="preserve">1. Open the employee
2. Fill the review (rating, comments)
3. Save</t>
  </si>
  <si>
    <t>Employee on probation with a due review → Open the employee → Fill the review (rating, comments) → Save</t>
  </si>
  <si>
    <t>Review count increments (e.g. 1/4); review stored</t>
  </si>
  <si>
    <t>TC-ONB-210</t>
  </si>
  <si>
    <t>Overdue probation reviews are flagged</t>
  </si>
  <si>
    <t>Review past due</t>
  </si>
  <si>
    <t xml:space="preserve">1. Log in to hrms-test.progbiz.in (company pbhrms) as stated in the preconditions
2. Open Probation Dashboard (/hrms/probation)
3. Inspect the dashboard</t>
  </si>
  <si>
    <t>Review past due → Log in to hrms-test.progbiz.in (company pbhrms) as stated in the preconditions → Open Probation Dashboard (/hrms/probation) → Inspect the dashboard</t>
  </si>
  <si>
    <t>Overdue indicator; SLA job alerts owner</t>
  </si>
  <si>
    <t>FR-33</t>
  </si>
  <si>
    <t>TC-ONB-211</t>
  </si>
  <si>
    <t>Confirm</t>
  </si>
  <si>
    <t>Confirm an employee at the end of probation</t>
  </si>
  <si>
    <t>Employee on probation with reviews done</t>
  </si>
  <si>
    <t xml:space="preserve">1. Choose Confirm
2. Enter confirmation date/remarks
3. Save</t>
  </si>
  <si>
    <t>Employee on probation with reviews done → Choose Confirm → Enter confirmation date/remarks → Save</t>
  </si>
  <si>
    <t>Employee status Active with confirmation date; listed in Confirmation Letters</t>
  </si>
  <si>
    <t>TC-ONB-212</t>
  </si>
  <si>
    <t>Extend</t>
  </si>
  <si>
    <t>Extend probation with new end date and reason</t>
  </si>
  <si>
    <t>Employee on probation</t>
  </si>
  <si>
    <t xml:space="preserve">1. Choose Extend
2. Enter new end date and reason
3. Save</t>
  </si>
  <si>
    <t>Employee on probation → Choose Extend → Enter new end date and reason → Save</t>
  </si>
  <si>
    <t>End date updated; listed in Extension Letters; still Probation</t>
  </si>
  <si>
    <t>TC-ONB-213</t>
  </si>
  <si>
    <t>Extension end date must be after current end date</t>
  </si>
  <si>
    <t xml:space="preserve">1. Choose Extend
2. Enter a date before the current end
3. Save</t>
  </si>
  <si>
    <t>Employee on probation → Choose Extend → Enter a date before the current end → Save</t>
  </si>
  <si>
    <t>TC-ONB-214</t>
  </si>
  <si>
    <t>Confirm / Extend</t>
  </si>
  <si>
    <t>Confirm and Extend are mutually exclusive</t>
  </si>
  <si>
    <t>Employee already confirmed</t>
  </si>
  <si>
    <t xml:space="preserve">1. Log in to hrms-test.progbiz.in (company pbhrms) as stated in the preconditions
2. Open Probation Dashboard (/hrms/probation)
3. Try Extend on the confirmed employee</t>
  </si>
  <si>
    <t>Employee already confirmed → Log in to hrms-test.progbiz.in (company pbhrms) as stated in the preconditions → Open Probation Dashboard (/hrms/probation) → Try Extend on the confirmed employee</t>
  </si>
  <si>
    <t>Extend not offered/refused</t>
  </si>
  <si>
    <t>Known issue ON-7 (candidate): Karun PB0002 / Shahrukhkhan PB0110 in both Confirmation and Extension Letters</t>
  </si>
  <si>
    <t>TC-ONB-215</t>
  </si>
  <si>
    <t>Data integrity</t>
  </si>
  <si>
    <t>Probation dates are correct after onboarding completion</t>
  </si>
  <si>
    <t>Joiner moved to probation</t>
  </si>
  <si>
    <t xml:space="preserve">1. Log in to hrms-test.progbiz.in (company pbhrms) as stated in the preconditions
2. Open Probation Dashboard (/hrms/probation)
3. Check start/end dates</t>
  </si>
  <si>
    <t>Joiner moved to probation → Log in to hrms-test.progbiz.in (company pbhrms) as stated in the preconditions → Open Probation Dashboard (/hrms/probation) → Check start/end dates</t>
  </si>
  <si>
    <t>Period equals template duration (not a 1-day period)</t>
  </si>
  <si>
    <t>Related ON-5: force-advanced joiner aNU got a 1-day probation with 0/11 reviews</t>
  </si>
  <si>
    <t>TC-ONB-216</t>
  </si>
  <si>
    <t>Dropped joiner never shows as Confirmed</t>
  </si>
  <si>
    <t xml:space="preserve">1. Log in to hrms-test.progbiz.in (company pbhrms) as stated in the preconditions
2. Open Probation Dashboard (/hrms/probation)
3. Search on dashboard/report</t>
  </si>
  <si>
    <t>Dropped joiner → Log in to hrms-test.progbiz.in (company pbhrms) as stated in the preconditions → Open Probation Dashboard (/hrms/probation) → Search on dashboard/report</t>
  </si>
  <si>
    <t>Not shown as Confirmed</t>
  </si>
  <si>
    <t>Known issue HRMS-405 (Deni dropped yet Confirmed)</t>
  </si>
  <si>
    <t>TC-ONB-217</t>
  </si>
  <si>
    <t>ESS</t>
  </si>
  <si>
    <t>Employee sees own probation in My Workspace &gt; Probation</t>
  </si>
  <si>
    <t>Employee on probation logged in</t>
  </si>
  <si>
    <t xml:space="preserve">1. Log in to hrms-test.progbiz.in (company pbhrms) as stated in the preconditions
2. Open My Workspace &gt; Probation
3. Verify the screen against the expected result</t>
  </si>
  <si>
    <t>Employee on probation logged in → Log in to hrms-test.progbiz.in (company pbhrms) as stated in the preconditions → Open My Workspace &gt; Probation → Verify the screen against the expected result</t>
  </si>
  <si>
    <t>Own period, reviews and status only</t>
  </si>
  <si>
    <t>TC-ONB-218</t>
  </si>
  <si>
    <t>Appointment Letters page opens</t>
  </si>
  <si>
    <t xml:space="preserve">1. Log in to hrms-test.progbiz.in (company pbhrms) as stated in the preconditions
2. Open Probation &gt; Appointment Letters
3. Verify the screen against the expected result</t>
  </si>
  <si>
    <t>Logged in as HRMS admin (amit) → Log in to hrms-test.progbiz.in (company pbhrms) as stated in the preconditions → Open Probation &gt; Appointment Letters → Verify the screen against the expected result</t>
  </si>
  <si>
    <t>List of joiners with letter status and generate/send actions</t>
  </si>
  <si>
    <t>Linear 035 Appointment Letters — page check</t>
  </si>
  <si>
    <t>TC-ONB-219</t>
  </si>
  <si>
    <t>Generate an appointment letter for a joiner</t>
  </si>
  <si>
    <t>Joiner on/after onboarding completion; appointment letter template exists</t>
  </si>
  <si>
    <t xml:space="preserve">1. Find joiner
2. Generate
3. Preview</t>
  </si>
  <si>
    <t>Joiner on/after onboarding completion; appointment letter template exists → Find joiner → Generate → Preview</t>
  </si>
  <si>
    <t>Letter generated with correct merge fields (name, designation, joining date)</t>
  </si>
  <si>
    <t>TC-ONB-220</t>
  </si>
  <si>
    <t>Send</t>
  </si>
  <si>
    <t>E-mail the appointment letter</t>
  </si>
  <si>
    <t>Letter generated</t>
  </si>
  <si>
    <t xml:space="preserve">1. Open Appointment Letters (/hrms/appointment-letters)
2. Click Send/E-mail
3. Confirm</t>
  </si>
  <si>
    <t>Letter generated → Open Appointment Letters (/hrms/appointment-letters) → Click Send/E-mail → Confirm</t>
  </si>
  <si>
    <t>Status Sent; employee sees it in My Workspace &gt; Letters</t>
  </si>
  <si>
    <t>TC-ONB-221</t>
  </si>
  <si>
    <t>Appointment letter not issued while onboarding is In Progress</t>
  </si>
  <si>
    <t>Joiner still In Progress</t>
  </si>
  <si>
    <t xml:space="preserve">1. Log in to hrms-test.progbiz.in (company pbhrms) as stated in the preconditions
2. Open Appointment Letters (/hrms/appointment-letters)
3. Attempt generate/send</t>
  </si>
  <si>
    <t>Joiner still In Progress → Log in to hrms-test.progbiz.in (company pbhrms) as stated in the preconditions → Open Appointment Letters (/hrms/appointment-letters) → Attempt generate/send</t>
  </si>
  <si>
    <t>Blocked per page rule</t>
  </si>
  <si>
    <t>Known issue ON-5 downstream: letters e-mailed to Arjun/Sujith while onboarding InProgress</t>
  </si>
  <si>
    <t>TC-ONB-222</t>
  </si>
  <si>
    <t>Missing letter template shows a clear message</t>
  </si>
  <si>
    <t>No appointment template</t>
  </si>
  <si>
    <t xml:space="preserve">1. Log in to hrms-test.progbiz.in (company pbhrms) as stated in the preconditions
2. Open Appointment Letters (/hrms/appointment-letters)
3. Attempt generate</t>
  </si>
  <si>
    <t>No appointment template → Log in to hrms-test.progbiz.in (company pbhrms) as stated in the preconditions → Open Appointment Letters (/hrms/appointment-letters) → Attempt generate</t>
  </si>
  <si>
    <t>Clear "configure template" message</t>
  </si>
  <si>
    <t>TC-ONB-223</t>
  </si>
  <si>
    <t>Confirmation Letters page opens</t>
  </si>
  <si>
    <t xml:space="preserve">1. Log in to hrms-test.progbiz.in (company pbhrms) as stated in the preconditions
2. Open Probation &gt; Confirmation Letters
3. Verify the screen against the expected result</t>
  </si>
  <si>
    <t>Logged in as HRMS admin (amit) → Log in to hrms-test.progbiz.in (company pbhrms) as stated in the preconditions → Open Probation &gt; Confirmation Letters → Verify the screen against the expected result</t>
  </si>
  <si>
    <t>List of confirmed employees with letter actions</t>
  </si>
  <si>
    <t>Linear 036 Confirmation Letters — page check</t>
  </si>
  <si>
    <t>TC-ONB-224</t>
  </si>
  <si>
    <t>Confirmed employee is listed and letter generated</t>
  </si>
  <si>
    <t>Employee confirmed on dashboard</t>
  </si>
  <si>
    <t xml:space="preserve">1. Find employee
2. Generate
3. Preview</t>
  </si>
  <si>
    <t>Employee confirmed on dashboard → Find employee → Generate → Preview</t>
  </si>
  <si>
    <t>Letter shows confirmation date</t>
  </si>
  <si>
    <t>TC-ONB-225</t>
  </si>
  <si>
    <t>Send the confirmation letter</t>
  </si>
  <si>
    <t xml:space="preserve">1. Open Confirmation Letters (/hrms/confirmation-letters)
2. Send
3. Confirm</t>
  </si>
  <si>
    <t>Letter generated → Open Confirmation Letters (/hrms/confirmation-letters) → Send → Confirm</t>
  </si>
  <si>
    <t>Status Sent; visible in ESS Letters</t>
  </si>
  <si>
    <t>TC-ONB-226</t>
  </si>
  <si>
    <t>Extended (not confirmed) employee is not listed</t>
  </si>
  <si>
    <t>Employee extended only</t>
  </si>
  <si>
    <t xml:space="preserve">1. Log in to hrms-test.progbiz.in (company pbhrms) as stated in the preconditions
2. Open Confirmation Letters (/hrms/confirmation-letters)
3. Search the employee</t>
  </si>
  <si>
    <t>Employee extended only → Log in to hrms-test.progbiz.in (company pbhrms) as stated in the preconditions → Open Confirmation Letters (/hrms/confirmation-letters) → Search the employee</t>
  </si>
  <si>
    <t>Known issue ON-7</t>
  </si>
  <si>
    <t>TC-ONB-227</t>
  </si>
  <si>
    <t>Extension Letters page opens</t>
  </si>
  <si>
    <t xml:space="preserve">1. Log in to hrms-test.progbiz.in (company pbhrms) as stated in the preconditions
2. Open Probation &gt; Extension Letters
3. Verify the screen against the expected result</t>
  </si>
  <si>
    <t>Logged in as HRMS admin (amit) → Log in to hrms-test.progbiz.in (company pbhrms) as stated in the preconditions → Open Probation &gt; Extension Letters → Verify the screen against the expected result</t>
  </si>
  <si>
    <t>List of extended employees with letter actions</t>
  </si>
  <si>
    <t>Linear 037 Extension Letters — page check</t>
  </si>
  <si>
    <t>TC-ONB-228</t>
  </si>
  <si>
    <t>Extended employee is listed with new end date</t>
  </si>
  <si>
    <t>Probation extended</t>
  </si>
  <si>
    <t>Probation extended → Find employee → Generate → Preview</t>
  </si>
  <si>
    <t>Letter shows the new end date and reason</t>
  </si>
  <si>
    <t>TC-ONB-229</t>
  </si>
  <si>
    <t>Send the extension letter</t>
  </si>
  <si>
    <t xml:space="preserve">1. Open Extension Letters (/hrms/extension-letters)
2. Send
3. Confirm</t>
  </si>
  <si>
    <t>Letter generated → Open Extension Letters (/hrms/extension-letters) → Send → Confirm</t>
  </si>
  <si>
    <t>TC-ONB-230</t>
  </si>
  <si>
    <t>Confirmed employee is not listed in Extension Letters</t>
  </si>
  <si>
    <t>Employee confirmed</t>
  </si>
  <si>
    <t xml:space="preserve">1. Log in to hrms-test.progbiz.in (company pbhrms) as stated in the preconditions
2. Open Extension Letters (/hrms/extension-letters)
3. Search</t>
  </si>
  <si>
    <t>Employee confirmed → Log in to hrms-test.progbiz.in (company pbhrms) as stated in the preconditions → Open Extension Letters (/hrms/extension-letters) → Search</t>
  </si>
  <si>
    <t>TC-ONB-231</t>
  </si>
  <si>
    <t>Probation Report opens</t>
  </si>
  <si>
    <t xml:space="preserve">1. Log in to hrms-test.progbiz.in (company pbhrms) as stated in the preconditions
2. Open Probation &gt; Probation Report
3. Verify the screen against the expected result</t>
  </si>
  <si>
    <t>Logged in as HRMS admin (amit) → Log in to hrms-test.progbiz.in (company pbhrms) as stated in the preconditions → Open Probation &gt; Probation Report → Verify the screen against the expected result</t>
  </si>
  <si>
    <t>Table: employee, start/end date, reviews, outcome</t>
  </si>
  <si>
    <t>Linear 040 Probation Report — page check</t>
  </si>
  <si>
    <t>TC-ONB-232</t>
  </si>
  <si>
    <t>Outcome Confirmed / Extended / In Probation shown correctly</t>
  </si>
  <si>
    <t>One of each</t>
  </si>
  <si>
    <t xml:space="preserve">1. Log in to hrms-test.progbiz.in (company pbhrms) as stated in the preconditions
2. Open report
3. Verify the screen against the expected result</t>
  </si>
  <si>
    <t>One of each → Log in to hrms-test.progbiz.in (company pbhrms) as stated in the preconditions → Open report → Verify the screen against the expected result</t>
  </si>
  <si>
    <t>Outcomes match the dashboard actions</t>
  </si>
  <si>
    <t>Known issue ON-7: Karun shows Outcome=Confirmed with extended end date 28-Feb-2027</t>
  </si>
  <si>
    <t>TC-ONB-233</t>
  </si>
  <si>
    <t>Filter by outcome / date range</t>
  </si>
  <si>
    <t xml:space="preserve">1. Log in to hrms-test.progbiz.in (company pbhrms) as stated in the preconditions
2. Open Probation Report (/hrms/probation-report)
3. Apply filters</t>
  </si>
  <si>
    <t>Logged in as HRMS admin (amit) → Log in to hrms-test.progbiz.in (company pbhrms) as stated in the preconditions → Open Probation Report (/hrms/probation-report) → Apply filters</t>
  </si>
  <si>
    <t>Rows match</t>
  </si>
  <si>
    <t>TC-ONB-234</t>
  </si>
  <si>
    <t>Empty state</t>
  </si>
  <si>
    <t xml:space="preserve">1. Log in to hrms-test.progbiz.in (company pbhrms) as stated in the preconditions
2. Open Probation Report (/hrms/probation-report)
3. Filter to no matches</t>
  </si>
  <si>
    <t>Logged in as HRMS admin (amit) → Log in to hrms-test.progbiz.in (company pbhrms) as stated in the preconditions → Open Probation Report (/hrms/probation-report) → Filter to no matches</t>
  </si>
  <si>
    <t>TC-ONB-235</t>
  </si>
  <si>
    <t>Offer accepted → pre-boarding → Start Onboarding → tasks → Move to Probation → Confirm</t>
  </si>
  <si>
    <t>Candidate with Accepted offer; template and probation template configured</t>
  </si>
  <si>
    <t xml:space="preserve">1. Send pre-boarding invite
2. Candidate submits portal form
3. HR approves submission
4. Start Onboarding (template, hire, joining date)
5. Owners complete all tasks; joiner auto-advances
6. Move to Probation
7. Start Probation
8. Confirm</t>
  </si>
  <si>
    <t>Candidate with Accepted offer; template and probation template configured → Send pre-boarding invite → Candidate submits portal form → HR approves submission → Start Onboarding (template, hire, joining date) → Owners complete all tasks; joiner auto-advances → Move to Probation → Start Probation → Confirm</t>
  </si>
  <si>
    <t>Employee created at start (Pre-Employee) → Probation → Active with confirmation date; every move in Activity log; letters issued</t>
  </si>
  <si>
    <t>Blocked: candidate portal step requires the e-mailed link</t>
  </si>
  <si>
    <t>9.1</t>
  </si>
  <si>
    <t>TC-ONB-236</t>
  </si>
  <si>
    <t>Start Onboarding → Drop with blacklist → Hold &amp; Dropped + Blacklist</t>
  </si>
  <si>
    <t>Hired candidate</t>
  </si>
  <si>
    <t xml:space="preserve">1. Start onboarding
2. Hold
3. Resume
4. Drop with reason and Blacklist</t>
  </si>
  <si>
    <t>Hired candidate → Start onboarding → Hold → Resume → Drop with reason and Blacklist</t>
  </si>
  <si>
    <t>History Started/Hold/Resume/Dropped; report and blacklist rows; tasks cancelled</t>
  </si>
  <si>
    <t>9.2</t>
  </si>
  <si>
    <t>TC-ONB-237</t>
  </si>
  <si>
    <t>New hire login works after Start Onboarding</t>
  </si>
  <si>
    <t>Onboarding started</t>
  </si>
  <si>
    <t xml:space="preserve">1. Log in to hrms-test.progbiz.in (company pbhrms) as stated in the preconditions
2. Log out
3. Log in with company code pbhrms, username = employee code, password = employee code</t>
  </si>
  <si>
    <t>Onboarding started → Log in to hrms-test.progbiz.in (company pbhrms) as stated in the preconditions → Log out → Log in with company code pbhrms, username = employee code, password = employee code</t>
  </si>
  <si>
    <t>Login succeeds; My Workspace shows Onboarding Tasks and Trainings</t>
  </si>
  <si>
    <t>TC-ONB-238</t>
  </si>
  <si>
    <t>Tenant isolation of onboarding data</t>
  </si>
  <si>
    <t>Second tenant id</t>
  </si>
  <si>
    <t xml:space="preserve">1. Log in to hrms-test.progbiz.in (company pbhrms) as stated in the preconditions
2. Request /onboarding/&lt;guid of another tenant&gt;
3. Verify the screen against the expected result</t>
  </si>
  <si>
    <t>Second tenant id → Log in to hrms-test.progbiz.in (company pbhrms) as stated in the preconditions → Request /onboarding/&lt;guid of another tenant&gt; → Verify the screen against the expected result</t>
  </si>
  <si>
    <t>Not found; no data leaks</t>
  </si>
  <si>
    <t>BR-28</t>
  </si>
  <si>
    <t>TC-ATT-001</t>
  </si>
  <si>
    <t>Shifts &amp; Rules page opens and renders correctly</t>
  </si>
  <si>
    <t>Route /shifts</t>
  </si>
  <si>
    <t xml:space="preserve">1. Open Attendance &gt; Shifts &amp; Rules from the sidebar
2. Wait for the loading indicator to clear
3. Observe the heading, toolbar buttons and table</t>
  </si>
  <si>
    <t>Logged in as HRMS admin (amit) → Open Attendance &gt; Shifts &amp; Rules from the sidebar → Wait for the loading indicator to clear → Observe the heading, toolbar buttons and table</t>
  </si>
  <si>
    <t>Page loads without redirect to login, 404 or application error; loading clears; heading "Shifts" is shown; columns Shift Name, Type, Timing, Night, Active and the "New Shift" button are visible; pagination renders</t>
  </si>
  <si>
    <t>Linear 041 Shifts &amp; Rules — page check</t>
  </si>
  <si>
    <t>TC-ATT-002</t>
  </si>
  <si>
    <t>Create shift</t>
  </si>
  <si>
    <t>Create a Standard shift with all mandatory fields</t>
  </si>
  <si>
    <t>Shift Name: General Shift (Auto 20-Oct 10.15.00); Type: Standard; Start 09:30; End 18:30</t>
  </si>
  <si>
    <t xml:space="preserve">1. Open Attendance &gt; Shifts &amp; Rules
2. Click "New Shift"
3. Enter Shift Name
4. Select Type = Standard
5. Set Start Time and End Time
6. Click Save</t>
  </si>
  <si>
    <t>Logged in as HRMS admin (amit) → Open Attendance &gt; Shifts &amp; Rules → Click "New Shift" → Enter Shift Name → Select Type = Standard → Set Start Time and End Time → Click Save</t>
  </si>
  <si>
    <t>Success message; the shift is listed with Type Standard, Timing 09:30 – 18:30, Night = No, Active = Yes</t>
  </si>
  <si>
    <t>TC-ATT-003</t>
  </si>
  <si>
    <t>Create a Flexible shift</t>
  </si>
  <si>
    <t>Shift Name: Flexi Support Shift (Auto …); Type: Flexible; 08:00 – 20:00</t>
  </si>
  <si>
    <t xml:space="preserve">1. Click "New Shift"
2. Enter Shift Name
3. Select Type = Flexible
4. Set Start Time and End Time
5. Click Save</t>
  </si>
  <si>
    <t>Logged in as HRMS admin (amit) → Click "New Shift" → Enter Shift Name → Select Type = Flexible → Set Start Time and End Time → Click Save</t>
  </si>
  <si>
    <t>Shift saved and listed with Type Flexible</t>
  </si>
  <si>
    <t>TC-ATT-004</t>
  </si>
  <si>
    <t>Create a shift with every rule field filled</t>
  </si>
  <si>
    <t>General Shift (Auto …) 09:30–18:30 with the values listed</t>
  </si>
  <si>
    <t xml:space="preserve">1. Click "New Shift"
2. Fill Shift Name, Type, Start/End Time
3. Set Break Duration 01:00, Standard Working Hours 08:00, Absent Threshold 04:00, Maximum Counted Hours 10:00, Minimum Hours for Full Day 07:00, Maximum Continuous Work Duration 05:00
4. Tick "Notify continuous work limit"
5. Save
6. Re-open the shift</t>
  </si>
  <si>
    <t>Logged in as HRMS admin (amit) → Click "New Shift" → Fill Shift Name, Type, Start/End Time → Set Break Duration 01:00, Standard Working Hours 08:00, Absent Threshold 04:00, Maximum Counted Hours 10:00, Minimum Hours for Full Day 07:00, Maximum Continuous Work Duration 05:00 → Tick "Notify continuous work limit" → Save → Re-open the shift</t>
  </si>
  <si>
    <t>Saved; every hour/minute value and checkbox re-opens exactly as entered</t>
  </si>
  <si>
    <t>TC-ATT-005</t>
  </si>
  <si>
    <t>Create a night (cross-midnight) shift</t>
  </si>
  <si>
    <t>Night Operations Shift (Auto …) 22:00–06:00</t>
  </si>
  <si>
    <t xml:space="preserve">1. Click "New Shift"
2. Enter name, Type Standard
3. Start 22:00, End 06:00
4. Tick "Night (cross-midnight)"
5. Save</t>
  </si>
  <si>
    <t>Logged in as HRMS admin (amit) → Click "New Shift" → Enter name, Type Standard → Start 22:00, End 06:00 → Tick "Night (cross-midnight)" → Save</t>
  </si>
  <si>
    <t>Saved; list shows Night = Yes and Timing 22:00 – 06:00</t>
  </si>
  <si>
    <t>TC-ATT-006</t>
  </si>
  <si>
    <t>End time earlier than start time without Night flag is rejected</t>
  </si>
  <si>
    <t>Start 22:00; End 06:00; Night unticked</t>
  </si>
  <si>
    <t xml:space="preserve">1. Click "New Shift"
2. Start 22:00, End 06:00
3. Leave "Night (cross-midnight)" unticked
4. Save</t>
  </si>
  <si>
    <t>Logged in as HRMS admin (amit) → Click "New Shift" → Start 22:00, End 06:00 → Leave "Night (cross-midnight)" unticked → Save</t>
  </si>
  <si>
    <t>Validation message that End Time must be after Start Time (or tick Night); shift is not saved</t>
  </si>
  <si>
    <t>TC-ATT-007</t>
  </si>
  <si>
    <t>Start time equal to end time is rejected</t>
  </si>
  <si>
    <t>Start = End = 09:00</t>
  </si>
  <si>
    <t xml:space="preserve">1. Click "New Shift"
2. Start 09:00, End 09:00
3. Save</t>
  </si>
  <si>
    <t>Logged in as HRMS admin (amit) → Click "New Shift" → Start 09:00, End 09:00 → Save</t>
  </si>
  <si>
    <t>Rejected with a readable message; a zero-length shift is not created</t>
  </si>
  <si>
    <t>TC-ATT-008</t>
  </si>
  <si>
    <t>Shift Name missing shows validation</t>
  </si>
  <si>
    <t>Shift Name: (blank)</t>
  </si>
  <si>
    <t xml:space="preserve">1. Click "New Shift"
2. Leave Shift Name blank
3. Fill Type, Start, End
4. Save</t>
  </si>
  <si>
    <t>Logged in as HRMS admin (amit) → Click "New Shift" → Leave Shift Name blank → Fill Type, Start, End → Save</t>
  </si>
  <si>
    <t>Inline required message under Shift Name*; nothing saved</t>
  </si>
  <si>
    <t>TC-ATT-009</t>
  </si>
  <si>
    <t>Type not selected shows validation</t>
  </si>
  <si>
    <t>Type: (none)</t>
  </si>
  <si>
    <t xml:space="preserve">1. Click "New Shift"
2. Fill Shift Name, Start, End
3. Leave Type unselected (if possible)
4. Save</t>
  </si>
  <si>
    <t>Logged in as HRMS admin (amit) → Click "New Shift" → Fill Shift Name, Start, End → Leave Type unselected (if possible) → Save</t>
  </si>
  <si>
    <t>Required message for Type*; nothing saved</t>
  </si>
  <si>
    <t>TC-ATT-010</t>
  </si>
  <si>
    <t>Start Time missing shows validation</t>
  </si>
  <si>
    <t>Start Time: (blank)</t>
  </si>
  <si>
    <t xml:space="preserve">1. Click "New Shift"
2. Fill Shift Name and Type
3. Leave Start Time blank
4. Fill End Time
5. Save</t>
  </si>
  <si>
    <t>Logged in as HRMS admin (amit) → Click "New Shift" → Fill Shift Name and Type → Leave Start Time blank → Fill End Time → Save</t>
  </si>
  <si>
    <t>Required message for Start Time*; nothing saved</t>
  </si>
  <si>
    <t>TC-ATT-011</t>
  </si>
  <si>
    <t>End Time missing shows validation</t>
  </si>
  <si>
    <t>End Time: (blank)</t>
  </si>
  <si>
    <t xml:space="preserve">1. Click "New Shift"
2. Fill Shift Name, Type, Start Time
3. Leave End Time blank
4. Save</t>
  </si>
  <si>
    <t>Logged in as HRMS admin (amit) → Click "New Shift" → Fill Shift Name, Type, Start Time → Leave End Time blank → Save</t>
  </si>
  <si>
    <t>Required message for End Time*; nothing saved</t>
  </si>
  <si>
    <t>TC-ATT-012</t>
  </si>
  <si>
    <t>Field rules</t>
  </si>
  <si>
    <t>Duplicate shift name is rejected</t>
  </si>
  <si>
    <t>Logged in as HRMS admin (amit); a shift "General Shift" exists</t>
  </si>
  <si>
    <t>Shift Name: General Shift</t>
  </si>
  <si>
    <t xml:space="preserve">1. Click "New Shift"
2. Enter the existing name "General Shift"
3. Fill the other mandatory fields
4. Save</t>
  </si>
  <si>
    <t>Logged in as HRMS admin (amit); a shift "General Shift" exists → Click "New Shift" → Enter the existing name "General Shift" → Fill the other mandatory fields → Save</t>
  </si>
  <si>
    <t>Rejected with a duplicate-name message; only one "General Shift" listed</t>
  </si>
  <si>
    <t>TC-ATT-013</t>
  </si>
  <si>
    <t>Leading/trailing spaces in Shift Name are trimmed</t>
  </si>
  <si>
    <t>Shift Name: "  Early Shift QA  "</t>
  </si>
  <si>
    <t xml:space="preserve">1. Click "New Shift"
2. Enter "  Early Shift QA  "
3. Fill other fields
4. Save
5. Search the list</t>
  </si>
  <si>
    <t>Logged in as HRMS admin (amit) → Click "New Shift" → Enter "  Early Shift QA  " → Fill other fields → Save → Search the list</t>
  </si>
  <si>
    <t>Saved as "Early Shift QA" without surrounding spaces</t>
  </si>
  <si>
    <t>TC-ATT-014</t>
  </si>
  <si>
    <t>Shift Name maximum length and special characters</t>
  </si>
  <si>
    <t>101 x "A"; "&lt;script&gt;alert(1)&lt;/script&gt;"</t>
  </si>
  <si>
    <t xml:space="preserve">1. Click "New Shift"
2. Enter a 101-character name / a name with &lt;script&gt;
3. Save</t>
  </si>
  <si>
    <t>Logged in as HRMS admin (amit) → Click "New Shift" → Enter a 101-character name / a name with &lt;script&gt; → Save</t>
  </si>
  <si>
    <t>Over-length name refused or truncated at the documented limit; markup is stored/displayed as plain text, never executed</t>
  </si>
  <si>
    <t>TC-ATT-015</t>
  </si>
  <si>
    <t>Break Duration longer than the shift is rejected</t>
  </si>
  <si>
    <t>Shift 4 h; break 5 h</t>
  </si>
  <si>
    <t xml:space="preserve">1. Click "New Shift"
2. 09:00–13:00
3. Break Duration 05:00
4. Save</t>
  </si>
  <si>
    <t>Logged in as HRMS admin (amit) → Click "New Shift" → 09:00–13:00 → Break Duration 05:00 → Save</t>
  </si>
  <si>
    <t>Rejected — break cannot exceed the shift length</t>
  </si>
  <si>
    <t>TC-ATT-016</t>
  </si>
  <si>
    <t>Minimum Hours for Full Day greater than Standard Working Hours</t>
  </si>
  <si>
    <t>Std 08:00; Min full day 09:00</t>
  </si>
  <si>
    <t xml:space="preserve">1. Click "New Shift"
2. Standard Working Hours 08:00
3. Minimum Hours for Full Day 09:00
4. Save</t>
  </si>
  <si>
    <t>Logged in as HRMS admin (amit) → Click "New Shift" → Standard Working Hours 08:00 → Minimum Hours for Full Day 09:00 → Save</t>
  </si>
  <si>
    <t>Rejected or warned — full-day minimum cannot exceed standard hours</t>
  </si>
  <si>
    <t>TC-ATT-017</t>
  </si>
  <si>
    <t>Absent Threshold higher than Minimum Hours for Full Day</t>
  </si>
  <si>
    <t>Absent 08:00 &gt; Full day 07:00</t>
  </si>
  <si>
    <t xml:space="preserve">1. Click "New Shift"
2. Minimum Hours for Full Day 07:00
3. Absent Threshold 08:00
4. Save</t>
  </si>
  <si>
    <t>Logged in as HRMS admin (amit) → Click "New Shift" → Minimum Hours for Full Day 07:00 → Absent Threshold 08:00 → Save</t>
  </si>
  <si>
    <t>Rejected — absent threshold must be below the full-day minimum</t>
  </si>
  <si>
    <t>TC-ATT-018</t>
  </si>
  <si>
    <t>Maximum Counted Hours lower than Standard Working Hours</t>
  </si>
  <si>
    <t>Max counted 06:00 &lt; Std 08:00</t>
  </si>
  <si>
    <t xml:space="preserve">1. Click "New Shift"
2. Standard Working Hours 08:00
3. Maximum Counted Hours 06:00
4. Save</t>
  </si>
  <si>
    <t>Logged in as HRMS admin (amit) → Click "New Shift" → Standard Working Hours 08:00 → Maximum Counted Hours 06:00 → Save</t>
  </si>
  <si>
    <t>Rejected with a readable message</t>
  </si>
  <si>
    <t>TC-ATT-019</t>
  </si>
  <si>
    <t>Negative / non-numeric values in hour fields are blocked</t>
  </si>
  <si>
    <t>-2; abc</t>
  </si>
  <si>
    <t xml:space="preserve">1. Click "New Shift"
2. Type -2 and "abc" in Break Duration and Standard Working Hours
3. Save</t>
  </si>
  <si>
    <t>Logged in as HRMS admin (amit) → Click "New Shift" → Type -2 and "abc" in Break Duration and Standard Working Hours → Save</t>
  </si>
  <si>
    <t>Numeric controls refuse non-numeric input; negative values rejected; nothing saved</t>
  </si>
  <si>
    <t>TC-ATT-020</t>
  </si>
  <si>
    <t>Type dropdown offers only Standard and Flexible</t>
  </si>
  <si>
    <t xml:space="preserve">1. Click "New Shift"
2. Open the Type* dropdown
3. Compare what is displayed with the expected result</t>
  </si>
  <si>
    <t>Logged in as HRMS admin (amit) → Click "New Shift" → Open the Type* dropdown → Compare what is displayed with the expected result</t>
  </si>
  <si>
    <t>Options are exactly Standard and Flexible (Split shift is not offered on this build)</t>
  </si>
  <si>
    <t>TC-ATT-021</t>
  </si>
  <si>
    <t>Edit shift</t>
  </si>
  <si>
    <t>Edit a shift name and timing</t>
  </si>
  <si>
    <t>Logged in as HRMS admin (amit); an unused shift exists</t>
  </si>
  <si>
    <t>Start 10:00</t>
  </si>
  <si>
    <t xml:space="preserve">1. Open the shift from the list
2. Change Start Time to 10:00 and name suffix
3. Save</t>
  </si>
  <si>
    <t>Logged in as HRMS admin (amit); an unused shift exists → Open the shift from the list → Change Start Time to 10:00 and name suffix → Save</t>
  </si>
  <si>
    <t>Success; list shows the updated name and Timing</t>
  </si>
  <si>
    <t>TC-ATT-022</t>
  </si>
  <si>
    <t>Rule change forks a new shift version from the effective date</t>
  </si>
  <si>
    <t>Logged in as HRMS admin (amit); shift in use with stored verdicts</t>
  </si>
  <si>
    <t>Absent Threshold 04:00 → 05:00</t>
  </si>
  <si>
    <t xml:space="preserve">1. Open the shift
2. Change a verdict-affecting rule (e.g. Absent Threshold)
3. Set effective date = today
4. Save
5. Reprocess an earlier day</t>
  </si>
  <si>
    <t>Logged in as HRMS admin (amit); shift in use with stored verdicts → Open the shift → Change a verdict-affecting rule (e.g. Absent Threshold) → Set effective date = today → Save → Reprocess an earlier day</t>
  </si>
  <si>
    <t>A new shift version applies from today; earlier days keep the version in force when they were worked</t>
  </si>
  <si>
    <t>M4 §4.1</t>
  </si>
  <si>
    <t>TC-ATT-023</t>
  </si>
  <si>
    <t>Back-dated rule change is refused</t>
  </si>
  <si>
    <t>Logged in as HRMS admin (amit); shift in use</t>
  </si>
  <si>
    <t>Effective date: yesterday</t>
  </si>
  <si>
    <t xml:space="preserve">1. Open the shift
2. Change a rule
3. Set effective date in the past
4. Save</t>
  </si>
  <si>
    <t>Logged in as HRMS admin (amit); shift in use → Open the shift → Change a rule → Set effective date in the past → Save</t>
  </si>
  <si>
    <t>Rejected — effective date must be today or later; an open period is corrected via Reprocess</t>
  </si>
  <si>
    <t>TC-ATT-024</t>
  </si>
  <si>
    <t>Inactive shift is not offered in the Shift Roster</t>
  </si>
  <si>
    <t>Shift: Evening Support Shift</t>
  </si>
  <si>
    <t xml:space="preserve">1. Edit a shift and untick Active
2. Save
3. Open Shift Roster &gt; Add New
4. Open the Shift dropdown</t>
  </si>
  <si>
    <t>Logged in as HRMS admin (amit) → Edit a shift and untick Active → Save → Open Shift Roster &gt; Add New → Open the Shift dropdown</t>
  </si>
  <si>
    <t>List shows Active = No; the inactive shift is not selectable for new roster assignments</t>
  </si>
  <si>
    <t>TC-ATT-025</t>
  </si>
  <si>
    <t>Delete shift</t>
  </si>
  <si>
    <t>A shift assigned to employees cannot be deleted</t>
  </si>
  <si>
    <t>Logged in as HRMS admin (amit); shift assigned in the roster</t>
  </si>
  <si>
    <t>General Shift</t>
  </si>
  <si>
    <t xml:space="preserve">1. Open Attendance &gt; Shifts &amp; Rules (/shifts)
2. Attempt to delete the assigned shift
3. Confirm the message shown and that no record or balance was created or changed</t>
  </si>
  <si>
    <t>Logged in as HRMS admin (amit); shift assigned in the roster → Open Attendance &gt; Shifts &amp; Rules (/shifts) → Attempt to delete the assigned shift → Confirm the message shown and that no record or balance was created or changed</t>
  </si>
  <si>
    <t>Delete blocked with a reason — retire it by clearing Active instead</t>
  </si>
  <si>
    <t>M4 §4.2</t>
  </si>
  <si>
    <t>TC-ATT-026</t>
  </si>
  <si>
    <t>Delete an unused shift with confirmation</t>
  </si>
  <si>
    <t>Logged in as HRMS admin (amit); an unassigned test shift exists</t>
  </si>
  <si>
    <t>QA TEST Reverse Shift</t>
  </si>
  <si>
    <t xml:space="preserve">1. Click delete on the shift
2. Cancel the confirmation
3. Click delete again
4. Confirm</t>
  </si>
  <si>
    <t>Logged in as HRMS admin (amit); an unassigned test shift exists → Click delete on the shift → Cancel the confirmation → Click delete again → Confirm</t>
  </si>
  <si>
    <t>Cancel keeps the row; confirming removes it with a success message</t>
  </si>
  <si>
    <t>TC-ATT-027</t>
  </si>
  <si>
    <t>Closing the New Shift form discards unsaved input</t>
  </si>
  <si>
    <t xml:space="preserve">1. Click "New Shift"
2. Type a name
3. Close/Cancel the form
4. Re-open "New Shift"</t>
  </si>
  <si>
    <t>Logged in as HRMS admin (amit) → Click "New Shift" → Type a name → Close/Cancel the form → Re-open "New Shift"</t>
  </si>
  <si>
    <t>No shift created; the form opens empty</t>
  </si>
  <si>
    <t>TC-ATT-028</t>
  </si>
  <si>
    <t>Shift list pagination works</t>
  </si>
  <si>
    <t>Logged in as HRMS admin (amit); more than one page of shifts</t>
  </si>
  <si>
    <t xml:space="preserve">1. Click page 2 and 3 in the pager
2. Click page 1
3. Compare what is displayed with the expected result</t>
  </si>
  <si>
    <t>Logged in as HRMS admin (amit); more than one page of shifts → Click page 2 and 3 in the pager → Click page 1 → Compare what is displayed with the expected result</t>
  </si>
  <si>
    <t>Each page shows a different set of rows; the active page is highlighted</t>
  </si>
  <si>
    <t>TC-ATT-029</t>
  </si>
  <si>
    <t>Alerts</t>
  </si>
  <si>
    <t>Continuous-work limit notification fires</t>
  </si>
  <si>
    <t>Shift with Maximum Continuous Work Duration 05:00 and "Notify continuous work limit" ticked; employee punched in</t>
  </si>
  <si>
    <t xml:space="preserve">1. Open Attendance &gt; Shifts &amp; Rules (/shifts)
2. Employee works 5 h without a break punch
3. Check notifications</t>
  </si>
  <si>
    <t>Shift with Maximum Continuous Work Duration 05:00 and "Notify continuous work limit" ticked; employee punched in → Open Attendance &gt; Shifts &amp; Rules (/shifts) → Employee works 5 h without a break punch → Check notifications</t>
  </si>
  <si>
    <t>Employee (and manager per config) receives a continuous-work alert once</t>
  </si>
  <si>
    <t>Needs real punch-based attendance records for the day, which only the mobile app / biometric device can create</t>
  </si>
  <si>
    <t>TC-ATT-030</t>
  </si>
  <si>
    <t>Access control</t>
  </si>
  <si>
    <t>Staff user cannot open Shifts &amp; Rules</t>
  </si>
  <si>
    <t>Logged in as a Staff employee (e.g. pbhrms0305)</t>
  </si>
  <si>
    <t xml:space="preserve">1. Log in as the user named in the preconditions
2. Check the sidebar for Attendance &gt; Shifts &amp; Rules
3. Browse directly to /shifts</t>
  </si>
  <si>
    <t>Logged in as a Staff employee (e.g. pbhrms0305) → Log in as the user named in the preconditions → Check the sidebar for Attendance &gt; Shifts &amp; Rules → Browse directly to /shifts</t>
  </si>
  <si>
    <t>Menu entry not rendered; direct URL shows access denied / redirects — no shift data or New Shift button</t>
  </si>
  <si>
    <t>TC-ATT-031</t>
  </si>
  <si>
    <t>Logged-out access to /shifts redirects to login</t>
  </si>
  <si>
    <t xml:space="preserve">1. Make sure no user is signed in (clear the session)
2. Browse to https://hrms-test.progbiz.in/shifts
3. Confirm no protected data or action controls are exposed</t>
  </si>
  <si>
    <t>Not logged in → Make sure no user is signed in (clear the session) → Browse to https://hrms-test.progbiz.in/shifts → Confirm no protected data or action controls are exposed</t>
  </si>
  <si>
    <t>Redirected to the login page; no shift data shown</t>
  </si>
  <si>
    <t>TC-ATT-032</t>
  </si>
  <si>
    <t>Shift Roster page opens and renders correctly</t>
  </si>
  <si>
    <t>Route /shift-roster</t>
  </si>
  <si>
    <t xml:space="preserve">1. Open Attendance &gt; Shift Roster from the sidebar
2. Wait for the loading indicator to clear
3. Observe the heading, toolbar buttons and table</t>
  </si>
  <si>
    <t>Logged in as HRMS admin (amit) → Open Attendance &gt; Shift Roster from the sidebar → Wait for the loading indicator to clear → Observe the heading, toolbar buttons and table</t>
  </si>
  <si>
    <t>Page loads without redirect to login, 404 or application error; loading clears; heading "Shift Roster" is shown; columns Scope, Shift, From, To; buttons "Fill Roster Gap" and "Add New"; search box and page-size selector</t>
  </si>
  <si>
    <t>Linear 042 Shift Roster — page check</t>
  </si>
  <si>
    <t>TC-ATT-033</t>
  </si>
  <si>
    <t>Assign shift</t>
  </si>
  <si>
    <t>Assign a shift to a single employee</t>
  </si>
  <si>
    <t>Logged in as HRMS admin (amit); active shift "General Shift"</t>
  </si>
  <si>
    <t>Employee: Lakshmi Joshi [pbhrms0353]; From: tomorrow</t>
  </si>
  <si>
    <t xml:space="preserve">1. Open Shift Roster
2. Click "Add New"
3. Scope = Employee
4. Select the employee
5. Shift = General Shift
6. From = tomorrow
7. Save</t>
  </si>
  <si>
    <t>Logged in as HRMS admin (amit); active shift "General Shift" → Open Shift Roster → Click "Add New" → Scope = Employee → Select the employee → Shift = General Shift → From = tomorrow → Save</t>
  </si>
  <si>
    <t>Saved; row shows Scope Employee – Lakshmi Joshi, Shift General Shift, From date, To blank (open-ended)</t>
  </si>
  <si>
    <t>TC-ATT-034</t>
  </si>
  <si>
    <t>Assign a shift to a Branch</t>
  </si>
  <si>
    <t>Main Branch; Early Shift</t>
  </si>
  <si>
    <t xml:space="preserve">1. Click "Add New"
2. Scope = Branch
3. Branch = Main Branch
4. Shift
5. From
6. Save</t>
  </si>
  <si>
    <t>Logged in as HRMS admin (amit) → Click "Add New" → Scope = Branch → Branch = Main Branch → Shift → From → Save</t>
  </si>
  <si>
    <t>Row listed with Scope Branch – Main Branch</t>
  </si>
  <si>
    <t>TC-ATT-035</t>
  </si>
  <si>
    <t>Assign a shift to a Department</t>
  </si>
  <si>
    <t>Testing; General Shift</t>
  </si>
  <si>
    <t xml:space="preserve">1. Click "Add New"
2. Scope = Department
3. Department = Testing
4. Shift
5. From
6. Save</t>
  </si>
  <si>
    <t>Logged in as HRMS admin (amit) → Click "Add New" → Scope = Department → Department = Testing → Shift → From → Save</t>
  </si>
  <si>
    <t>Row listed with Scope Department – Testing</t>
  </si>
  <si>
    <t>TC-ATT-036</t>
  </si>
  <si>
    <t>Assign a company-wide default shift</t>
  </si>
  <si>
    <t xml:space="preserve">1. Click "Add New"
2. Scope = Company
3. Shift
4. From
5. Save</t>
  </si>
  <si>
    <t>Logged in as HRMS admin (amit) → Click "Add New" → Scope = Company → Shift → From → Save</t>
  </si>
  <si>
    <t>Row listed with Scope Company</t>
  </si>
  <si>
    <t>TC-ATT-037</t>
  </si>
  <si>
    <t>Employee who already has a shift today — new shift starts tomorrow</t>
  </si>
  <si>
    <t>Logged in as HRMS admin (amit); employee already has a shift for today</t>
  </si>
  <si>
    <t>From: today</t>
  </si>
  <si>
    <t xml:space="preserve">1. Click "Add New"
2. Scope Employee
3. pick that employee
4. From = today
5. Save</t>
  </si>
  <si>
    <t>Logged in as HRMS admin (amit); employee already has a shift for today → Click "Add New" → Scope Employee → pick that employee → From = today → Save</t>
  </si>
  <si>
    <t>Warning that the employee already has a shift for today and the new shift takes effect tomorrow; saved from tomorrow</t>
  </si>
  <si>
    <t>Module automation owned by teammates (base page checks in linear run) | Observed on beta 2026-10-13</t>
  </si>
  <si>
    <t>TC-ATT-038</t>
  </si>
  <si>
    <t>Assign with a closed date range (From and To)</t>
  </si>
  <si>
    <t xml:space="preserve">1. Click "Add New"
2. Scope Employee
3. Shift
4. From 01-Nov-2026
5. To 30-Nov-2026
6. Save</t>
  </si>
  <si>
    <t>Logged in as HRMS admin (amit) → Click "Add New" → Scope Employee → Shift → From 01-Nov-2026 → To 30-Nov-2026 → Save</t>
  </si>
  <si>
    <t>Row shows both From and To; outside the range the next applicable assignment applies</t>
  </si>
  <si>
    <t>TC-ATT-039</t>
  </si>
  <si>
    <t>To date before From date is rejected</t>
  </si>
  <si>
    <t xml:space="preserve">1. Click "Add New"
2. From 30-Nov-2026
3. To 01-Nov-2026
4. Save</t>
  </si>
  <si>
    <t>Logged in as HRMS admin (amit) → Click "Add New" → From 30-Nov-2026 → To 01-Nov-2026 → Save</t>
  </si>
  <si>
    <t>Rejected — To must not precede From</t>
  </si>
  <si>
    <t>TC-ATT-040</t>
  </si>
  <si>
    <t>Mandatory Scope / Shift / From missing</t>
  </si>
  <si>
    <t xml:space="preserve">1. Click "Add New"
2. Save with Scope, then Shift, then From left empty in turn
3. Confirm the message shown and that nothing was saved</t>
  </si>
  <si>
    <t>Logged in as HRMS admin (amit) → Click "Add New" → Save with Scope, then Shift, then From left empty in turn → Confirm the message shown and that nothing was saved</t>
  </si>
  <si>
    <t>Each missing mandatory field shows a required message; nothing saved</t>
  </si>
  <si>
    <t>TC-ATT-041</t>
  </si>
  <si>
    <t>Overlapping assignments at the same scope are rejected</t>
  </si>
  <si>
    <t>Logged in as HRMS admin (amit); employee-scope assignment active for November</t>
  </si>
  <si>
    <t xml:space="preserve">1. Open Attendance &gt; Shift Roster (/shift-roster)
2. Add another Employee-scope assignment for the same employee overlapping November
3. Save</t>
  </si>
  <si>
    <t>Logged in as HRMS admin (amit); employee-scope assignment active for November → Open Attendance &gt; Shift Roster (/shift-roster) → Add another Employee-scope assignment for the same employee overlapping November → Save</t>
  </si>
  <si>
    <t>Rejected — two active assignments at the same specificity may not overlap</t>
  </si>
  <si>
    <t>TC-ATT-042</t>
  </si>
  <si>
    <t>Most-specific assignment wins</t>
  </si>
  <si>
    <t>Company and Employee scope assignments overlap for a date</t>
  </si>
  <si>
    <t xml:space="preserve">1. Open Attendance &gt; Shift Roster (/shift-roster)
2. Process attendance for the employee on that date
3. Check the day's shift in My Workspace &gt; Shift and the attendance day</t>
  </si>
  <si>
    <t>Company and Employee scope assignments overlap for a date → Open Attendance &gt; Shift Roster (/shift-roster) → Process attendance for the employee on that date → Check the day's shift in My Workspace &gt; Shift and the attendance day</t>
  </si>
  <si>
    <t>Employee scope wins over Department &gt; Branch &gt; Company; ties break on latest From; winning shift stamped on the day</t>
  </si>
  <si>
    <t>TC-ATT-043</t>
  </si>
  <si>
    <t>Day judged against the shift in force on that date</t>
  </si>
  <si>
    <t>Employee's shift changed after a worked day</t>
  </si>
  <si>
    <t xml:space="preserve">1. Open Attendance &gt; Shift Roster (/shift-roster)
2. Reprocess the unlocked earlier day
3. Refresh the page and confirm the outcome persists (list, balance or ledger as applicable)</t>
  </si>
  <si>
    <t>Employee's shift changed after a worked day → Open Attendance &gt; Shift Roster (/shift-roster) → Reprocess the unlocked earlier day → Refresh the page and confirm the outcome persists (list, balance or ledger as applicable)</t>
  </si>
  <si>
    <t>Day judged only against the shift resolved for that date, never the later shift</t>
  </si>
  <si>
    <t>M4 §4.5</t>
  </si>
  <si>
    <t>TC-ATT-044</t>
  </si>
  <si>
    <t>Fill Roster Gap</t>
  </si>
  <si>
    <t>Fill Roster Gap assigns a shift to employees without one</t>
  </si>
  <si>
    <t>Logged in as HRMS admin (amit); at least one employee has no shift</t>
  </si>
  <si>
    <t xml:space="preserve">1. Click "Fill Roster Gap"
2. Choose the default shift and start date
3. Confirm</t>
  </si>
  <si>
    <t>Logged in as HRMS admin (amit); at least one employee has no shift → Click "Fill Roster Gap" → Choose the default shift and start date → Confirm</t>
  </si>
  <si>
    <t>Employees without a shift receive the chosen shift; employees with a shift are unchanged; count reported</t>
  </si>
  <si>
    <t>TC-ATT-045</t>
  </si>
  <si>
    <t>Edit a roster assignment</t>
  </si>
  <si>
    <t>Logged in as HRMS admin (amit); future-dated assignment exists</t>
  </si>
  <si>
    <t xml:space="preserve">1. Open the row
2. Change To date
3. Save</t>
  </si>
  <si>
    <t>Logged in as HRMS admin (amit); future-dated assignment exists → Open the row → Change To date → Save</t>
  </si>
  <si>
    <t>Row shows the new To date</t>
  </si>
  <si>
    <t>TC-ATT-046</t>
  </si>
  <si>
    <t>Delete a roster assignment with confirmation</t>
  </si>
  <si>
    <t xml:space="preserve">1. Click delete on the row
2. Confirm
3. Refresh the page and confirm the outcome persists (list, balance or ledger as applicable)</t>
  </si>
  <si>
    <t>Logged in as HRMS admin (amit); future-dated assignment exists → Click delete on the row → Confirm → Refresh the page and confirm the outcome persists (list, balance or ledger as applicable)</t>
  </si>
  <si>
    <t>Confirmation required; row removed; the employee falls back to the next applicable scope</t>
  </si>
  <si>
    <t>TC-ATT-047</t>
  </si>
  <si>
    <t>Search roster by scope or shift</t>
  </si>
  <si>
    <t>General</t>
  </si>
  <si>
    <t xml:space="preserve">1. Open Attendance &gt; Shift Roster (/shift-roster)
2. Type "General" in "Search scope or shift..."
3. Clear it</t>
  </si>
  <si>
    <t>Logged in as HRMS admin (amit) → Open Attendance &gt; Shift Roster (/shift-roster) → Type "General" in "Search scope or shift..." → Clear it</t>
  </si>
  <si>
    <t>Only matching rows shown; clearing restores the full list</t>
  </si>
  <si>
    <t>TC-ATT-048</t>
  </si>
  <si>
    <t xml:space="preserve">1. Open Attendance &gt; Shift Roster (/shift-roster)
2. Change page size to 25, 50, 100
3. Use the pager 1..4</t>
  </si>
  <si>
    <t>Logged in as HRMS admin (amit) → Open Attendance &gt; Shift Roster (/shift-roster) → Change page size to 25, 50, 100 → Use the pager 1..4</t>
  </si>
  <si>
    <t>Row count follows the selector; pages navigate correctly</t>
  </si>
  <si>
    <t>TC-ATT-049</t>
  </si>
  <si>
    <t>Assigned shift appears on the employee's My Workspace &gt; Shift</t>
  </si>
  <si>
    <t>Employee has a roster assignment; employee login available</t>
  </si>
  <si>
    <t xml:space="preserve">1. Log in as the employee
2. Open My Workspace &gt; Shift (/ess/my-shift)
3. Refresh the page and confirm the outcome persists (list, balance or ledger as applicable)</t>
  </si>
  <si>
    <t>Employee has a roster assignment; employee login available → Log in as the employee → Open My Workspace &gt; Shift (/ess/my-shift) → Refresh the page and confirm the outcome persists (list, balance or ledger as applicable)</t>
  </si>
  <si>
    <t>The assigned shift name and timing are shown for the effective dates</t>
  </si>
  <si>
    <t>TC-ATT-050</t>
  </si>
  <si>
    <t>Staff user cannot manage the roster</t>
  </si>
  <si>
    <t>Logged in as a Staff employee</t>
  </si>
  <si>
    <t xml:space="preserve">1. Log in as the user named in the preconditions
2. Browse to /shift-roster
3. Confirm no data or action controls of the page are exposed</t>
  </si>
  <si>
    <t>Logged in as a Staff employee → Log in as the user named in the preconditions → Browse to /shift-roster → Confirm no data or action controls of the page are exposed</t>
  </si>
  <si>
    <t>Access denied / menu absent; no Add New or Fill Roster Gap</t>
  </si>
  <si>
    <t>TC-ATT-051</t>
  </si>
  <si>
    <t>Regularization page opens and renders correctly</t>
  </si>
  <si>
    <t>Route /regularization</t>
  </si>
  <si>
    <t xml:space="preserve">1. Open Attendance &gt; Regularization from the sidebar
2. Wait for the loading indicator to clear
3. Observe the heading, toolbar buttons and table</t>
  </si>
  <si>
    <t>Logged in as HRMS admin (amit) → Open Attendance &gt; Regularization from the sidebar → Wait for the loading indicator to clear → Observe the heading, toolbar buttons and table</t>
  </si>
  <si>
    <t>Page loads without redirect to login, 404 or application error; loading clears; heading "Regularization" is shown; columns Employee, Date, Raised On, Type, In, Out, Raised By, Status; "Add New" button; search and page-size selector; pager with next/last</t>
  </si>
  <si>
    <t>Linear 043 Regularization — page check</t>
  </si>
  <si>
    <t>TC-ATT-052</t>
  </si>
  <si>
    <t>Raise (HR)</t>
  </si>
  <si>
    <t>HR raises a regularization for an employee's missed punch</t>
  </si>
  <si>
    <t>Logged in as HRMS admin (amit); employee has a past unlocked day with a missing punch</t>
  </si>
  <si>
    <t>In 09:35, Out 18:40; reason "Forgot to punch out"</t>
  </si>
  <si>
    <t xml:space="preserve">1. Click "Add New"
2. Select employee and date
3. Choose type (missed in / out)
4. Enter In and Out times and reason
5. Save</t>
  </si>
  <si>
    <t>Logged in as HRMS admin (amit); employee has a past unlocked day with a missing punch → Click "Add New" → Select employee and date → Choose type (missed in / out) → Enter In and Out times and reason → Save</t>
  </si>
  <si>
    <t>Request listed with Raised By = Amit, Status Pending (or applied directly per config)</t>
  </si>
  <si>
    <t>TC-ATT-053</t>
  </si>
  <si>
    <t>Raise (employee)</t>
  </si>
  <si>
    <t>Employee raises a regularization from My Workspace &gt; Attendance &gt; Add Request</t>
  </si>
  <si>
    <t>Employee login; past unlocked day with a missed punch</t>
  </si>
  <si>
    <t xml:space="preserve">1. Log in as employee
2. Open My Workspace &gt; Attendance
3. Click "Add Request"
4. Fill date, In/Out, reason
5. Submit
6. As admin open Regularization</t>
  </si>
  <si>
    <t>Employee login; past unlocked day with a missed punch → Log in as employee → Open My Workspace &gt; Attendance → Click "Add Request" → Fill date, In/Out, reason → Submit → As admin open Regularization</t>
  </si>
  <si>
    <t>Employee sees the request Pending under Requests; admin list shows it with Raised By = employee, Status Pending</t>
  </si>
  <si>
    <t>TC-ATT-054</t>
  </si>
  <si>
    <t>Approve</t>
  </si>
  <si>
    <t>Approving a regularization updates the day once</t>
  </si>
  <si>
    <t>A Pending regularization for an unlocked day</t>
  </si>
  <si>
    <t xml:space="preserve">1. Open Attendance &gt; Regularization (/regularization)
2. Approve the request as the configured approver
3. Open the employee's attendance day</t>
  </si>
  <si>
    <t>A Pending regularization for an unlocked day → Open Attendance &gt; Regularization (/regularization) → Approve the request as the configured approver → Open the employee's attendance day</t>
  </si>
  <si>
    <t>Status Approved; day updated with the corrected times, marked regularized and re-judged; a repeat approval cannot double-apply</t>
  </si>
  <si>
    <t>M4 §4.7</t>
  </si>
  <si>
    <t>TC-ATT-055</t>
  </si>
  <si>
    <t>Reject</t>
  </si>
  <si>
    <t>Rejecting a regularization leaves the day unchanged</t>
  </si>
  <si>
    <t>A Pending regularization</t>
  </si>
  <si>
    <t>Reason: Punch evidence not provided</t>
  </si>
  <si>
    <t xml:space="preserve">1. Open Attendance &gt; Regularization (/regularization)
2. Reject with a reason
3. Refresh the page and confirm the outcome persists (list, balance or ledger as applicable)</t>
  </si>
  <si>
    <t>A Pending regularization → Open Attendance &gt; Regularization (/regularization) → Reject with a reason → Refresh the page and confirm the outcome persists (list, balance or ledger as applicable)</t>
  </si>
  <si>
    <t>Status Rejected; attendance day unchanged; employee notified with the reason</t>
  </si>
  <si>
    <t>TC-ATT-056</t>
  </si>
  <si>
    <t>Approval routing</t>
  </si>
  <si>
    <t>Regularization routes to the reporting manager</t>
  </si>
  <si>
    <t>Regularization workflow = Report Person; employee reports to a Team Lead</t>
  </si>
  <si>
    <t xml:space="preserve">1. Employee raises a request
2. Log in as the reporting manager
3. Open the approvals queue</t>
  </si>
  <si>
    <t>Regularization workflow = Report Person; employee reports to a Team Lead → Employee raises a request → Log in as the reporting manager → Open the approvals queue</t>
  </si>
  <si>
    <t>Request appears for the reporting manager; not for unrelated managers</t>
  </si>
  <si>
    <t>TC-ATT-057</t>
  </si>
  <si>
    <t>Employee cannot approve own regularization</t>
  </si>
  <si>
    <t>Employee with approval rights raised a request</t>
  </si>
  <si>
    <t xml:space="preserve">1. Log in as that employee
2. Look for the request in the approval queue
3. Confirm no data or action controls of the page are exposed</t>
  </si>
  <si>
    <t>Employee with approval rights raised a request → Log in as that employee → Look for the request in the approval queue → Confirm no data or action controls of the page are exposed</t>
  </si>
  <si>
    <t>Own request is not actionable by the applicant</t>
  </si>
  <si>
    <t>TC-ATT-058</t>
  </si>
  <si>
    <t>Regularization for a locked (finalized) period is refused</t>
  </si>
  <si>
    <t>A finalized &amp; locked attendance period</t>
  </si>
  <si>
    <t xml:space="preserve">1. Open Attendance &gt; Regularization (/regularization)
2. Raise a regularization for a date inside the locked period
3. Confirm the message shown and that no record or balance was created or changed</t>
  </si>
  <si>
    <t>A finalized &amp; locked attendance period → Open Attendance &gt; Regularization (/regularization) → Raise a regularization for a date inside the locked period → Confirm the message shown and that no record or balance was created or changed</t>
  </si>
  <si>
    <t>Refused with a message that the period is locked</t>
  </si>
  <si>
    <t>TC-ATT-059</t>
  </si>
  <si>
    <t>Future date regularization is refused</t>
  </si>
  <si>
    <t>Date: tomorrow</t>
  </si>
  <si>
    <t xml:space="preserve">1. Click "Add New"
2. Pick tomorrow's date
3. Save</t>
  </si>
  <si>
    <t>Logged in as HRMS admin (amit) → Click "Add New" → Pick tomorrow's date → Save</t>
  </si>
  <si>
    <t>Rejected — cannot regularize a day that has not occurred</t>
  </si>
  <si>
    <t>TC-ATT-060</t>
  </si>
  <si>
    <t>Out time before In time is rejected</t>
  </si>
  <si>
    <t xml:space="preserve">1. Click "Add New"
2. In 18:00
3. Out 09:00 (day shift)
4. Save</t>
  </si>
  <si>
    <t>Logged in as HRMS admin (amit) → Click "Add New" → In 18:00 → Out 09:00 (day shift) → Save</t>
  </si>
  <si>
    <t>TC-ATT-061</t>
  </si>
  <si>
    <t>Reason is mandatory when the shift rule requires it</t>
  </si>
  <si>
    <t>Shift rule: reason mandatory</t>
  </si>
  <si>
    <t xml:space="preserve">1. Click "Add New"
2. Leave reason blank
3. Save</t>
  </si>
  <si>
    <t>Shift rule: reason mandatory → Click "Add New" → Leave reason blank → Save</t>
  </si>
  <si>
    <t>Required message for reason; nothing saved</t>
  </si>
  <si>
    <t>TC-ATT-062</t>
  </si>
  <si>
    <t>Monthly regularization limit enforced</t>
  </si>
  <si>
    <t>Shift rule: max 3 regularizations / month; employee already has 3</t>
  </si>
  <si>
    <t xml:space="preserve">1. Open Attendance &gt; Regularization (/regularization)
2. Raise a 4th request in the same month
3. Refresh the page and confirm the outcome persists (list, balance or ledger as applicable)</t>
  </si>
  <si>
    <t>Shift rule: max 3 regularizations / month; employee already has 3 → Open Attendance &gt; Regularization (/regularization) → Raise a 4th request in the same month → Refresh the page and confirm the outcome persists (list, balance or ledger as applicable)</t>
  </si>
  <si>
    <t>Refused naming the monthly limit</t>
  </si>
  <si>
    <t>TC-ATT-063</t>
  </si>
  <si>
    <t>Correction window exceeded</t>
  </si>
  <si>
    <t>Shift rule: correction window 7 days</t>
  </si>
  <si>
    <t xml:space="preserve">1. Open Attendance &gt; Regularization (/regularization)
2. Raise a regularization for a date 10 days ago
3. Refresh the page and confirm the outcome persists (list, balance or ledger as applicable)</t>
  </si>
  <si>
    <t>Shift rule: correction window 7 days → Open Attendance &gt; Regularization (/regularization) → Raise a regularization for a date 10 days ago → Refresh the page and confirm the outcome persists (list, balance or ledger as applicable)</t>
  </si>
  <si>
    <t>Refused — outside the correction window</t>
  </si>
  <si>
    <t>TC-ATT-064</t>
  </si>
  <si>
    <t>Duplicate pending request for the same date is refused</t>
  </si>
  <si>
    <t>A Pending request exists for the date</t>
  </si>
  <si>
    <t xml:space="preserve">1. Open Attendance &gt; Regularization (/regularization)
2. Raise another request for the same employee and date
3. Confirm the message shown and that no record or balance was created or changed</t>
  </si>
  <si>
    <t>A Pending request exists for the date → Open Attendance &gt; Regularization (/regularization) → Raise another request for the same employee and date → Confirm the message shown and that no record or balance was created or changed</t>
  </si>
  <si>
    <t>Refused or merged — no duplicate pending request</t>
  </si>
  <si>
    <t>TC-ATT-065</t>
  </si>
  <si>
    <t>Employee notified of the decision</t>
  </si>
  <si>
    <t>Pending request</t>
  </si>
  <si>
    <t xml:space="preserve">1. Approve it
2. Log in as the employee
3. Check notifications and Requests tab</t>
  </si>
  <si>
    <t>Pending request → Approve it → Log in as the employee → Check notifications and Requests tab</t>
  </si>
  <si>
    <t>In-app notification of the decision; Requests tab shows the new status</t>
  </si>
  <si>
    <t>TC-ATT-066</t>
  </si>
  <si>
    <t>Search by employee or reason</t>
  </si>
  <si>
    <t xml:space="preserve">1. Open Attendance &gt; Regularization (/regularization)
2. Type an employee name in "Search employee or reason..."
3. Then a reason keyword</t>
  </si>
  <si>
    <t>Logged in as HRMS admin (amit) → Open Attendance &gt; Regularization (/regularization) → Type an employee name in "Search employee or reason..." → Then a reason keyword</t>
  </si>
  <si>
    <t>Only matching rows shown</t>
  </si>
  <si>
    <t>TC-ATT-067</t>
  </si>
  <si>
    <t>Page size, next and last pagination</t>
  </si>
  <si>
    <t xml:space="preserve">1. Open Attendance &gt; Regularization (/regularization)
2. Change page size 10/25/50/100
3. Click next and last</t>
  </si>
  <si>
    <t>Logged in as HRMS admin (amit) → Open Attendance &gt; Regularization (/regularization) → Change page size 10/25/50/100 → Click next and last</t>
  </si>
  <si>
    <t>Rows and pages update correctly</t>
  </si>
  <si>
    <t>TC-ATT-068</t>
  </si>
  <si>
    <t>Staff user cannot open the admin Regularization page</t>
  </si>
  <si>
    <t xml:space="preserve">1. Log in as the user named in the preconditions
2. Browse to /regularization
3. Confirm no data or action controls of the page are exposed</t>
  </si>
  <si>
    <t>Logged in as a Staff employee → Log in as the user named in the preconditions → Browse to /regularization → Confirm no data or action controls of the page are exposed</t>
  </si>
  <si>
    <t>Access denied / menu absent; employee can only use My Workspace &gt; Attendance &gt; Add Request</t>
  </si>
  <si>
    <t>TC-ATT-069</t>
  </si>
  <si>
    <t>Late In / Early Out Requests page opens and renders correctly</t>
  </si>
  <si>
    <t>Route /late-early-requests</t>
  </si>
  <si>
    <t xml:space="preserve">1. Open Attendance &gt; Late In / Early Out Requests from the sidebar
2. Wait for the loading indicator to clear
3. Observe the heading, toolbar buttons and table</t>
  </si>
  <si>
    <t>Logged in as HRMS admin (amit) → Open Attendance &gt; Late In / Early Out Requests from the sidebar → Wait for the loading indicator to clear → Observe the heading, toolbar buttons and table</t>
  </si>
  <si>
    <t>Page loads without redirect to login, 404 or application error; loading clears; heading "Late In / Early Out Requests" is shown; columns Employee, Date, Raised On, Type, Expected, Raised By, Status; "Add New"; search and page size</t>
  </si>
  <si>
    <t>Linear 044 Late In / Early Out Requests — page check</t>
  </si>
  <si>
    <t>TC-ATT-070</t>
  </si>
  <si>
    <t>Raise</t>
  </si>
  <si>
    <t>HR raises a Late In request for an employee</t>
  </si>
  <si>
    <t>Expected 10:30; reason "Hospital appointment"</t>
  </si>
  <si>
    <t xml:space="preserve">1. Click "Add New"
2. Select employee and date
3. Type = Late In
4. Expected arrival time
5. Reason
6. Save</t>
  </si>
  <si>
    <t>Logged in as HRMS admin (amit) → Click "Add New" → Select employee and date → Type = Late In → Expected arrival time → Reason → Save</t>
  </si>
  <si>
    <t>Row listed with Type Late In, Expected 10:30, Raised By Amit, Status Pending</t>
  </si>
  <si>
    <t>TC-ATT-071</t>
  </si>
  <si>
    <t>Employee raises an Early Out request</t>
  </si>
  <si>
    <t>Employee login</t>
  </si>
  <si>
    <t>Expected 16:00</t>
  </si>
  <si>
    <t xml:space="preserve">1. Log in as employee
2. My Workspace &gt; Attendance &gt; Add Request
3. Choose Early Out
4. Expected leaving time and reason
5. Submit</t>
  </si>
  <si>
    <t>Employee login → Log in as employee → My Workspace &gt; Attendance &gt; Add Request → Choose Early Out → Expected leaving time and reason → Submit</t>
  </si>
  <si>
    <t>Request Pending; visible on the admin page with Raised By = employee</t>
  </si>
  <si>
    <t>TC-ATT-072</t>
  </si>
  <si>
    <t>Decide</t>
  </si>
  <si>
    <t>Approved Late In waives the late mark</t>
  </si>
  <si>
    <t>Approved Late In request; employee punched in at 10:20</t>
  </si>
  <si>
    <t xml:space="preserve">1. Open Attendance &gt; Late In / Early Out Requests (/late-early-requests)
2. Process the day
3. View the attendance day</t>
  </si>
  <si>
    <t>Approved Late In request; employee punched in at 10:20 → Open Attendance &gt; Late In / Early Out Requests (/late-early-requests) → Process the day → View the attendance day</t>
  </si>
  <si>
    <t>Day not marked Late (or marked Late-Approved) and no penalty counted</t>
  </si>
  <si>
    <t>TC-ATT-073</t>
  </si>
  <si>
    <t>Rejected request keeps the late mark</t>
  </si>
  <si>
    <t>Pending Late In request</t>
  </si>
  <si>
    <t xml:space="preserve">1. Open Attendance &gt; Late In / Early Out Requests (/late-early-requests)
2. Reject it
3. View the attendance day</t>
  </si>
  <si>
    <t>Pending Late In request → Open Attendance &gt; Late In / Early Out Requests (/late-early-requests) → Reject it → View the attendance day</t>
  </si>
  <si>
    <t>Status Rejected; late mark and any tier penalty remain</t>
  </si>
  <si>
    <t>TC-ATT-074</t>
  </si>
  <si>
    <t>Arrival within grace is not marked late</t>
  </si>
  <si>
    <t>Shift 09:30 with 10-min grace</t>
  </si>
  <si>
    <t xml:space="preserve">1. Open Attendance &gt; Late In / Early Out Requests (/late-early-requests)
2. Employee punches in at 09:39
3. Process the day</t>
  </si>
  <si>
    <t>Shift 09:30 with 10-min grace → Open Attendance &gt; Late In / Early Out Requests (/late-early-requests) → Employee punches in at 09:39 → Process the day</t>
  </si>
  <si>
    <t>Day Present, not Late</t>
  </si>
  <si>
    <t>TC-ATT-075</t>
  </si>
  <si>
    <t>Incident tiers apply (e.g. 3 lates = half-day)</t>
  </si>
  <si>
    <t>Shift with incident tiers configured</t>
  </si>
  <si>
    <t xml:space="preserve">1. Open Attendance &gt; Late In / Early Out Requests (/late-early-requests)
2. Record chargeable late marks up to the tier count in a month
3. Process</t>
  </si>
  <si>
    <t>Shift with incident tiers configured → Open Attendance &gt; Late In / Early Out Requests (/late-early-requests) → Record chargeable late marks up to the tier count in a month → Process</t>
  </si>
  <si>
    <t>Tier outcome applied (e.g. 3 = Half-day, 5 = LWP); monthly grace budget / ignore-first-late waive marks</t>
  </si>
  <si>
    <t>TC-ATT-076</t>
  </si>
  <si>
    <t>Warning-only mode records without penalty</t>
  </si>
  <si>
    <t>Shift late rule in warning-only mode</t>
  </si>
  <si>
    <t xml:space="preserve">1. Open Attendance &gt; Late In / Early Out Requests (/late-early-requests)
2. Employee arrives late
3. Process</t>
  </si>
  <si>
    <t>Shift late rule in warning-only mode → Open Attendance &gt; Late In / Early Out Requests (/late-early-requests) → Employee arrives late → Process</t>
  </si>
  <si>
    <t>Late recorded as a warning; no deduction</t>
  </si>
  <si>
    <t>TC-ATT-077</t>
  </si>
  <si>
    <t>Expected time outside the shift is rejected</t>
  </si>
  <si>
    <t xml:space="preserve">1. Add New
2. Late In with Expected 23:00 for a 09:30–18:30 shift
3. Save</t>
  </si>
  <si>
    <t>Logged in as HRMS admin (amit) → Add New → Late In with Expected 23:00 for a 09:30–18:30 shift → Save</t>
  </si>
  <si>
    <t>TC-ATT-078</t>
  </si>
  <si>
    <t>Request for a locked period is refused</t>
  </si>
  <si>
    <t>A locked attendance period</t>
  </si>
  <si>
    <t xml:space="preserve">1. Open Attendance &gt; Late In / Early Out Requests (/late-early-requests)
2. Raise a Late In request for a date in it
3. Confirm the message shown and that no record or balance was created or changed</t>
  </si>
  <si>
    <t>A locked attendance period → Open Attendance &gt; Late In / Early Out Requests (/late-early-requests) → Raise a Late In request for a date in it → Confirm the message shown and that no record or balance was created or changed</t>
  </si>
  <si>
    <t>Refused — period locked</t>
  </si>
  <si>
    <t>TC-ATT-079</t>
  </si>
  <si>
    <t>Mandatory fields missing</t>
  </si>
  <si>
    <t xml:space="preserve">1. Open Attendance &gt; Late In / Early Out Requests (/late-early-requests)
2. Add New
3. Save with employee, date or type empty</t>
  </si>
  <si>
    <t>Logged in as HRMS admin (amit) → Open Attendance &gt; Late In / Early Out Requests (/late-early-requests) → Add New → Save with employee, date or type empty</t>
  </si>
  <si>
    <t>Required messages shown; nothing saved</t>
  </si>
  <si>
    <t>TC-ATT-080</t>
  </si>
  <si>
    <t>Search, page size and pagination</t>
  </si>
  <si>
    <t xml:space="preserve">1. Search an employee
2. Change page size
3. Use pager 1..4</t>
  </si>
  <si>
    <t>Logged in as HRMS admin (amit) → Search an employee → Change page size → Use pager 1..4</t>
  </si>
  <si>
    <t>Filtering and paging behave correctly</t>
  </si>
  <si>
    <t>TC-ATT-081</t>
  </si>
  <si>
    <t>Staff user cannot open Late In / Early Out Requests</t>
  </si>
  <si>
    <t xml:space="preserve">1. Log in as the user named in the preconditions
2. Browse to /late-early-requests
3. Confirm no data or action controls of the page are exposed</t>
  </si>
  <si>
    <t>Logged in as a Staff employee → Log in as the user named in the preconditions → Browse to /late-early-requests → Confirm no data or action controls of the page are exposed</t>
  </si>
  <si>
    <t>Access denied / menu absent</t>
  </si>
  <si>
    <t>TC-ATT-082</t>
  </si>
  <si>
    <t>Overtime Approval page opens and renders correctly</t>
  </si>
  <si>
    <t>Route /overtime-approval</t>
  </si>
  <si>
    <t xml:space="preserve">1. Open Attendance &gt; Overtime Approval from the sidebar
2. Wait for the loading indicator to clear
3. Observe the heading, toolbar buttons and table</t>
  </si>
  <si>
    <t>Logged in as HRMS admin (amit) → Open Attendance &gt; Overtime Approval from the sidebar → Wait for the loading indicator to clear → Observe the heading, toolbar buttons and table</t>
  </si>
  <si>
    <t>Page loads without redirect to login, 404 or application error; loading clears; heading "Overtime Approval" is shown; columns Employee, Date, Shift, Overtime, Eligible, Payout, Status, Exported; "Add Overtime"; search</t>
  </si>
  <si>
    <t>Linear 045 Overtime Approval — page check</t>
  </si>
  <si>
    <t>TC-ATT-083</t>
  </si>
  <si>
    <t>Add overtime</t>
  </si>
  <si>
    <t>HR adds an overtime record manually</t>
  </si>
  <si>
    <t>OT 02:00</t>
  </si>
  <si>
    <t xml:space="preserve">1. Click "Add Overtime"
2. Select employee, date, overtime duration
3. Payout = Pay
4. Save</t>
  </si>
  <si>
    <t>Logged in as HRMS admin (amit) → Click "Add Overtime" → Select employee, date, overtime duration → Payout = Pay → Save</t>
  </si>
  <si>
    <t>Row listed with Overtime 02:00, Payout Pay, Status Pending</t>
  </si>
  <si>
    <t>TC-ATT-084</t>
  </si>
  <si>
    <t>Compute</t>
  </si>
  <si>
    <t>Overtime computed beyond the eligible-after threshold, clamped and capped</t>
  </si>
  <si>
    <t>OT-eligible shift; employee worked beyond expected hours</t>
  </si>
  <si>
    <t xml:space="preserve">1. Open Attendance &gt; Overtime Approval (/overtime-approval)
2. Process the day
3. Open Overtime Approval</t>
  </si>
  <si>
    <t>OT-eligible shift; employee worked beyond expected hours → Open Attendance &gt; Overtime Approval (/overtime-approval) → Process the day → Open Overtime Approval</t>
  </si>
  <si>
    <t>OT computed beyond threshold, clamped by min block, rounded, capped by daily/weekly/monthly limits, stamped with day type</t>
  </si>
  <si>
    <t>M4 §4.6</t>
  </si>
  <si>
    <t>TC-ATT-085</t>
  </si>
  <si>
    <t>Extra time below the minimum OT block yields no overtime</t>
  </si>
  <si>
    <t>Min OT block 30 min</t>
  </si>
  <si>
    <t xml:space="preserve">1. Open Attendance &gt; Overtime Approval (/overtime-approval)
2. Employee works 20 min beyond shift
3. Process</t>
  </si>
  <si>
    <t>Min OT block 30 min → Open Attendance &gt; Overtime Approval (/overtime-approval) → Employee works 20 min beyond shift → Process</t>
  </si>
  <si>
    <t>No overtime row (or Eligible = No)</t>
  </si>
  <si>
    <t>TC-ATT-086</t>
  </si>
  <si>
    <t>Payout</t>
  </si>
  <si>
    <t>Payout selector offers Pay and Comp Off per row</t>
  </si>
  <si>
    <t>Logged in as HRMS admin (amit); pending OT rows</t>
  </si>
  <si>
    <t xml:space="preserve">1. Log in as the user named in the preconditions
2. Open the Payout dropdown on a row
3. Compare what is displayed with the expected result</t>
  </si>
  <si>
    <t>Logged in as HRMS admin (amit); pending OT rows → Log in as the user named in the preconditions → Open the Payout dropdown on a row → Compare what is displayed with the expected result</t>
  </si>
  <si>
    <t>Options Pay and Comp Off; choice is kept per row</t>
  </si>
  <si>
    <t>TC-ATT-087</t>
  </si>
  <si>
    <t>Approve overtime with Pay payout</t>
  </si>
  <si>
    <t>Pending eligible OT row</t>
  </si>
  <si>
    <t xml:space="preserve">1. Set Payout = Pay
2. Approve
3. Finalize/export the period</t>
  </si>
  <si>
    <t>Pending eligible OT row → Set Payout = Pay → Approve → Finalize/export the period</t>
  </si>
  <si>
    <t>Status Approved; after export the Exported column shows Yes and OT hours reach payroll</t>
  </si>
  <si>
    <t>TC-ATT-088</t>
  </si>
  <si>
    <t>Approve overtime with Comp Off payout earns a comp-off credit</t>
  </si>
  <si>
    <t>Pending eligible OT row; comp-off enabled in Leave Settings</t>
  </si>
  <si>
    <t xml:space="preserve">1. Set Payout = Comp Off
2. Approve
3. Open Leave &gt; Comp-Off Approval / employee My Leave &gt; Comp-Off</t>
  </si>
  <si>
    <t>Pending eligible OT row; comp-off enabled in Leave Settings → Set Payout = Comp Off → Approve → Open Leave &gt; Comp-Off Approval / employee My Leave &gt; Comp-Off</t>
  </si>
  <si>
    <t>Comp-off credit raised for the employee (via Comp-Off Approval or directly Available per config); not exported as paid OT</t>
  </si>
  <si>
    <t>TC-ATT-089</t>
  </si>
  <si>
    <t>Reject an overtime record</t>
  </si>
  <si>
    <t>Pending OT row</t>
  </si>
  <si>
    <t xml:space="preserve">1. Open Attendance &gt; Overtime Approval (/overtime-approval)
2. Reject it
3. Refresh the page and confirm the outcome persists (list, balance or ledger as applicable)</t>
  </si>
  <si>
    <t>Pending OT row → Open Attendance &gt; Overtime Approval (/overtime-approval) → Reject it → Refresh the page and confirm the outcome persists (list, balance or ledger as applicable)</t>
  </si>
  <si>
    <t>Status Rejected; nothing exported; no comp-off</t>
  </si>
  <si>
    <t>TC-ATT-090</t>
  </si>
  <si>
    <t>A decided OT record cannot be decided again</t>
  </si>
  <si>
    <t>Approved OT row</t>
  </si>
  <si>
    <t xml:space="preserve">1. Open Attendance &gt; Overtime Approval (/overtime-approval)
2. Try to approve/reject it again
3. Confirm the message shown and that no record or balance was created or changed</t>
  </si>
  <si>
    <t>Approved OT row → Open Attendance &gt; Overtime Approval (/overtime-approval) → Try to approve/reject it again → Confirm the message shown and that no record or balance was created or changed</t>
  </si>
  <si>
    <t>Action unavailable or refused</t>
  </si>
  <si>
    <t>TC-ATT-091</t>
  </si>
  <si>
    <t>Only approved overtime is exported</t>
  </si>
  <si>
    <t>OT approval mandatory; one approved and one pending row</t>
  </si>
  <si>
    <t xml:space="preserve">1. Open Attendance &gt; Overtime Approval (/overtime-approval)
2. Run finalization/export for the period
3. Confirm the message shown and that no record or balance was created or changed</t>
  </si>
  <si>
    <t>OT approval mandatory; one approved and one pending row → Open Attendance &gt; Overtime Approval (/overtime-approval) → Run finalization/export for the period → Confirm the message shown and that no record or balance was created or changed</t>
  </si>
  <si>
    <t>Only the approved row is exported; pending row stays Exported = No</t>
  </si>
  <si>
    <t>TC-ATT-092</t>
  </si>
  <si>
    <t>Non-eligible row cannot be paid</t>
  </si>
  <si>
    <t>Row with Eligible = No</t>
  </si>
  <si>
    <t xml:space="preserve">1. Open Attendance &gt; Overtime Approval (/overtime-approval)
2. Try to approve with Pay
3. Confirm the message shown and that no record or balance was created or changed</t>
  </si>
  <si>
    <t>Row with Eligible = No → Open Attendance &gt; Overtime Approval (/overtime-approval) → Try to approve with Pay → Confirm the message shown and that no record or balance was created or changed</t>
  </si>
  <si>
    <t>Approval/payout disabled or refused with reason</t>
  </si>
  <si>
    <t>TC-ATT-093</t>
  </si>
  <si>
    <t>Only the current-level approver may act</t>
  </si>
  <si>
    <t>Multi-level OT approval; level-1 pending</t>
  </si>
  <si>
    <t xml:space="preserve">1. Log in as the level-2 approver
2. Try to approve
3. Confirm no data or action controls of the page are exposed</t>
  </si>
  <si>
    <t>Multi-level OT approval; level-1 pending → Log in as the level-2 approver → Try to approve → Confirm no data or action controls of the page are exposed</t>
  </si>
  <si>
    <t>Not actionable until level 1 approves</t>
  </si>
  <si>
    <t>TC-ATT-094</t>
  </si>
  <si>
    <t>Holiday / weekly-off work stamped with day type</t>
  </si>
  <si>
    <t>Employee worked on a holiday</t>
  </si>
  <si>
    <t>Employee worked on a holiday → Open Attendance &gt; Overtime Approval (/overtime-approval) → Process the day → Open Overtime Approval</t>
  </si>
  <si>
    <t>Row stamped with day type Holiday and the holiday OT rule applied</t>
  </si>
  <si>
    <t>TC-ATT-095</t>
  </si>
  <si>
    <t>Search by employee or shift</t>
  </si>
  <si>
    <t xml:space="preserve">1. Open Attendance &gt; Overtime Approval (/overtime-approval)
2. Type an employee / shift name in "Search employee or shift..."
3. Compare what is displayed with the expected result</t>
  </si>
  <si>
    <t>Logged in as HRMS admin (amit) → Open Attendance &gt; Overtime Approval (/overtime-approval) → Type an employee / shift name in "Search employee or shift..." → Compare what is displayed with the expected result</t>
  </si>
  <si>
    <t>TC-ATT-096</t>
  </si>
  <si>
    <t>Staff user cannot open Overtime Approval</t>
  </si>
  <si>
    <t xml:space="preserve">1. Log in as the user named in the preconditions
2. Browse to /overtime-approval
3. Confirm no data or action controls of the page are exposed</t>
  </si>
  <si>
    <t>Logged in as a Staff employee → Log in as the user named in the preconditions → Browse to /overtime-approval → Confirm no data or action controls of the page are exposed</t>
  </si>
  <si>
    <t>TC-ATT-097</t>
  </si>
  <si>
    <t>Attendance Finalization page opens and renders correctly</t>
  </si>
  <si>
    <t>Route /attendance-finalization</t>
  </si>
  <si>
    <t xml:space="preserve">1. Open Attendance &gt; Attendance Finalization from the sidebar
2. Wait for the loading indicator to clear
3. Observe the heading, toolbar buttons and table</t>
  </si>
  <si>
    <t>Logged in as HRMS admin (amit) → Open Attendance &gt; Attendance Finalization from the sidebar → Wait for the loading indicator to clear → Observe the heading, toolbar buttons and table</t>
  </si>
  <si>
    <t>Page loads without redirect to login, 404 or application error; loading clears; heading "Attendance Finalization" is shown; status cards Pending / Under Review / Finalized with counts; "Check &amp; Update Absences" and "Add New"; columns Period, Scope, Status; search box</t>
  </si>
  <si>
    <t>Linear 046 Attendance Finalization — page check</t>
  </si>
  <si>
    <t>TC-ATT-098</t>
  </si>
  <si>
    <t>Create run</t>
  </si>
  <si>
    <t>Create a finalization run for a period and scope</t>
  </si>
  <si>
    <t>Period: Sep 2026</t>
  </si>
  <si>
    <t xml:space="preserve">1. Click "Add New"
2. Select period (month)
3. Scope = Branch Main Branch
4. Save</t>
  </si>
  <si>
    <t>Logged in as HRMS admin (amit) → Click "Add New" → Select period (month) → Scope = Branch Main Branch → Save</t>
  </si>
  <si>
    <t>Run listed with Status Pending; Pending card count +1</t>
  </si>
  <si>
    <t>TC-ATT-099</t>
  </si>
  <si>
    <t>Second run for the same period and scope is refused</t>
  </si>
  <si>
    <t>A run exists for Sep 2026 / Main Branch</t>
  </si>
  <si>
    <t xml:space="preserve">1. Open Attendance &gt; Attendance Finalization (/attendance-finalization)
2. Add New for the same period and scope
3. Confirm the message shown and that no record or balance was created or changed</t>
  </si>
  <si>
    <t>A run exists for Sep 2026 / Main Branch → Open Attendance &gt; Attendance Finalization (/attendance-finalization) → Add New for the same period and scope → Confirm the message shown and that no record or balance was created or changed</t>
  </si>
  <si>
    <t>Refused — one run per period + scope</t>
  </si>
  <si>
    <t>M4 §4.14</t>
  </si>
  <si>
    <t>TC-ATT-100</t>
  </si>
  <si>
    <t>Absences</t>
  </si>
  <si>
    <t>Check &amp; Update Absences marks unexplained days absent</t>
  </si>
  <si>
    <t>Employees with no punch and no leave on working days</t>
  </si>
  <si>
    <t xml:space="preserve">1. Click "Check &amp; Update Absences"
2. Confirm
3. Open the muster for those days</t>
  </si>
  <si>
    <t>Employees with no punch and no leave on working days → Click "Check &amp; Update Absences" → Confirm → Open the muster for those days</t>
  </si>
  <si>
    <t>Days without punch/leave/holiday marked Absent; leave and holidays untouched</t>
  </si>
  <si>
    <t>TC-ATT-101</t>
  </si>
  <si>
    <t>Run moves Pending → Under Review → Finalized</t>
  </si>
  <si>
    <t>A Pending run with no open approvals</t>
  </si>
  <si>
    <t xml:space="preserve">1. Open the run
2. Submit for review
3. Finalize</t>
  </si>
  <si>
    <t>A Pending run with no open approvals → Open the run → Submit for review → Finalize</t>
  </si>
  <si>
    <t>Status changes in order; card counts update</t>
  </si>
  <si>
    <t>TC-ATT-102</t>
  </si>
  <si>
    <t>Pending approvals block the lock</t>
  </si>
  <si>
    <t>Pending regularization / OT / leave inside the period</t>
  </si>
  <si>
    <t xml:space="preserve">1. Open Attendance &gt; Attendance Finalization (/attendance-finalization)
2. Try to finalize/lock the run
3. Confirm the message shown and that no record or balance was created or changed</t>
  </si>
  <si>
    <t>Pending regularization / OT / leave inside the period → Open Attendance &gt; Attendance Finalization (/attendance-finalization) → Try to finalize/lock the run → Confirm the message shown and that no record or balance was created or changed</t>
  </si>
  <si>
    <t>Blocked listing the pending items; lock allowed only after they are cleared</t>
  </si>
  <si>
    <t>M4 §4.8</t>
  </si>
  <si>
    <t>TC-ATT-103</t>
  </si>
  <si>
    <t>Lock</t>
  </si>
  <si>
    <t>Lock freezes an immutable snapshot</t>
  </si>
  <si>
    <t>All approvals cleared; run Finalized</t>
  </si>
  <si>
    <t xml:space="preserve">1. Open Attendance &gt; Attendance Finalization (/attendance-finalization)
2. Lock the run
3. Try to edit a day / raise regularization in the period</t>
  </si>
  <si>
    <t>All approvals cleared; run Finalized → Open Attendance &gt; Attendance Finalization (/attendance-finalization) → Lock the run → Try to edit a day / raise regularization in the period</t>
  </si>
  <si>
    <t>Per-employee lines frozen; days marked locked; edits and reprocessing refused</t>
  </si>
  <si>
    <t>TC-ATT-104</t>
  </si>
  <si>
    <t>Export before lock is refused</t>
  </si>
  <si>
    <t>Run not locked</t>
  </si>
  <si>
    <t xml:space="preserve">1. Log in as the user named in the preconditions
2. Click Export to payroll
3. Confirm the message shown and that no record or balance was created or changed</t>
  </si>
  <si>
    <t>Run not locked → Log in as the user named in the preconditions → Click Export to payroll → Confirm the message shown and that no record or balance was created or changed</t>
  </si>
  <si>
    <t>Refused until locked</t>
  </si>
  <si>
    <t>TC-ATT-105</t>
  </si>
  <si>
    <t>Locked / exported run cannot be deleted</t>
  </si>
  <si>
    <t>Locked run</t>
  </si>
  <si>
    <t xml:space="preserve">1. Open Attendance &gt; Attendance Finalization (/attendance-finalization)
2. Try to delete the run
3. Confirm the message shown and that no record or balance was created or changed</t>
  </si>
  <si>
    <t>Locked run → Open Attendance &gt; Attendance Finalization (/attendance-finalization) → Try to delete the run → Confirm the message shown and that no record or balance was created or changed</t>
  </si>
  <si>
    <t>Delete refused</t>
  </si>
  <si>
    <t>TC-ATT-106</t>
  </si>
  <si>
    <t>Unpaid absence offset against leave balance at lock</t>
  </si>
  <si>
    <t>Employee with unpaid absence and remaining leave</t>
  </si>
  <si>
    <t xml:space="preserve">1. Preview the run
2. Lock
3. Open Leave Ledger</t>
  </si>
  <si>
    <t>Employee with unpaid absence and remaining leave → Preview the run → Lock → Open Leave Ledger</t>
  </si>
  <si>
    <t>Allocation shown in preview; on lock the offset posts to the leave ledger in pattern order; remaining LOP exported</t>
  </si>
  <si>
    <t>TC-ATT-107</t>
  </si>
  <si>
    <t>Locked period blocks a leave approval revert</t>
  </si>
  <si>
    <t>Approved leave inside the locked period</t>
  </si>
  <si>
    <t xml:space="preserve">1. Open Attendance &gt; Attendance Finalization (/attendance-finalization)
2. Leave Approval &gt; Revert approval on that leave
3. Refresh the page and confirm the outcome persists (list, balance or ledger as applicable)</t>
  </si>
  <si>
    <t>Approved leave inside the locked period → Open Attendance &gt; Attendance Finalization (/attendance-finalization) → Leave Approval &gt; Revert approval on that leave → Refresh the page and confirm the outcome persists (list, balance or ledger as applicable)</t>
  </si>
  <si>
    <t>Refused: "{n} day(s) of this leave fall in a finalised attendance period and cannot be changed. Unlock that period first…"</t>
  </si>
  <si>
    <t>Leave FR-11</t>
  </si>
  <si>
    <t>TC-ATT-108</t>
  </si>
  <si>
    <t>Export</t>
  </si>
  <si>
    <t>Export sends days, LOP, OT and penalties to payroll</t>
  </si>
  <si>
    <t xml:space="preserve">1. Open Attendance &gt; Attendance Finalization (/attendance-finalization)
2. Export
3. Open the payroll input for the month</t>
  </si>
  <si>
    <t>Locked run → Open Attendance &gt; Attendance Finalization (/attendance-finalization) → Export → Open the payroll input for the month</t>
  </si>
  <si>
    <t>Payroll receives present days, LOP days, approved OT and penalties; run stamped with the export reference</t>
  </si>
  <si>
    <t>TC-ATT-109</t>
  </si>
  <si>
    <t>Search by branch, department or employee</t>
  </si>
  <si>
    <t>Main Branch</t>
  </si>
  <si>
    <t xml:space="preserve">1. Open Attendance &gt; Attendance Finalization (/attendance-finalization)
2. Type in "Search branch, department or employee..."
3. Compare what is displayed with the expected result</t>
  </si>
  <si>
    <t>Logged in as HRMS admin (amit) → Open Attendance &gt; Attendance Finalization (/attendance-finalization) → Type in "Search branch, department or employee..." → Compare what is displayed with the expected result</t>
  </si>
  <si>
    <t>Only matching runs shown</t>
  </si>
  <si>
    <t>TC-ATT-110</t>
  </si>
  <si>
    <t>Status cards filter the list</t>
  </si>
  <si>
    <t xml:space="preserve">1. Log in as the user named in the preconditions
2. Click the Pending, Under Review and Finalized cards
3. Compare what is displayed with the expected result</t>
  </si>
  <si>
    <t>Logged in as HRMS admin (amit) → Log in as the user named in the preconditions → Click the Pending, Under Review and Finalized cards → Compare what is displayed with the expected result</t>
  </si>
  <si>
    <t>List shows only runs in the selected status; counts match rows</t>
  </si>
  <si>
    <t>TC-ATT-111</t>
  </si>
  <si>
    <t>Only AttendanceFinalize role can create/lock runs</t>
  </si>
  <si>
    <t>Logged in as Staff / Team Lead</t>
  </si>
  <si>
    <t xml:space="preserve">1. Log in as the user named in the preconditions
2. Browse to /attendance-finalization
3. Confirm no data or action controls of the page are exposed</t>
  </si>
  <si>
    <t>Logged in as Staff / Team Lead → Log in as the user named in the preconditions → Browse to /attendance-finalization → Confirm no data or action controls of the page are exposed</t>
  </si>
  <si>
    <t>Access denied / menu absent; no Add New, lock or export</t>
  </si>
  <si>
    <t>TC-ATT-112</t>
  </si>
  <si>
    <t>Geofences page opens and renders correctly</t>
  </si>
  <si>
    <t>Route /geofences</t>
  </si>
  <si>
    <t xml:space="preserve">1. Open Attendance &gt; Geofences from the sidebar
2. Wait for the loading indicator to clear
3. Observe the heading, toolbar buttons and table</t>
  </si>
  <si>
    <t>Logged in as HRMS admin (amit) → Open Attendance &gt; Geofences from the sidebar → Wait for the loading indicator to clear → Observe the heading, toolbar buttons and table</t>
  </si>
  <si>
    <t>Page loads without redirect to login, 404 or application error; loading clears; heading "Geofences" is shown; columns Scope, Name, Lat, Long, Radius, Status and "View on map"; "Add Location" button</t>
  </si>
  <si>
    <t>Linear 047 Geofences — page check</t>
  </si>
  <si>
    <t>TC-ATT-113</t>
  </si>
  <si>
    <t>Add a company-wide geofence</t>
  </si>
  <si>
    <t>Kannur Office (Auto …); 11.892008; 75.468495; 50 m</t>
  </si>
  <si>
    <t xml:space="preserve">1. Click "Add Location"
2. Scope = Company-wide
3. Location Name
4. Latitude
5. Longitude
6. Radius (m)
7. Active ticked
8. Save</t>
  </si>
  <si>
    <t>Logged in as HRMS admin (amit) → Click "Add Location" → Scope = Company-wide → Location Name → Latitude → Longitude → Radius (m) → Active ticked → Save</t>
  </si>
  <si>
    <t>Saved; row shows Scope Company-wide, coordinates, Radius 50, Status Active</t>
  </si>
  <si>
    <t>TC-ATT-114</t>
  </si>
  <si>
    <t>Add a branch-scoped geofence</t>
  </si>
  <si>
    <t xml:space="preserve">1. Add Location
2. Scope = Branch
3. Choose branch
4. Name, Lat, Long, Radius
5. Save</t>
  </si>
  <si>
    <t>Logged in as HRMS admin (amit) → Add Location → Scope = Branch → Choose branch → Name, Lat, Long, Radius → Save</t>
  </si>
  <si>
    <t>Saved with Scope Branch</t>
  </si>
  <si>
    <t>TC-ATT-115</t>
  </si>
  <si>
    <t>Add a department-scoped geofence</t>
  </si>
  <si>
    <t>Testing</t>
  </si>
  <si>
    <t xml:space="preserve">1. Add Location
2. Scope = Department
3. Choose department
4. Fill fence
5. Save</t>
  </si>
  <si>
    <t>Logged in as HRMS admin (amit) → Add Location → Scope = Department → Choose department → Fill fence → Save</t>
  </si>
  <si>
    <t>Saved with Scope Department</t>
  </si>
  <si>
    <t>TC-ATT-116</t>
  </si>
  <si>
    <t>Add an employee-specific geofence (work from home)</t>
  </si>
  <si>
    <t>Employee: Priya Nair [progbiz0001]; 9.501455, 76.640008, 100 m</t>
  </si>
  <si>
    <t xml:space="preserve">1. Add Location
2. Scope = Employee
3. Employee*
4. Fill fence
5. Save</t>
  </si>
  <si>
    <t>Logged in as HRMS admin (amit) → Add Location → Scope = Employee → Employee* → Fill fence → Save</t>
  </si>
  <si>
    <t>Saved with Scope Employee and the employee's name</t>
  </si>
  <si>
    <t>TC-ATT-117</t>
  </si>
  <si>
    <t>Address search moves the map and fills coordinates</t>
  </si>
  <si>
    <t>Kannur, Kerala</t>
  </si>
  <si>
    <t xml:space="preserve">1. Add Location
2. Type an address in "Search an address to move the map…"
3. Pick a result</t>
  </si>
  <si>
    <t>Logged in as HRMS admin (amit) → Add Location → Type an address in "Search an address to move the map…" → Pick a result</t>
  </si>
  <si>
    <t>Map pans to the address; Latitude/Longitude fields update</t>
  </si>
  <si>
    <t>TC-ATT-118</t>
  </si>
  <si>
    <t>Location Name missing</t>
  </si>
  <si>
    <t xml:space="preserve">1. Add Location
2. Leave Location Name blank
3. Fill others
4. Save</t>
  </si>
  <si>
    <t>Logged in as HRMS admin (amit) → Add Location → Leave Location Name blank → Fill others → Save</t>
  </si>
  <si>
    <t>Required message for Location Name*</t>
  </si>
  <si>
    <t>TC-ATT-119</t>
  </si>
  <si>
    <t>Latitude / Longitude missing</t>
  </si>
  <si>
    <t xml:space="preserve">1. Add Location
2. Leave Latitude and Longitude blank
3. Save</t>
  </si>
  <si>
    <t>Logged in as HRMS admin (amit) → Add Location → Leave Latitude and Longitude blank → Save</t>
  </si>
  <si>
    <t>Required messages for Latitude* and Longitude*</t>
  </si>
  <si>
    <t>TC-ATT-120</t>
  </si>
  <si>
    <t>Employee missing when Scope = Employee</t>
  </si>
  <si>
    <t xml:space="preserve">1. Add Location
2. Scope Employee
3. Leave Employee "-- select --"
4. Save</t>
  </si>
  <si>
    <t>Logged in as HRMS admin (amit) → Add Location → Scope Employee → Leave Employee "-- select --" → Save</t>
  </si>
  <si>
    <t>Required message for Employee*</t>
  </si>
  <si>
    <t>TC-ATT-121</t>
  </si>
  <si>
    <t>Latitude outside -90..90 rejected</t>
  </si>
  <si>
    <t>Lat 95; -91</t>
  </si>
  <si>
    <t xml:space="preserve">1. Add Location
2. Latitude 95
3. Save</t>
  </si>
  <si>
    <t>Logged in as HRMS admin (amit) → Add Location → Latitude 95 → Save</t>
  </si>
  <si>
    <t>Rejected — latitude must be between -90 and 90</t>
  </si>
  <si>
    <t>M4 §4.9</t>
  </si>
  <si>
    <t>TC-ATT-122</t>
  </si>
  <si>
    <t>Longitude outside -180..180 rejected</t>
  </si>
  <si>
    <t>Long 181; -181</t>
  </si>
  <si>
    <t xml:space="preserve">1. Add Location
2. Longitude 181
3. Save</t>
  </si>
  <si>
    <t>Logged in as HRMS admin (amit) → Add Location → Longitude 181 → Save</t>
  </si>
  <si>
    <t>Rejected — longitude must be between -180 and 180</t>
  </si>
  <si>
    <t>TC-ATT-123</t>
  </si>
  <si>
    <t>Radius 0, negative or above 100000 m rejected</t>
  </si>
  <si>
    <t xml:space="preserve">1. Add Location
2. Radius 0, then -5, then 100001
3. Save each</t>
  </si>
  <si>
    <t>Logged in as HRMS admin (amit) → Add Location → Radius 0, then -5, then 100001 → Save each</t>
  </si>
  <si>
    <t>Each rejected — radius 1..100000 m; 1 and 100000 accepted</t>
  </si>
  <si>
    <t>TC-ATT-124</t>
  </si>
  <si>
    <t>Manage</t>
  </si>
  <si>
    <t>View a geofence on the map</t>
  </si>
  <si>
    <t xml:space="preserve">1. Log in as the user named in the preconditions
2. Click "View on map" on a row
3. Compare what is displayed with the expected result</t>
  </si>
  <si>
    <t>Logged in as HRMS admin (amit) → Log in as the user named in the preconditions → Click "View on map" on a row → Compare what is displayed with the expected result</t>
  </si>
  <si>
    <t>Map opens centred on the point with the radius circle drawn</t>
  </si>
  <si>
    <t>TC-ATT-125</t>
  </si>
  <si>
    <t>Edit a geofence radius</t>
  </si>
  <si>
    <t xml:space="preserve">1. Open a row
2. Change Radius to 75
3. Save</t>
  </si>
  <si>
    <t>Logged in as HRMS admin (amit) → Open a row → Change Radius to 75 → Save</t>
  </si>
  <si>
    <t>Row shows Radius 75</t>
  </si>
  <si>
    <t>TC-ATT-126</t>
  </si>
  <si>
    <t>Deactivate a geofence</t>
  </si>
  <si>
    <t xml:space="preserve">1. Edit the fence
2. Untick Active
3. Save</t>
  </si>
  <si>
    <t>Logged in as HRMS admin (amit) → Edit the fence → Untick Active → Save</t>
  </si>
  <si>
    <t>Status Inactive; punches are no longer validated against it</t>
  </si>
  <si>
    <t>TC-ATT-127</t>
  </si>
  <si>
    <t>Delete a geofence with confirmation</t>
  </si>
  <si>
    <t xml:space="preserve">1. Open Attendance &gt; Geofences (/geofences)
2. Delete a test fence
3. Confirm</t>
  </si>
  <si>
    <t>Logged in as HRMS admin (amit) → Open Attendance &gt; Geofences (/geofences) → Delete a test fence → Confirm</t>
  </si>
  <si>
    <t>Confirmation shown; row removed</t>
  </si>
  <si>
    <t>TC-ATT-128</t>
  </si>
  <si>
    <t>Employee locations</t>
  </si>
  <si>
    <t>Employee-submitted location stays pending until approved</t>
  </si>
  <si>
    <t xml:space="preserve">1. Open Attendance &gt; Geofences (/geofences)
2. Employee opens My Workspace &gt; Attendance &gt; "My Locations" and submits a location
3. Admin opens Geofences</t>
  </si>
  <si>
    <t>Employee login → Open Attendance &gt; Geofences (/geofences) → Employee opens My Workspace &gt; Attendance &gt; "My Locations" and submits a location → Admin opens Geofences</t>
  </si>
  <si>
    <t>Location appears pending; punches from it count only after approval</t>
  </si>
  <si>
    <t>TC-ATT-129</t>
  </si>
  <si>
    <t>Staff user cannot manage geofences</t>
  </si>
  <si>
    <t xml:space="preserve">1. Log in as the user named in the preconditions
2. Browse to /geofences
3. Confirm no data or action controls of the page are exposed</t>
  </si>
  <si>
    <t>Logged in as a Staff employee → Log in as the user named in the preconditions → Browse to /geofences → Confirm no data or action controls of the page are exposed</t>
  </si>
  <si>
    <t>TC-ATT-130</t>
  </si>
  <si>
    <t>Test Data Generator page opens and renders correctly</t>
  </si>
  <si>
    <t>Route /attendance-test-data</t>
  </si>
  <si>
    <t xml:space="preserve">1. Open Attendance &gt; Test Data Generator from the sidebar
2. Wait for the loading indicator to clear
3. Observe the heading, toolbar buttons and table</t>
  </si>
  <si>
    <t>Logged in as HRMS admin (amit) → Open Attendance &gt; Test Data Generator from the sidebar → Wait for the loading indicator to clear → Observe the heading, toolbar buttons and table</t>
  </si>
  <si>
    <t>Page loads without redirect to login, 404 or application error; loading clears; heading "Test Data Generator" is shown; the generator form and its action button render</t>
  </si>
  <si>
    <t>Linear 048 Test Data Generator — page check</t>
  </si>
  <si>
    <t>TC-ATT-131</t>
  </si>
  <si>
    <t>Generate sample attendance for an employee and date range</t>
  </si>
  <si>
    <t>Logged in as HRMS admin (amit) on the TEST tenant</t>
  </si>
  <si>
    <t>Lakshmi Joshi; 01–07 Oct 2026</t>
  </si>
  <si>
    <t xml:space="preserve">1. Open Test Data Generator
2. Choose employee(s) and date range
3. Generate
4. Open the employee's attendance history</t>
  </si>
  <si>
    <t>Logged in as HRMS admin (amit) on the TEST tenant → Open Test Data Generator → Choose employee(s) and date range → Generate → Open the employee's attendance history</t>
  </si>
  <si>
    <t>Attendance records created for the range and visible in the log/muster; summary count shown</t>
  </si>
  <si>
    <t>Module automation owned by teammates (base page checks in linear run) | Verify exact fields on the page — test tenant utility</t>
  </si>
  <si>
    <t>TC-ATT-132</t>
  </si>
  <si>
    <t>Regenerating the same range does not duplicate days</t>
  </si>
  <si>
    <t>Data already generated for the range</t>
  </si>
  <si>
    <t xml:space="preserve">1. Open Attendance &gt; Test Data Generator (/attendance-test-data)
2. Generate again for the same employee and range
3. Confirm the message shown and that no record or balance was created or changed</t>
  </si>
  <si>
    <t>Data already generated for the range → Open Attendance &gt; Test Data Generator (/attendance-test-data) → Generate again for the same employee and range → Confirm the message shown and that no record or balance was created or changed</t>
  </si>
  <si>
    <t>Existing days are replaced or skipped; no duplicate day records</t>
  </si>
  <si>
    <t>TC-ATT-133</t>
  </si>
  <si>
    <t>Generation refused for a locked period</t>
  </si>
  <si>
    <t>Locked period</t>
  </si>
  <si>
    <t xml:space="preserve">1. Open Attendance &gt; Test Data Generator (/attendance-test-data)
2. Generate data for a date inside it
3. Confirm the message shown and that no record or balance was created or changed</t>
  </si>
  <si>
    <t>Locked period → Open Attendance &gt; Test Data Generator (/attendance-test-data) → Generate data for a date inside it → Confirm the message shown and that no record or balance was created or changed</t>
  </si>
  <si>
    <t>Refused — locked days are immutable</t>
  </si>
  <si>
    <t>TC-ATT-134</t>
  </si>
  <si>
    <t>Generator restricted to administrators</t>
  </si>
  <si>
    <t xml:space="preserve">1. Log in as the user named in the preconditions
2. Browse to /attendance-test-data
3. Confirm no data or action controls of the page are exposed</t>
  </si>
  <si>
    <t>Logged in as Staff → Log in as the user named in the preconditions → Browse to /attendance-test-data → Confirm no data or action controls of the page are exposed</t>
  </si>
  <si>
    <t>TC-ATT-135</t>
  </si>
  <si>
    <t>My Workspace &gt; Attendance</t>
  </si>
  <si>
    <t>Web attendance</t>
  </si>
  <si>
    <t>Web ESS attendance has no Check-In / Check-Out button</t>
  </si>
  <si>
    <t>Employee logged in (e.g. Lakshmi Joshi pbhrms0353) with a shift assigned</t>
  </si>
  <si>
    <t xml:space="preserve">1. Open My Workspace &gt; Attendance
2. Inspect the dashboard actions
3. Compare what is displayed with the expected result</t>
  </si>
  <si>
    <t>Employee logged in (e.g. Lakshmi Joshi pbhrms0353) with a shift assigned → Open My Workspace &gt; Attendance → Inspect the dashboard actions → Compare what is displayed with the expected result</t>
  </si>
  <si>
    <t>Dashboard shows the day card (Worked / Break / Shift / Planned), Present/Absent/Late counts and only "My Locations" and "Add Request"; no web check-in</t>
  </si>
  <si>
    <t>Module automation owned by teammates (base page checks in linear run) | Web check-in is N/A — punches come from the mobile app / biometric device</t>
  </si>
  <si>
    <t>TC-ATT-136</t>
  </si>
  <si>
    <t>Attendance tabs Dashboard, Requests, Calendar, History render</t>
  </si>
  <si>
    <t xml:space="preserve">1. Log in as the user named in the preconditions
2. Open each tab in turn
3. Compare what is displayed with the expected result</t>
  </si>
  <si>
    <t>Employee logged in (e.g. Lakshmi Joshi pbhrms0353) with a shift assigned → Log in as the user named in the preconditions → Open each tab in turn → Compare what is displayed with the expected result</t>
  </si>
  <si>
    <t>Each tab loads its content without error</t>
  </si>
  <si>
    <t>TC-ATT-137</t>
  </si>
  <si>
    <t>Check-in</t>
  </si>
  <si>
    <t>Mobile app check-in inside an approved geofence</t>
  </si>
  <si>
    <t>Employee logged in (e.g. Lakshmi Joshi pbhrms0353) with a shift assigned; company geofence active; mobile app installed</t>
  </si>
  <si>
    <t>Geofence 11.892008, 75.468495 r 50 m</t>
  </si>
  <si>
    <t xml:space="preserve">1. Open the Progbiz ERP app at the office location
2. Tap Check-In
3. Refresh the page and confirm the outcome persists (list, balance or ledger as applicable)</t>
  </si>
  <si>
    <t>Employee logged in (e.g. Lakshmi Joshi pbhrms0353) with a shift assigned; company geofence active; mobile app installed → Open the Progbiz ERP app at the office location → Tap Check-In → Refresh the page and confirm the outcome persists (list, balance or ledger as applicable)</t>
  </si>
  <si>
    <t>Check-in accepted; running timer and Check Out shown; punch appears in My Workspace &gt; Attendance</t>
  </si>
  <si>
    <t>Needs a mobile-app / biometric-device punch — web check-in does not exist; cannot be automated in the web suite</t>
  </si>
  <si>
    <t>TC-ATT-138</t>
  </si>
  <si>
    <t>Check-in outside every geofence is refused</t>
  </si>
  <si>
    <t>Employee logged in (e.g. Lakshmi Joshi pbhrms0353) with a shift assigned; mobile app</t>
  </si>
  <si>
    <t xml:space="preserve">1. Open My Workspace &gt; Attendance (/ess/attendance)
2. Tap Check-In from a location outside all fences
3. Confirm the message shown and that no record or balance was created or changed</t>
  </si>
  <si>
    <t>Employee logged in (e.g. Lakshmi Joshi pbhrms0353) with a shift assigned; mobile app → Open My Workspace &gt; Attendance (/ess/attendance) → Tap Check-In from a location outside all fences → Confirm the message shown and that no record or balance was created or changed</t>
  </si>
  <si>
    <t>"Your current location is outside the approved punch locations." — no punch counted</t>
  </si>
  <si>
    <t>TC-ATT-139</t>
  </si>
  <si>
    <t>Mocked-GPS check-in is refused and logged</t>
  </si>
  <si>
    <t>Employee logged in (e.g. Lakshmi Joshi pbhrms0353) with a shift assigned; mock location app enabled</t>
  </si>
  <si>
    <t xml:space="preserve">1. Open My Workspace &gt; Attendance (/ess/attendance)
2. Tap Check-In with a mocked location
3. Confirm no protected data or action controls are exposed</t>
  </si>
  <si>
    <t>Employee logged in (e.g. Lakshmi Joshi pbhrms0353) with a shift assigned; mock location app enabled → Open My Workspace &gt; Attendance (/ess/attendance) → Tap Check-In with a mocked location → Confirm no protected data or action controls are exposed</t>
  </si>
  <si>
    <t>Refused before any attendance write; integrity event logged</t>
  </si>
  <si>
    <t>M4 §4.3</t>
  </si>
  <si>
    <t>TC-ATT-140</t>
  </si>
  <si>
    <t>Check-out</t>
  </si>
  <si>
    <t>Mobile check-out pairs the session</t>
  </si>
  <si>
    <t>Employee checked in today</t>
  </si>
  <si>
    <t xml:space="preserve">1. Open My Workspace &gt; Attendance (/ess/attendance)
2. Tap Check Out at end of shift
3. Open Attendance History</t>
  </si>
  <si>
    <t>Employee checked in today → Open My Workspace &gt; Attendance (/ess/attendance) → Tap Check Out at end of shift → Open Attendance History</t>
  </si>
  <si>
    <t>In/Out paired into one session; Worked hours computed</t>
  </si>
  <si>
    <t>TC-ATT-141</t>
  </si>
  <si>
    <t>Duplicate punch within the minimum interval is not double-counted</t>
  </si>
  <si>
    <t>Employee just punched</t>
  </si>
  <si>
    <t xml:space="preserve">1. Open My Workspace &gt; Attendance (/ess/attendance)
2. Punch again within the minimum interval
3. Confirm the message shown and that no record or balance was created or changed</t>
  </si>
  <si>
    <t>Employee just punched → Open My Workspace &gt; Attendance (/ess/attendance) → Punch again within the minimum interval → Confirm the message shown and that no record or balance was created or changed</t>
  </si>
  <si>
    <t>Second punch ignored; max punches/day enforced</t>
  </si>
  <si>
    <t>TC-ATT-142</t>
  </si>
  <si>
    <t>Biometric</t>
  </si>
  <si>
    <t>Biometric device punches are consolidated</t>
  </si>
  <si>
    <t>Biometric device configured</t>
  </si>
  <si>
    <t xml:space="preserve">1. Open My Workspace &gt; Attendance (/ess/attendance)
2. Punch on the device
3. Open Device Data report and the attendance day</t>
  </si>
  <si>
    <t>Biometric device configured → Open My Workspace &gt; Attendance (/ess/attendance) → Punch on the device → Open Device Data report and the attendance day</t>
  </si>
  <si>
    <t>Punch appears in Device Data and is paired into the day's session</t>
  </si>
  <si>
    <t>TC-ATT-143</t>
  </si>
  <si>
    <t>Late-synced offline device punches re-judge the right day</t>
  </si>
  <si>
    <t>Device offline for a day, then syncs</t>
  </si>
  <si>
    <t xml:space="preserve">1. Open My Workspace &gt; Attendance (/ess/attendance)
2. Sync the device
3. Open the earlier day</t>
  </si>
  <si>
    <t>Device offline for a day, then syncs → Open My Workspace &gt; Attendance (/ess/attendance) → Sync the device → Open the earlier day</t>
  </si>
  <si>
    <t>Punches consolidated and the earlier (unlocked) day re-judged; never discarded</t>
  </si>
  <si>
    <t>M4 §4.10</t>
  </si>
  <si>
    <t>TC-ATT-144</t>
  </si>
  <si>
    <t>Holiday</t>
  </si>
  <si>
    <t>Punch on a no-work holiday is refused</t>
  </si>
  <si>
    <t>Shift disallows holiday work; today is a holiday</t>
  </si>
  <si>
    <t xml:space="preserve">1. Open My Workspace &gt; Attendance (/ess/attendance)
2. Attempt a mobile check-in
3. Confirm the message shown and that no record or balance was created or changed</t>
  </si>
  <si>
    <t>Shift disallows holiday work; today is a holiday → Open My Workspace &gt; Attendance (/ess/attendance) → Attempt a mobile check-in → Confirm the message shown and that no record or balance was created or changed</t>
  </si>
  <si>
    <t>Refused with a message naming the holiday; attempt recorded</t>
  </si>
  <si>
    <t>M4 §4.11</t>
  </si>
  <si>
    <t>TC-ATT-145</t>
  </si>
  <si>
    <t>Attendance log</t>
  </si>
  <si>
    <t>Late arrival beyond grace shows Late in the log</t>
  </si>
  <si>
    <t>Employee checked in after grace</t>
  </si>
  <si>
    <t xml:space="preserve">1. Log in as the user named in the preconditions
2. Open My Workspace &gt; Attendance &gt; History
3. Refresh the page and confirm the outcome persists (list, balance or ledger as applicable)</t>
  </si>
  <si>
    <t>Employee checked in after grace → Log in as the user named in the preconditions → Open My Workspace &gt; Attendance &gt; History → Refresh the page and confirm the outcome persists (list, balance or ledger as applicable)</t>
  </si>
  <si>
    <t>Day marked Late with the check-in time; Late count on the dashboard increases</t>
  </si>
  <si>
    <t>TC-ATT-146</t>
  </si>
  <si>
    <t>Worked hours below Absent Threshold mark the day Absent</t>
  </si>
  <si>
    <t>Shift Absent Threshold 04:00</t>
  </si>
  <si>
    <t xml:space="preserve">1. Employee works 3 h
2. Process
3. Open History</t>
  </si>
  <si>
    <t>Shift Absent Threshold 04:00 → Employee works 3 h → Process → Open History</t>
  </si>
  <si>
    <t>Day marked Absent</t>
  </si>
  <si>
    <t>TC-ATT-147</t>
  </si>
  <si>
    <t>Worked hours between thresholds mark a Half Day</t>
  </si>
  <si>
    <t>Absent 04:00; Min full day 07:00</t>
  </si>
  <si>
    <t xml:space="preserve">1. Open My Workspace &gt; Attendance (/ess/attendance)
2. Employee works 5 h
3. Process</t>
  </si>
  <si>
    <t>Absent 04:00; Min full day 07:00 → Open My Workspace &gt; Attendance (/ess/attendance) → Employee works 5 h → Process</t>
  </si>
  <si>
    <t>Day marked Half Day</t>
  </si>
  <si>
    <t>TC-ATT-148</t>
  </si>
  <si>
    <t>Night-shift punches across midnight belong to the shift start date</t>
  </si>
  <si>
    <t>Employee on Night shift 22:00–06:00</t>
  </si>
  <si>
    <t xml:space="preserve">1. Open My Workspace &gt; Attendance (/ess/attendance)
2. Check in 22:00, check out 06:00 next day
3. Open History</t>
  </si>
  <si>
    <t>Employee on Night shift 22:00–06:00 → Open My Workspace &gt; Attendance (/ess/attendance) → Check in 22:00, check out 06:00 next day → Open History</t>
  </si>
  <si>
    <t>One session dated on the start date with 8 h worked</t>
  </si>
  <si>
    <t>TC-ATT-149</t>
  </si>
  <si>
    <t>History lists daily records with in/out times</t>
  </si>
  <si>
    <t>Employee logged in (e.g. Lakshmi Joshi pbhrms0353) with a shift assigned; past attendance exists</t>
  </si>
  <si>
    <t xml:space="preserve">1. Open History tab
2. Change month
3. Compare what is displayed with the expected result</t>
  </si>
  <si>
    <t>Employee logged in (e.g. Lakshmi Joshi pbhrms0353) with a shift assigned; past attendance exists → Open History tab → Change month → Compare what is displayed with the expected result</t>
  </si>
  <si>
    <t>Each day shows status, first in, last out and worked hours</t>
  </si>
  <si>
    <t>TC-ATT-150</t>
  </si>
  <si>
    <t>Calendar shows holidays, weekly offs and approved leave</t>
  </si>
  <si>
    <t>Employee logged in (e.g. Lakshmi Joshi pbhrms0353) with a shift assigned; an approved leave and an assigned holiday this month</t>
  </si>
  <si>
    <t xml:space="preserve">1. Log in as the user named in the preconditions
2. Open Calendar tab
3. Refresh the page and confirm the outcome persists (list, balance or ledger as applicable)</t>
  </si>
  <si>
    <t>Employee logged in (e.g. Lakshmi Joshi pbhrms0353) with a shift assigned; an approved leave and an assigned holiday this month → Log in as the user named in the preconditions → Open Calendar tab → Refresh the page and confirm the outcome persists (list, balance or ledger as applicable)</t>
  </si>
  <si>
    <t>Holiday, weekly off and leave days marked with the legend colours</t>
  </si>
  <si>
    <t>TC-ATT-151</t>
  </si>
  <si>
    <t>Approved leave day shows as Leave, not Absent</t>
  </si>
  <si>
    <t>Employee has an approved full-day leave</t>
  </si>
  <si>
    <t xml:space="preserve">1. Open My Workspace &gt; Attendance (/ess/attendance)
2. Process the day
3. Open History / Calendar</t>
  </si>
  <si>
    <t>Employee has an approved full-day leave → Open My Workspace &gt; Attendance (/ess/attendance) → Process the day → Open History / Calendar</t>
  </si>
  <si>
    <t>Day shows Leave (type name); not counted Absent or LOP</t>
  </si>
  <si>
    <t>TC-ATT-152</t>
  </si>
  <si>
    <t>Comp-off earning</t>
  </si>
  <si>
    <t>Working on a holiday / weekly off earns a comp-off</t>
  </si>
  <si>
    <t>Tenant Leave Settings: holiday work earns comp-off; employee punched on a holiday</t>
  </si>
  <si>
    <t xml:space="preserve">1. Process the day
2. Open Leave &gt; Comp-Off Approval
3. Approve
4. Employee opens My Leave &gt; Comp-Off</t>
  </si>
  <si>
    <t>Tenant Leave Settings: holiday work earns comp-off; employee punched on a holiday → Process the day → Open Leave &gt; Comp-Off Approval → Approve → Employee opens My Leave &gt; Comp-Off</t>
  </si>
  <si>
    <t>Comp-off detected and raised; after approval the credit shows Available on the employee's Comp-Off tab</t>
  </si>
  <si>
    <t>TC-ATT-153</t>
  </si>
  <si>
    <t>A comp-off day already claimed is not offered again</t>
  </si>
  <si>
    <t>Comp-off already claimed for the holiday worked</t>
  </si>
  <si>
    <t xml:space="preserve">1. Open My Workspace &gt; Attendance (/ess/attendance)
2. Employee opens Comp-Off claim list
3. Confirm the message shown and that no record or balance was created or changed</t>
  </si>
  <si>
    <t>Comp-off already claimed for the holiday worked → Open My Workspace &gt; Attendance (/ess/attendance) → Employee opens Comp-Off claim list → Confirm the message shown and that no record or balance was created or changed</t>
  </si>
  <si>
    <t>The claimed day is not offered again</t>
  </si>
  <si>
    <t>TC-ATT-154</t>
  </si>
  <si>
    <t>One alert per exception per day</t>
  </si>
  <si>
    <t>Late/absent exception exists; alert job runs</t>
  </si>
  <si>
    <t xml:space="preserve">1. Open My Workspace &gt; Attendance (/ess/attendance)
2. Run the alert job twice
3. Refresh the page and confirm the outcome persists (list, balance or ledger as applicable)</t>
  </si>
  <si>
    <t>Late/absent exception exists; alert job runs → Open My Workspace &gt; Attendance (/ess/attendance) → Run the alert job twice → Refresh the page and confirm the outcome persists (list, balance or ledger as applicable)</t>
  </si>
  <si>
    <t>Only one alert sent; none for a day already regularized</t>
  </si>
  <si>
    <t>M4 §4.13</t>
  </si>
  <si>
    <t>TC-ATT-155</t>
  </si>
  <si>
    <t>My Workspace &gt; Shift</t>
  </si>
  <si>
    <t>My Shift</t>
  </si>
  <si>
    <t>My Workspace &gt; Shift shows the current shift</t>
  </si>
  <si>
    <t xml:space="preserve">1. Log in as the user named in the preconditions
2. Open My Workspace &gt; Shift (/ess/my-shift)
3. Compare what is displayed with the expected result</t>
  </si>
  <si>
    <t>Employee logged in (e.g. Lakshmi Joshi pbhrms0353) with a shift assigned → Log in as the user named in the preconditions → Open My Workspace &gt; Shift (/ess/my-shift) → Compare what is displayed with the expected result</t>
  </si>
  <si>
    <t>Current shift name, timing and effective dates shown</t>
  </si>
  <si>
    <t>TC-ATT-156</t>
  </si>
  <si>
    <t>Employee sees only their own attendance</t>
  </si>
  <si>
    <t xml:space="preserve">1. Open My Workspace &gt; Attendance
2. Try changing an id in a request URL
3. Confirm no protected data or action controls are exposed</t>
  </si>
  <si>
    <t>Employee logged in (e.g. Lakshmi Joshi pbhrms0353) with a shift assigned → Open My Workspace &gt; Attendance → Try changing an id in a request URL → Confirm no protected data or action controls are exposed</t>
  </si>
  <si>
    <t>Only own records are shown; another employee's data is never returned</t>
  </si>
  <si>
    <t>TC-ATT-157</t>
  </si>
  <si>
    <t>Logged-out access to /shift-roster redirects to login</t>
  </si>
  <si>
    <t xml:space="preserve">1. Make sure no user is signed in (clear the session)
2. Browse to https://hrms-test.progbiz.in/shift-roster
3. Confirm no protected data or action controls are exposed</t>
  </si>
  <si>
    <t>Not logged in → Make sure no user is signed in (clear the session) → Browse to https://hrms-test.progbiz.in/shift-roster → Confirm no protected data or action controls are exposed</t>
  </si>
  <si>
    <t>Redirected to the login page; no attendance data rendered</t>
  </si>
  <si>
    <t>TC-ATT-158</t>
  </si>
  <si>
    <t>Logged-out access to /regularization redirects to login</t>
  </si>
  <si>
    <t xml:space="preserve">1. Make sure no user is signed in (clear the session)
2. Browse to https://hrms-test.progbiz.in/regularization
3. Confirm no protected data or action controls are exposed</t>
  </si>
  <si>
    <t>Not logged in → Make sure no user is signed in (clear the session) → Browse to https://hrms-test.progbiz.in/regularization → Confirm no protected data or action controls are exposed</t>
  </si>
  <si>
    <t>TC-ATT-159</t>
  </si>
  <si>
    <t>Logged-out access to /overtime-approval redirects to login</t>
  </si>
  <si>
    <t xml:space="preserve">1. Make sure no user is signed in (clear the session)
2. Browse to https://hrms-test.progbiz.in/overtime-approval
3. Confirm no protected data or action controls are exposed</t>
  </si>
  <si>
    <t>Not logged in → Make sure no user is signed in (clear the session) → Browse to https://hrms-test.progbiz.in/overtime-approval → Confirm no protected data or action controls are exposed</t>
  </si>
  <si>
    <t>TC-ATT-160</t>
  </si>
  <si>
    <t>Logged-out access to /attendance-finalization redirects to login</t>
  </si>
  <si>
    <t xml:space="preserve">1. Make sure no user is signed in (clear the session)
2. Browse to https://hrms-test.progbiz.in/attendance-finalization
3. Confirm no protected data or action controls are exposed</t>
  </si>
  <si>
    <t>Not logged in → Make sure no user is signed in (clear the session) → Browse to https://hrms-test.progbiz.in/attendance-finalization → Confirm no protected data or action controls are exposed</t>
  </si>
  <si>
    <t>TC-ATT-161</t>
  </si>
  <si>
    <t>Logged-out access to /geofences redirects to login</t>
  </si>
  <si>
    <t xml:space="preserve">1. Make sure no user is signed in (clear the session)
2. Browse to https://hrms-test.progbiz.in/geofences
3. Confirm no protected data or action controls are exposed</t>
  </si>
  <si>
    <t>Not logged in → Make sure no user is signed in (clear the session) → Browse to https://hrms-test.progbiz.in/geofences → Confirm no protected data or action controls are exposed</t>
  </si>
  <si>
    <t>TC-ATT-162</t>
  </si>
  <si>
    <t>Team Lead sees only their reportees' requests</t>
  </si>
  <si>
    <t>Logged in as a Team Lead with 2 reportees; requests exist for reportees and others</t>
  </si>
  <si>
    <t xml:space="preserve">1. Log in as the user named in the preconditions
2. Open the attendance approvals queue
3. Confirm no data or action controls of the page are exposed</t>
  </si>
  <si>
    <t>Logged in as a Team Lead with 2 reportees; requests exist for reportees and others → Log in as the user named in the preconditions → Open the attendance approvals queue → Confirm no data or action controls of the page are exposed</t>
  </si>
  <si>
    <t>Only requests from the Team Lead's reportees are listed and actionable</t>
  </si>
  <si>
    <t>TC-ATT-163</t>
  </si>
  <si>
    <t>Bulk</t>
  </si>
  <si>
    <t>Approve several overtime rows with their chosen payouts</t>
  </si>
  <si>
    <t>Logged in as HRMS admin (amit); 3 pending eligible OT rows</t>
  </si>
  <si>
    <t xml:space="preserve">1. Open Attendance &gt; Overtime Approval (/overtime-approval)
2. Set Payout Pay on two rows and Comp Off on one
3. Approve each</t>
  </si>
  <si>
    <t>Logged in as HRMS admin (amit); 3 pending eligible OT rows → Open Attendance &gt; Overtime Approval (/overtime-approval) → Set Payout Pay on two rows and Comp Off on one → Approve each</t>
  </si>
  <si>
    <t>All three Approved; two flagged for payroll export, one raises a comp-off credit</t>
  </si>
  <si>
    <t>TC-ATT-164</t>
  </si>
  <si>
    <t>Finalization run for Employee scope covers only that employee</t>
  </si>
  <si>
    <t xml:space="preserve">1. Add New
2. Scope = Employee
3. Pick the employee
4. Save
5. Check &amp; Update Absences</t>
  </si>
  <si>
    <t>Logged in as HRMS admin (amit) → Add New → Scope = Employee → Pick the employee → Save → Check &amp; Update Absences</t>
  </si>
  <si>
    <t>Run scoped to one employee; other employees untouched</t>
  </si>
  <si>
    <t>TC-ATT-165</t>
  </si>
  <si>
    <t>Shifts &amp; Rules form usable on a tablet-width screen</t>
  </si>
  <si>
    <t xml:space="preserve">1. Resize to 768 px
2. Open New Shift
3. Fill and save</t>
  </si>
  <si>
    <t>Logged in as HRMS admin (amit) → Resize to 768 px → Open New Shift → Fill and save</t>
  </si>
  <si>
    <t>Form fields and Save visible without horizontal scrolling; save works</t>
  </si>
  <si>
    <t>TC-ATT-166</t>
  </si>
  <si>
    <t>Employee with no shift uses Sunday as weekly off for leave counting</t>
  </si>
  <si>
    <t>Employee without any roster assignment</t>
  </si>
  <si>
    <t xml:space="preserve">1. Open Attendance &gt; Shift Roster (/shift-roster)
2. Apply a leave spanning a Sunday
3. Check counted days</t>
  </si>
  <si>
    <t>Employee without any roster assignment → Open Attendance &gt; Shift Roster (/shift-roster) → Apply a leave spanning a Sunday → Check counted days</t>
  </si>
  <si>
    <t>Sunday treated as weekly off (Leave SRS rule 11)</t>
  </si>
  <si>
    <t>Leave BR 11</t>
  </si>
  <si>
    <t>TC-ATT-167</t>
  </si>
  <si>
    <t>Duplicate location name within the same scope</t>
  </si>
  <si>
    <t>Logged in as HRMS admin (amit); fence "Kannur Office" exists company-wide</t>
  </si>
  <si>
    <t xml:space="preserve">1. Open Attendance &gt; Geofences (/geofences)
2. Add Location with the same name and scope
3. Save</t>
  </si>
  <si>
    <t>Logged in as HRMS admin (amit); fence "Kannur Office" exists company-wide → Open Attendance &gt; Geofences (/geofences) → Add Location with the same name and scope → Save</t>
  </si>
  <si>
    <t>Refused or warned about the duplicate name</t>
  </si>
  <si>
    <t>TC-ATT-168</t>
  </si>
  <si>
    <t>Late/early request routes to the reporting manager</t>
  </si>
  <si>
    <t>Employee reports to a Team Lead</t>
  </si>
  <si>
    <t xml:space="preserve">1. Open Attendance &gt; Late In / Early Out Requests (/late-early-requests)
2. Employee raises a Late In request
3. Team Lead opens approvals</t>
  </si>
  <si>
    <t>Employee reports to a Team Lead → Open Attendance &gt; Late In / Early Out Requests (/late-early-requests) → Employee raises a Late In request → Team Lead opens approvals</t>
  </si>
  <si>
    <t>Request visible and actionable for the reporting manager only</t>
  </si>
  <si>
    <t>TC-ATT-169</t>
  </si>
  <si>
    <t>Attachment mandatory when the shift rule requires it</t>
  </si>
  <si>
    <t>Shift rule: attachment mandatory for regularization</t>
  </si>
  <si>
    <t xml:space="preserve">1. Open Attendance &gt; Regularization (/regularization)
2. Add Request without attachment
3. Submit</t>
  </si>
  <si>
    <t>Shift rule: attachment mandatory for regularization → Open Attendance &gt; Regularization (/regularization) → Add Request without attachment → Submit</t>
  </si>
  <si>
    <t>Refused with a message asking for the attachment</t>
  </si>
  <si>
    <t>TC-LV-001</t>
  </si>
  <si>
    <t>Leave Types page opens and renders correctly</t>
  </si>
  <si>
    <t>Route /leave-types</t>
  </si>
  <si>
    <t xml:space="preserve">1. Open Leave &gt; Leave Types from the sidebar
2. Wait for the loading indicator to clear
3. Observe the heading, toolbar buttons and table</t>
  </si>
  <si>
    <t>Logged in as HRMS admin (amit) → Open Leave &gt; Leave Types from the sidebar → Wait for the loading indicator to clear → Observe the heading, toolbar buttons and table</t>
  </si>
  <si>
    <t>Page loads without redirect to login, 404 or application error; loading clears; heading "Leave Types" is shown; the inline form (Leave Type Name*, Supports Half-Day Leave, Document Required, Save, Clear), "Search leave type name..." and the types table render</t>
  </si>
  <si>
    <t>Linear 049 Leave Types — page check</t>
  </si>
  <si>
    <t>TC-LV-002</t>
  </si>
  <si>
    <t>Create leave type</t>
  </si>
  <si>
    <t>Create a leave type with the mandatory name only</t>
  </si>
  <si>
    <t>Study Leave (unused letters-only name)</t>
  </si>
  <si>
    <t xml:space="preserve">1. Open Leave &gt; Leave Types
2. Enter Leave Type Name
3. Click Save
4. Search the name and press Enter</t>
  </si>
  <si>
    <t>Logged in as HRMS admin (amit) → Open Leave &gt; Leave Types → Enter Leave Type Name → Click Save → Search the name and press Enter</t>
  </si>
  <si>
    <t>Success message; the type is listed with half-day = No and document = No</t>
  </si>
  <si>
    <t>Linear 049 Leave Types — createLeaveType</t>
  </si>
  <si>
    <t>TC-LV-003</t>
  </si>
  <si>
    <t>Create a leave type with half-day and document flags</t>
  </si>
  <si>
    <t>Maternity Leave QA</t>
  </si>
  <si>
    <t xml:space="preserve">1. Enter Leave Type Name
2. Tick "Supports Half-Day Leave"
3. Tick "Document Required"
4. Save
5. Re-open the row</t>
  </si>
  <si>
    <t>Logged in as HRMS admin (amit) → Enter Leave Type Name → Tick "Supports Half-Day Leave" → Tick "Document Required" → Save → Re-open the row</t>
  </si>
  <si>
    <t>Saved; both flags persist on re-open</t>
  </si>
  <si>
    <t>TC-LV-004</t>
  </si>
  <si>
    <t>Saving with an empty name shows "Enter Leave Type Name"</t>
  </si>
  <si>
    <t>Leave Type Name: (blank)</t>
  </si>
  <si>
    <t xml:space="preserve">1. Open Leave &gt; Leave Types (/leave-types)
2. Leave the name blank
3. Click Save</t>
  </si>
  <si>
    <t>Logged in as HRMS admin (amit) → Open Leave &gt; Leave Types (/leave-types) → Leave the name blank → Click Save</t>
  </si>
  <si>
    <t>Inline message "Enter Leave Type Name"; nothing saved</t>
  </si>
  <si>
    <t>LM-2 fixed 2026-09-08</t>
  </si>
  <si>
    <t>TC-LV-005</t>
  </si>
  <si>
    <t>Whitespace-only name is rejected</t>
  </si>
  <si>
    <t>3 spaces</t>
  </si>
  <si>
    <t xml:space="preserve">1. Open Leave &gt; Leave Types (/leave-types)
2. Enter "   "
3. Save</t>
  </si>
  <si>
    <t>Logged in as HRMS admin (amit) → Open Leave &gt; Leave Types (/leave-types) → Enter "   " → Save</t>
  </si>
  <si>
    <t>Treated as empty — required message; nothing saved</t>
  </si>
  <si>
    <t>TC-LV-006</t>
  </si>
  <si>
    <t>Duplicate leave type name is refused with a named reason</t>
  </si>
  <si>
    <t>Logged in as HRMS admin (amit); "Casual Leave" exists</t>
  </si>
  <si>
    <t>Casual Leave</t>
  </si>
  <si>
    <t xml:space="preserve">1. Open Leave &gt; Leave Types (/leave-types)
2. Enter "Casual Leave"
3. Save</t>
  </si>
  <si>
    <t>Logged in as HRMS admin (amit); "Casual Leave" exists → Open Leave &gt; Leave Types (/leave-types) → Enter "Casual Leave" → Save</t>
  </si>
  <si>
    <t>Dialog "Invalid submission - Leave type 'Casual Leave' already exists"; no second row</t>
  </si>
  <si>
    <t>LM-1 fixed 2026-09-08</t>
  </si>
  <si>
    <t>TC-LV-007</t>
  </si>
  <si>
    <t>Duplicate check is case-insensitive</t>
  </si>
  <si>
    <t>casual leave</t>
  </si>
  <si>
    <t xml:space="preserve">1. Open Leave &gt; Leave Types (/leave-types)
2. Enter "casual leave"
3. Save</t>
  </si>
  <si>
    <t>Logged in as HRMS admin (amit); "Casual Leave" exists → Open Leave &gt; Leave Types (/leave-types) → Enter "casual leave" → Save</t>
  </si>
  <si>
    <t>Refused as a duplicate</t>
  </si>
  <si>
    <t>TC-LV-008</t>
  </si>
  <si>
    <t>Leading whitespace is stripped from the name</t>
  </si>
  <si>
    <t xml:space="preserve">1. Enter "  Paternity Leave QA"
2. Save
3. Search the list</t>
  </si>
  <si>
    <t>Logged in as HRMS admin (amit) → Enter "  Paternity Leave QA" → Save → Search the list</t>
  </si>
  <si>
    <t>Saved as "Paternity Leave QA" without leading spaces</t>
  </si>
  <si>
    <t>TC-LV-009</t>
  </si>
  <si>
    <t>Digits in the leave type name are rejected</t>
  </si>
  <si>
    <t>Casual Leave 2026</t>
  </si>
  <si>
    <t xml:space="preserve">1. Open Leave &gt; Leave Types (/leave-types)
2. Enter "Casual Leave 2026"
3. Save</t>
  </si>
  <si>
    <t>Logged in as HRMS admin (amit) → Open Leave &gt; Leave Types (/leave-types) → Enter "Casual Leave 2026" → Save</t>
  </si>
  <si>
    <t>Rejected — leave type names accept letters and spaces only</t>
  </si>
  <si>
    <t>TC-LV-010</t>
  </si>
  <si>
    <t>Special characters / script in the name</t>
  </si>
  <si>
    <t xml:space="preserve">1. Open Leave &gt; Leave Types (/leave-types)
2. Enter "&lt;b&gt;Leave&lt;/b&gt;" and "Leave@#$"
3. Save</t>
  </si>
  <si>
    <t>Logged in as HRMS admin (amit) → Open Leave &gt; Leave Types (/leave-types) → Enter "&lt;b&gt;Leave&lt;/b&gt;" and "Leave@#$" → Save</t>
  </si>
  <si>
    <t>Rejected or stored as plain text; markup never rendered/executed</t>
  </si>
  <si>
    <t>TC-LV-011</t>
  </si>
  <si>
    <t>Very long leave type name</t>
  </si>
  <si>
    <t>150 letters</t>
  </si>
  <si>
    <t xml:space="preserve">1. Open Leave &gt; Leave Types (/leave-types)
2. Enter a 150-character name
3. Save</t>
  </si>
  <si>
    <t>Logged in as HRMS admin (amit) → Open Leave &gt; Leave Types (/leave-types) → Enter a 150-character name → Save</t>
  </si>
  <si>
    <t>Refused or capped at the documented max length with a message</t>
  </si>
  <si>
    <t>TC-LV-012</t>
  </si>
  <si>
    <t xml:space="preserve">1. Open Leave &gt; Leave Types (/leave-types)
2. Type a name and tick both flags
3. Click Clear</t>
  </si>
  <si>
    <t>Logged in as HRMS admin (amit) → Open Leave &gt; Leave Types (/leave-types) → Type a name and tick both flags → Click Clear</t>
  </si>
  <si>
    <t>Name emptied and both checkboxes unticked; nothing saved</t>
  </si>
  <si>
    <t>TC-LV-013</t>
  </si>
  <si>
    <t>Checkbox labels are distinct and accessible</t>
  </si>
  <si>
    <t xml:space="preserve">1. Open Leave &gt; Leave Types (/leave-types)
2. Inspect the two checkboxes with a screen reader / accessibility tree
3. Compare what is displayed with the expected result</t>
  </si>
  <si>
    <t>Logged in as HRMS admin (amit) → Open Leave &gt; Leave Types (/leave-types) → Inspect the two checkboxes with a screen reader / accessibility tree → Compare what is displayed with the expected result</t>
  </si>
  <si>
    <t>Accessible names "Supports Half-Day Leave" and "Document Required" (not both "Support HalfDay")</t>
  </si>
  <si>
    <t>LM-3 observed fixed 2026-09-12</t>
  </si>
  <si>
    <t>TC-LV-014</t>
  </si>
  <si>
    <t>Search applies on Enter</t>
  </si>
  <si>
    <t>Medical</t>
  </si>
  <si>
    <t xml:space="preserve">1. Type an existing type in "Search leave type name..."
2. Press Enter
3. Clear and press Enter</t>
  </si>
  <si>
    <t>Logged in as HRMS admin (amit) → Type an existing type in "Search leave type name..." → Press Enter → Clear and press Enter</t>
  </si>
  <si>
    <t>Only matching rows after Enter; clearing restores all</t>
  </si>
  <si>
    <t>Search applies only on Enter / search button</t>
  </si>
  <si>
    <t>TC-LV-015</t>
  </si>
  <si>
    <t>Search with no match shows an empty state</t>
  </si>
  <si>
    <t>Zzzz</t>
  </si>
  <si>
    <t xml:space="preserve">1. Open Leave &gt; Leave Types (/leave-types)
2. Search "Zzzz"
3. Press Enter</t>
  </si>
  <si>
    <t>Logged in as HRMS admin (amit) → Open Leave &gt; Leave Types (/leave-types) → Search "Zzzz" → Press Enter</t>
  </si>
  <si>
    <t>TC-LV-016</t>
  </si>
  <si>
    <t>List renders rows on first load</t>
  </si>
  <si>
    <t>Logged in as HRMS admin (amit); leave types exist</t>
  </si>
  <si>
    <t xml:space="preserve">1. Open /leave-types fresh
2. Observe the table without interacting
3. Compare what is displayed with the expected result</t>
  </si>
  <si>
    <t>Logged in as HRMS admin (amit); leave types exist → Open /leave-types fresh → Observe the table without interacting → Compare what is displayed with the expected result</t>
  </si>
  <si>
    <t>Existing types render on first load</t>
  </si>
  <si>
    <t>Known issue LM-8: leave setup lists can render empty on first load until a re-render</t>
  </si>
  <si>
    <t>TC-LV-017</t>
  </si>
  <si>
    <t>Edit leave type</t>
  </si>
  <si>
    <t>Edit a leave type name and flags</t>
  </si>
  <si>
    <t>Logged in as HRMS admin (amit); unused type exists</t>
  </si>
  <si>
    <t xml:space="preserve">1. Click edit on the row
2. Change name and untick Document Required
3. Save</t>
  </si>
  <si>
    <t>Logged in as HRMS admin (amit); unused type exists → Click edit on the row → Change name and untick Document Required → Save</t>
  </si>
  <si>
    <t>Row shows the new name and flag</t>
  </si>
  <si>
    <t>TC-LV-018</t>
  </si>
  <si>
    <t>Delete leave type</t>
  </si>
  <si>
    <t>Delete an unused leave type with confirmation</t>
  </si>
  <si>
    <t>Logged in as HRMS admin (amit); type not referenced anywhere</t>
  </si>
  <si>
    <t>Study Leave (Auto …)</t>
  </si>
  <si>
    <t xml:space="preserve">1. Click delete
2. Confirm
3. Refresh the page and confirm the outcome persists (list, balance or ledger as applicable)</t>
  </si>
  <si>
    <t>Logged in as HRMS admin (amit); type not referenced anywhere → Click delete → Confirm → Refresh the page and confirm the outcome persists (list, balance or ledger as applicable)</t>
  </si>
  <si>
    <t>Confirmation dialog; type removed from list</t>
  </si>
  <si>
    <t>TC-LV-019</t>
  </si>
  <si>
    <t>In-use leave type cannot be deleted</t>
  </si>
  <si>
    <t>Logged in as HRMS admin (amit); Casual Leave used by a pattern / request / ledger</t>
  </si>
  <si>
    <t xml:space="preserve">1. Open Leave &gt; Leave Types (/leave-types)
2. Look at the Casual Leave row actions
3. Confirm the message shown and that no record or balance was created or changed</t>
  </si>
  <si>
    <t>Logged in as HRMS admin (amit); Casual Leave used by a pattern / request / ledger → Open Leave &gt; Leave Types (/leave-types) → Look at the Casual Leave row actions → Confirm the message shown and that no record or balance was created or changed</t>
  </si>
  <si>
    <t>Delete replaced by an "In use" indicator explaining why</t>
  </si>
  <si>
    <t>TC-LV-020</t>
  </si>
  <si>
    <t>A new leave type appears in the Leave Pattern days grid</t>
  </si>
  <si>
    <t>Logged in as HRMS admin (amit); type just created</t>
  </si>
  <si>
    <t xml:space="preserve">1. Log in as the user named in the preconditions
2. Open Leave Patterns &gt; New Leave Pattern
3. Refresh the page and confirm the outcome persists (list, balance or ledger as applicable)</t>
  </si>
  <si>
    <t>Logged in as HRMS admin (amit); type just created → Log in as the user named in the preconditions → Open Leave Patterns &gt; New Leave Pattern → Refresh the page and confirm the outcome persists (list, balance or ledger as applicable)</t>
  </si>
  <si>
    <t>The new type has its own "No. of days" input in the grid</t>
  </si>
  <si>
    <t>TC-LV-021</t>
  </si>
  <si>
    <t>Staff user cannot access Leave Types</t>
  </si>
  <si>
    <t xml:space="preserve">1. Log in as the user named in the preconditions
2. Check the sidebar
3. Browse to /leave-types</t>
  </si>
  <si>
    <t>Logged in as a Staff employee → Log in as the user named in the preconditions → Check the sidebar → Browse to /leave-types</t>
  </si>
  <si>
    <t>Menu entry absent; direct URL denied (403 / redirect)</t>
  </si>
  <si>
    <t>TC-LV-022</t>
  </si>
  <si>
    <t xml:space="preserve">1. Make sure no user is signed in (clear the session)
2. Browse to /leave-types
3. Confirm no protected data or action controls are exposed</t>
  </si>
  <si>
    <t>Not logged in → Make sure no user is signed in (clear the session) → Browse to /leave-types → Confirm no protected data or action controls are exposed</t>
  </si>
  <si>
    <t>TC-LV-023</t>
  </si>
  <si>
    <t>Leave Patterns page opens and renders correctly</t>
  </si>
  <si>
    <t>Route /leave-patterns</t>
  </si>
  <si>
    <t xml:space="preserve">1. Open Leave &gt; Leave Patterns from the sidebar
2. Wait for the loading indicator to clear
3. Observe the heading, toolbar buttons and table</t>
  </si>
  <si>
    <t>Logged in as HRMS admin (amit) → Open Leave &gt; Leave Patterns from the sidebar → Wait for the loading indicator to clear → Observe the heading, toolbar buttons and table</t>
  </si>
  <si>
    <t>Page loads without redirect to login, 404 or application error; loading clears; heading "Leave Patterns" is shown; "New Leave Pattern" button and the patterns table (Leave Pattern Name column) render</t>
  </si>
  <si>
    <t>Linear 050 Leave Patterns — page check</t>
  </si>
  <si>
    <t>TC-LV-024</t>
  </si>
  <si>
    <t>Create pattern</t>
  </si>
  <si>
    <t>Create a leave pattern with name, effective window and days</t>
  </si>
  <si>
    <t>Branch Leave Pattern (letters only)</t>
  </si>
  <si>
    <t xml:space="preserve">1. Click "New Leave Pattern"
2. Enter Leave Pattern Name
3. Effective From 01-01-2026
4. Effective To 31-12-2026
5. Enter 12 days for the first leave type
6. Save</t>
  </si>
  <si>
    <t>Logged in as HRMS admin (amit) → Click "New Leave Pattern" → Enter Leave Pattern Name → Effective From 01-01-2026 → Effective To 31-12-2026 → Enter 12 days for the first leave type → Save</t>
  </si>
  <si>
    <t>Success message; pattern listed</t>
  </si>
  <si>
    <t>Linear 050 Leave Patterns — createLeavePattern</t>
  </si>
  <si>
    <t>TC-LV-025</t>
  </si>
  <si>
    <t>Create a pattern with days for every leave type</t>
  </si>
  <si>
    <t>Casual 12, Medical 12, Bereavement 3</t>
  </si>
  <si>
    <t xml:space="preserve">1. New Leave Pattern
2. Fill name and window
3. Enter days for each leave type row
4. Save
5. Re-open</t>
  </si>
  <si>
    <t>Logged in as HRMS admin (amit) → New Leave Pattern → Fill name and window → Enter days for each leave type row → Save → Re-open</t>
  </si>
  <si>
    <t>All day counts persist on re-open</t>
  </si>
  <si>
    <t>TC-LV-026</t>
  </si>
  <si>
    <t>0 days excludes a leave type from the pattern</t>
  </si>
  <si>
    <t xml:space="preserve">1. New Leave Pattern
2. Casual 12, Medical 0
3. Save
4. Open Leave Policy for the pattern</t>
  </si>
  <si>
    <t>Logged in as HRMS admin (amit) → New Leave Pattern → Casual 12, Medical 0 → Save → Open Leave Policy for the pattern</t>
  </si>
  <si>
    <t>Only Casual is a line of the pattern; Medical is excluded</t>
  </si>
  <si>
    <t>TC-LV-027</t>
  </si>
  <si>
    <t>Pattern window across a year boundary</t>
  </si>
  <si>
    <t xml:space="preserve">1. New Leave Pattern
2. From 01-06-2026
3. To 31-05-2027
4. Days
5. Save</t>
  </si>
  <si>
    <t>Logged in as HRMS admin (amit) → New Leave Pattern → From 01-06-2026 → To 31-05-2027 → Days → Save</t>
  </si>
  <si>
    <t>Saved — period is a window, not a calendar year</t>
  </si>
  <si>
    <t>TC-LV-028</t>
  </si>
  <si>
    <t>Two half-year patterns in one year</t>
  </si>
  <si>
    <t xml:space="preserve">1. Open Leave &gt; Leave Patterns (/leave-patterns)
2. Create Jan–Jun and Jul–Dec patterns
3. Refresh the page and confirm the outcome persists (list, balance or ledger as applicable)</t>
  </si>
  <si>
    <t>Logged in as HRMS admin (amit) → Open Leave &gt; Leave Patterns (/leave-patterns) → Create Jan–Jun and Jul–Dec patterns → Refresh the page and confirm the outcome persists (list, balance or ledger as applicable)</t>
  </si>
  <si>
    <t>Both saved</t>
  </si>
  <si>
    <t>TC-LV-029</t>
  </si>
  <si>
    <t>One-day window (From = To) is accepted</t>
  </si>
  <si>
    <t xml:space="preserve">1. New Leave Pattern
2. From = To = 06-10-2026
3. Save</t>
  </si>
  <si>
    <t>Logged in as HRMS admin (amit) → New Leave Pattern → From = To = 06-10-2026 → Save</t>
  </si>
  <si>
    <t>Saved (end does not precede start)</t>
  </si>
  <si>
    <t>TC-LV-030</t>
  </si>
  <si>
    <t>Leave Pattern Name missing</t>
  </si>
  <si>
    <t xml:space="preserve">1. New Leave Pattern
2. Leave name blank
3. Fill dates
4. Save</t>
  </si>
  <si>
    <t>Logged in as HRMS admin (amit) → New Leave Pattern → Leave name blank → Fill dates → Save</t>
  </si>
  <si>
    <t>Required message for Leave Pattern Name*</t>
  </si>
  <si>
    <t>TC-LV-031</t>
  </si>
  <si>
    <t>Effective From missing</t>
  </si>
  <si>
    <t xml:space="preserve">1. New Leave Pattern
2. Leave Effective From blank
3. Save</t>
  </si>
  <si>
    <t>Logged in as HRMS admin (amit) → New Leave Pattern → Leave Effective From blank → Save</t>
  </si>
  <si>
    <t>Required message for Effective From*</t>
  </si>
  <si>
    <t>TC-LV-032</t>
  </si>
  <si>
    <t>Effective To missing</t>
  </si>
  <si>
    <t xml:space="preserve">1. New Leave Pattern
2. Leave Effective To blank
3. Save</t>
  </si>
  <si>
    <t>Logged in as HRMS admin (amit) → New Leave Pattern → Leave Effective To blank → Save</t>
  </si>
  <si>
    <t>Required message for Effective To*</t>
  </si>
  <si>
    <t>TC-LV-033</t>
  </si>
  <si>
    <t>Effective To before Effective From is rejected</t>
  </si>
  <si>
    <t xml:space="preserve">1. New Leave Pattern
2. From 31-12-2026
3. To 01-01-2026
4. Save</t>
  </si>
  <si>
    <t>Logged in as HRMS admin (amit) → New Leave Pattern → From 31-12-2026 → To 01-01-2026 → Save</t>
  </si>
  <si>
    <t>Dialog "Effective To date must be on or after the Effective From date"; not saved</t>
  </si>
  <si>
    <t>LM-4 fixed 2026-09-08</t>
  </si>
  <si>
    <t>TC-LV-034</t>
  </si>
  <si>
    <t>Digits in the pattern name are rejected</t>
  </si>
  <si>
    <t>QA Pattern 2026</t>
  </si>
  <si>
    <t xml:space="preserve">1. New Leave Pattern
2. Name "QA Pattern 2026"
3. Save</t>
  </si>
  <si>
    <t>Logged in as HRMS admin (amit) → New Leave Pattern → Name "QA Pattern 2026" → Save</t>
  </si>
  <si>
    <t>"Leave Pattern Name should contain only letters and spaces."</t>
  </si>
  <si>
    <t>Known issue LM-7: rule blocks common year-based names (by design per SRS)</t>
  </si>
  <si>
    <t>TC-LV-035</t>
  </si>
  <si>
    <t>Special characters in the pattern name are rejected</t>
  </si>
  <si>
    <t xml:space="preserve">1. New Leave Pattern
2. Name "Staff-Pattern_A"
3. Save</t>
  </si>
  <si>
    <t>Logged in as HRMS admin (amit) → New Leave Pattern → Name "Staff-Pattern_A" → Save</t>
  </si>
  <si>
    <t>Letters-and-spaces message; not saved</t>
  </si>
  <si>
    <t>TC-LV-036</t>
  </si>
  <si>
    <t>Negative day count is rejected</t>
  </si>
  <si>
    <t>-5</t>
  </si>
  <si>
    <t xml:space="preserve">1. New Leave Pattern
2. Days -5
3. Save</t>
  </si>
  <si>
    <t>Logged in as HRMS admin (amit) → New Leave Pattern → Days -5 → Save</t>
  </si>
  <si>
    <t>Rejected with a visible message; not saved</t>
  </si>
  <si>
    <t>LM-4: earlier silent failure — verify a message now appears</t>
  </si>
  <si>
    <t>TC-LV-037</t>
  </si>
  <si>
    <t>Fractional day count</t>
  </si>
  <si>
    <t xml:space="preserve">1. New Leave Pattern
2. Days 1.5 then 1.3
3. Save</t>
  </si>
  <si>
    <t>Logged in as HRMS admin (amit) → New Leave Pattern → Days 1.5 then 1.3 → Save</t>
  </si>
  <si>
    <t>Whole days (or exact half) only; 1.3 rejected or rounded</t>
  </si>
  <si>
    <t>§7.2 / BR 5</t>
  </si>
  <si>
    <t>TC-LV-038</t>
  </si>
  <si>
    <t>Duplicate pattern name is refused</t>
  </si>
  <si>
    <t>Logged in as HRMS admin (amit); "Standard Leave" exists</t>
  </si>
  <si>
    <t xml:space="preserve">1. New Leave Pattern
2. Name "Standard Leave"
3. Save</t>
  </si>
  <si>
    <t>Logged in as HRMS admin (amit); "Standard Leave" exists → New Leave Pattern → Name "Standard Leave" → Save</t>
  </si>
  <si>
    <t>Refused with a duplicate-name message</t>
  </si>
  <si>
    <t>TC-LV-039</t>
  </si>
  <si>
    <t>Edit pattern</t>
  </si>
  <si>
    <t>Edit pattern days and window</t>
  </si>
  <si>
    <t>Logged in as HRMS admin (amit); unassigned pattern</t>
  </si>
  <si>
    <t xml:space="preserve">1. Open the pattern
2. Change Casual days 12 → 10
3. Save</t>
  </si>
  <si>
    <t>Logged in as HRMS admin (amit); unassigned pattern → Open the pattern → Change Casual days 12 → 10 → Save</t>
  </si>
  <si>
    <t>Pattern shows 10 days for Casual</t>
  </si>
  <si>
    <t>TC-LV-040</t>
  </si>
  <si>
    <t>Editing a policy line versions the pattern</t>
  </si>
  <si>
    <t>Pattern in use with a Pending request</t>
  </si>
  <si>
    <t xml:space="preserve">1. Open Leave &gt; Leave Patterns (/leave-patterns)
2. Change a policy rule on the line
3. Approve the old request</t>
  </si>
  <si>
    <t>Pattern in use with a Pending request → Open Leave &gt; Leave Patterns (/leave-patterns) → Change a policy rule on the line → Approve the old request</t>
  </si>
  <si>
    <t>Pending request keeps the rules in force at submission</t>
  </si>
  <si>
    <t>TC-LV-041</t>
  </si>
  <si>
    <t>Delete pattern</t>
  </si>
  <si>
    <t>Pattern with assignments (incl. stopped) cannot be deleted</t>
  </si>
  <si>
    <t>Pattern has an assignment</t>
  </si>
  <si>
    <t xml:space="preserve">1. Open Leave &gt; Leave Patterns (/leave-patterns)
2. Try to delete the pattern
3. Confirm the message shown and that no record or balance was created or changed</t>
  </si>
  <si>
    <t>Pattern has an assignment → Open Leave &gt; Leave Patterns (/leave-patterns) → Try to delete the pattern → Confirm the message shown and that no record or balance was created or changed</t>
  </si>
  <si>
    <t>Refused — delete its assignments first</t>
  </si>
  <si>
    <t>TC-LV-042</t>
  </si>
  <si>
    <t>Delete an unassigned pattern with confirmation</t>
  </si>
  <si>
    <t>Logged in as HRMS admin (amit); unassigned test pattern</t>
  </si>
  <si>
    <t xml:space="preserve">1. Open Leave &gt; Leave Patterns (/leave-patterns)
2. Delete
3. Confirm</t>
  </si>
  <si>
    <t>Logged in as HRMS admin (amit); unassigned test pattern → Open Leave &gt; Leave Patterns (/leave-patterns) → Delete → Confirm</t>
  </si>
  <si>
    <t>Confirmation dialog; pattern removed</t>
  </si>
  <si>
    <t>TC-LV-043</t>
  </si>
  <si>
    <t>Saved patterns are listed on first load</t>
  </si>
  <si>
    <t xml:space="preserve">1. Log in as the user named in the preconditions
2. Open /leave-patterns fresh
3. Compare what is displayed with the expected result</t>
  </si>
  <si>
    <t>Logged in as HRMS admin (amit) → Log in as the user named in the preconditions → Open /leave-patterns fresh → Compare what is displayed with the expected result</t>
  </si>
  <si>
    <t>All patterns visible without extra clicks</t>
  </si>
  <si>
    <t>TC-LV-044</t>
  </si>
  <si>
    <t>Sort by Leave Pattern Name</t>
  </si>
  <si>
    <t xml:space="preserve">1. Log in as the user named in the preconditions
2. Click the Leave Pattern Name header twice
3. Compare what is displayed with the expected result</t>
  </si>
  <si>
    <t>Logged in as HRMS admin (amit) → Log in as the user named in the preconditions → Click the Leave Pattern Name header twice → Compare what is displayed with the expected result</t>
  </si>
  <si>
    <t>Ascending then descending order</t>
  </si>
  <si>
    <t>TC-LV-045</t>
  </si>
  <si>
    <t>New pattern is offered in Leave Policy and Leave Assignment</t>
  </si>
  <si>
    <t>Logged in as HRMS admin (amit); pattern just created</t>
  </si>
  <si>
    <t xml:space="preserve">1. Open Leave Policy &gt; Leave Pattern dropdown
2. Open Leave Assignment &gt; New Leave Assignment
3. Refresh the page and confirm the outcome persists (list, balance or ledger as applicable)</t>
  </si>
  <si>
    <t>Logged in as HRMS admin (amit); pattern just created → Open Leave Policy &gt; Leave Pattern dropdown → Open Leave Assignment &gt; New Leave Assignment → Refresh the page and confirm the outcome persists (list, balance or ledger as applicable)</t>
  </si>
  <si>
    <t>Pattern appears in both dropdowns</t>
  </si>
  <si>
    <t>TC-LV-046</t>
  </si>
  <si>
    <t>Staff user cannot access Leave Patterns</t>
  </si>
  <si>
    <t xml:space="preserve">1. Log in as the user named in the preconditions
2. Browse to /leave-patterns
3. Confirm no data or action controls of the page are exposed</t>
  </si>
  <si>
    <t>Logged in as Staff → Log in as the user named in the preconditions → Browse to /leave-patterns → Confirm no data or action controls of the page are exposed</t>
  </si>
  <si>
    <t>TC-LV-047</t>
  </si>
  <si>
    <t>Leave Policy page opens and renders correctly</t>
  </si>
  <si>
    <t>Route /leave-policy</t>
  </si>
  <si>
    <t xml:space="preserve">1. Open Leave &gt; Leave Policy from the sidebar
2. Wait for the loading indicator to clear
3. Observe the heading, toolbar buttons and table</t>
  </si>
  <si>
    <t>Logged in as HRMS admin (amit) → Open Leave &gt; Leave Policy from the sidebar → Wait for the loading indicator to clear → Observe the heading, toolbar buttons and table</t>
  </si>
  <si>
    <t>Page loads without redirect to login, 404 or application error; loading clears; heading "Leave Policy" is shown; the Leave Pattern dropdown (Choose, Standard Staff, …) renders; master/detail layout ready</t>
  </si>
  <si>
    <t>Linear 051 Leave Policy — page check</t>
  </si>
  <si>
    <t>TC-LV-048</t>
  </si>
  <si>
    <t>Selecting a pattern lists its leave-type lines</t>
  </si>
  <si>
    <t>Logged in as HRMS admin (amit); pattern "Standard Leave" with Casual and Medical lines</t>
  </si>
  <si>
    <t xml:space="preserve">1. Open Leave Policy
2. Choose "Standard Leave"
3. Compare what is displayed with the expected result</t>
  </si>
  <si>
    <t>Logged in as HRMS admin (amit); pattern "Standard Leave" with Casual and Medical lines → Open Leave Policy → Choose "Standard Leave" → Compare what is displayed with the expected result</t>
  </si>
  <si>
    <t>Lines Casual Leave and Medical Leave listed with a gear/configure action each</t>
  </si>
  <si>
    <t>TC-LV-049</t>
  </si>
  <si>
    <t>Rule groups shown in order with Accrual open by default</t>
  </si>
  <si>
    <t xml:space="preserve">1. Log in as the user named in the preconditions
2. Click the gear on Casual Leave
3. Compare what is displayed with the expected result</t>
  </si>
  <si>
    <t>Logged in as HRMS admin (amit); pattern "Standard Leave" with Casual and Medical lines → Log in as the user named in the preconditions → Click the gear on Casual Leave → Compare what is displayed with the expected result</t>
  </si>
  <si>
    <t>Six collapsible groups in order Accrual, Eligibility, Application, Counting, Carry-forward, Balance &amp; payout; Accrual expanded</t>
  </si>
  <si>
    <t>§11</t>
  </si>
  <si>
    <t>TC-LV-050</t>
  </si>
  <si>
    <t>Accrual</t>
  </si>
  <si>
    <t>All at once credits whole quota (pro-rated) on assignment</t>
  </si>
  <si>
    <t>Casual 12; assigned in Sep</t>
  </si>
  <si>
    <t xml:space="preserve">1. Set "How are days credited?" = All at once
2. Save
3. Assign the pattern mid-year to a new employee
4. Open Leave Ledger</t>
  </si>
  <si>
    <t>Logged in as HRMS admin (amit); pattern "Standard Leave" with Casual and Medical lines → Set "How are days credited?" = All at once → Save → Assign the pattern mid-year to a new employee → Open Leave Ledger</t>
  </si>
  <si>
    <t>Opening entitlement posted pro-rated for months remaining (e.g. 4 for Sep–Dec)</t>
  </si>
  <si>
    <t>TC-LV-051</t>
  </si>
  <si>
    <t>Monthly credit requires "Days credited each time"</t>
  </si>
  <si>
    <t xml:space="preserve">1. Set Monthly
2. Leave "Days credited each time" blank
3. Save</t>
  </si>
  <si>
    <t>Logged in as HRMS admin (amit); pattern "Standard Leave" with Casual and Medical lines → Set Monthly → Leave "Days credited each time" blank → Save</t>
  </si>
  <si>
    <t>Field highlighted red with reason; not saved</t>
  </si>
  <si>
    <t>TC-LV-052</t>
  </si>
  <si>
    <t>Days credited each time above the line's days rejected</t>
  </si>
  <si>
    <t>13</t>
  </si>
  <si>
    <t xml:space="preserve">1. Monthly
2. Days each time 13 (line 12)
3. Save</t>
  </si>
  <si>
    <t>Logged in as HRMS admin (amit); pattern "Standard Leave" with Casual and Medical lines → Monthly → Days each time 13 (line 12) → Save</t>
  </si>
  <si>
    <t>Rejected — cannot exceed the line's days</t>
  </si>
  <si>
    <t>TC-LV-053</t>
  </si>
  <si>
    <t>Days credited each time = 0 rejected; 0.5 accepted</t>
  </si>
  <si>
    <t>0; 0.5</t>
  </si>
  <si>
    <t xml:space="preserve">1. Monthly
2. 0 → Save
3. 5 → Save</t>
  </si>
  <si>
    <t>Logged in as HRMS admin (amit); pattern "Standard Leave" with Casual and Medical lines → Monthly → 0 → Save → 5 → Save</t>
  </si>
  <si>
    <t>0 rejected (must be above 0); 0.5 accepted</t>
  </si>
  <si>
    <t>TC-LV-054</t>
  </si>
  <si>
    <t>Maximum days per leave period is read-only from the line</t>
  </si>
  <si>
    <t xml:space="preserve">1. Open Accrual group
2. Try editing Maximum days per leave period
3. Compare what is displayed with the expected result</t>
  </si>
  <si>
    <t>Logged in as HRMS admin (amit); pattern "Standard Leave" with Casual and Medical lines → Open Accrual group → Try editing Maximum days per leave period → Compare what is displayed with the expected result</t>
  </si>
  <si>
    <t>Field read-only and equals the line's days</t>
  </si>
  <si>
    <t>TC-LV-055</t>
  </si>
  <si>
    <t>Pro-rata for new joiners only for Monthly</t>
  </si>
  <si>
    <t xml:space="preserve">1. Open Leave &gt; Leave Policy (/leave-policy)
2. Switch crediting between All at once, Monthly, Quarterly
3. Watch the Pro-rata field</t>
  </si>
  <si>
    <t>Logged in as HRMS admin (amit); pattern "Standard Leave" with Casual and Medical lines → Open Leave &gt; Leave Policy (/leave-policy) → Switch crediting between All at once, Monthly, Quarterly → Watch the Pro-rata field</t>
  </si>
  <si>
    <t>Pro-rata control available only for Monthly</t>
  </si>
  <si>
    <t>TC-LV-056</t>
  </si>
  <si>
    <t>Eligibility</t>
  </si>
  <si>
    <t>Not allowed on probation blocks probationers</t>
  </si>
  <si>
    <t>Logged in as HRMS admin (amit); pattern "Standard Leave" with Casual and Medical lines; employee on probation</t>
  </si>
  <si>
    <t xml:space="preserve">1. Set Allowed on probation = No
2. Save
3. Employee on probation applies</t>
  </si>
  <si>
    <t>Logged in as HRMS admin (amit); pattern "Standard Leave" with Casual and Medical lines; employee on probation → Set Allowed on probation = No → Save → Employee on probation applies</t>
  </si>
  <si>
    <t>Refused "This leave cannot be taken while on probation."</t>
  </si>
  <si>
    <t>TC-LV-057</t>
  </si>
  <si>
    <t>Days allowed during probation above line days rejected</t>
  </si>
  <si>
    <t xml:space="preserve">1. Allowed on probation = Yes
2. Days during probation 15 (line 12)
3. Save</t>
  </si>
  <si>
    <t>Logged in as HRMS admin (amit); pattern "Standard Leave" with Casual and Medical lines → Allowed on probation = Yes → Days during probation 15 (line 12) → Save</t>
  </si>
  <si>
    <t>Rejected; 0 = no limit accepted</t>
  </si>
  <si>
    <t>TC-LV-058</t>
  </si>
  <si>
    <t>Not allowed in notice period</t>
  </si>
  <si>
    <t>Logged in as HRMS admin (amit); pattern "Standard Leave" with Casual and Medical lines; employee serving notice</t>
  </si>
  <si>
    <t xml:space="preserve">1. Allowed in notice period = No
2. Save
3. Employee applies</t>
  </si>
  <si>
    <t>Logged in as HRMS admin (amit); pattern "Standard Leave" with Casual and Medical lines; employee serving notice → Allowed in notice period = No → Save → Employee applies</t>
  </si>
  <si>
    <t>Request refused for notice-period employee</t>
  </si>
  <si>
    <t>TC-LV-059</t>
  </si>
  <si>
    <t>Female-only type refuses a male applicant</t>
  </si>
  <si>
    <t xml:space="preserve">1. Which employees = Female only
2. Save
3. Male employee applies</t>
  </si>
  <si>
    <t>Logged in as HRMS admin (amit); pattern "Standard Leave" with Casual and Medical lines → Which employees = Female only → Save → Male employee applies</t>
  </si>
  <si>
    <t>Type not offered or refused "This leave type applies to female employees only."</t>
  </si>
  <si>
    <t>TC-LV-060</t>
  </si>
  <si>
    <t>Hourly type requires hours per day 1–24</t>
  </si>
  <si>
    <t xml:space="preserve">1. Hourly leave type = Yes
2. Hours per day 0, 25, then 8
3. Save</t>
  </si>
  <si>
    <t>Logged in as HRMS admin (amit); pattern "Standard Leave" with Casual and Medical lines → Hourly leave type = Yes → Hours per day 0, 25, then 8 → Save</t>
  </si>
  <si>
    <t>0 and 25 rejected; 8 accepted</t>
  </si>
  <si>
    <t>TC-LV-061</t>
  </si>
  <si>
    <t>Application rules</t>
  </si>
  <si>
    <t>Max days per request above line days rejected</t>
  </si>
  <si>
    <t xml:space="preserve">1. Open Leave &gt; Leave Policy (/leave-policy)
2. Maximum days per request 20 (line 12)
3. Save</t>
  </si>
  <si>
    <t>Logged in as HRMS admin (amit); pattern "Standard Leave" with Casual and Medical lines → Open Leave &gt; Leave Policy (/leave-policy) → Maximum days per request 20 (line 12) → Save</t>
  </si>
  <si>
    <t>TC-LV-062</t>
  </si>
  <si>
    <t>Negative advance notice / minimum gap rejected</t>
  </si>
  <si>
    <t xml:space="preserve">1. Advance notice -1
2. Minimum gap -1
3. Save</t>
  </si>
  <si>
    <t>Logged in as HRMS admin (amit); pattern "Standard Leave" with Casual and Medical lines → Advance notice -1 → Minimum gap -1 → Save</t>
  </si>
  <si>
    <t>Rejected — 0 or more</t>
  </si>
  <si>
    <t>TC-LV-063</t>
  </si>
  <si>
    <t>Back-dating fields appear only when allowed</t>
  </si>
  <si>
    <t xml:space="preserve">1. Open Leave &gt; Leave Policy (/leave-policy)
2. Allow back-dated requests = No
3. then Yes</t>
  </si>
  <si>
    <t>Logged in as HRMS admin (amit); pattern "Standard Leave" with Casual and Medical lines → Open Leave &gt; Leave Policy (/leave-policy) → Allow back-dated requests = No → then Yes</t>
  </si>
  <si>
    <t>"How many days back" shown only when Yes</t>
  </si>
  <si>
    <t>TC-LV-064</t>
  </si>
  <si>
    <t>Emergency leave fields hidden when notice = 0</t>
  </si>
  <si>
    <t xml:space="preserve">1. Open Leave &gt; Leave Policy (/leave-policy)
2. Set Advance notice 0
3. then 2</t>
  </si>
  <si>
    <t>Logged in as HRMS admin (amit); pattern "Standard Leave" with Casual and Medical lines → Open Leave &gt; Leave Policy (/leave-policy) → Set Advance notice 0 → then 2</t>
  </si>
  <si>
    <t>Emergency (skip-notice) options appear only when notice &gt; 0</t>
  </si>
  <si>
    <t>TC-LV-065</t>
  </si>
  <si>
    <t>Blackout range To before From rejected</t>
  </si>
  <si>
    <t xml:space="preserve">1. Open Leave &gt; Leave Policy (/leave-policy)
2. Add blackout From 20-12-2026 To 10-12-2026
3. Save</t>
  </si>
  <si>
    <t>Logged in as HRMS admin (amit); pattern "Standard Leave" with Casual and Medical lines → Open Leave &gt; Leave Policy (/leave-policy) → Add blackout From 20-12-2026 To 10-12-2026 → Save</t>
  </si>
  <si>
    <t>TC-LV-066</t>
  </si>
  <si>
    <t>Blackout reason over 80 characters rejected</t>
  </si>
  <si>
    <t xml:space="preserve">1. Blackout reason 81 chars
2. Save
3. then 80 chars</t>
  </si>
  <si>
    <t>Logged in as HRMS admin (amit); pattern "Standard Leave" with Casual and Medical lines → Blackout reason 81 chars → Save → then 80 chars</t>
  </si>
  <si>
    <t>81 rejected; 80 accepted</t>
  </si>
  <si>
    <t>TC-LV-067</t>
  </si>
  <si>
    <t>Counting</t>
  </si>
  <si>
    <t>Counting rule offers Never / Sandwiched / Every calendar day</t>
  </si>
  <si>
    <t xml:space="preserve">1. Log in as the user named in the preconditions
2. Open Counting group
3. Compare what is displayed with the expected result</t>
  </si>
  <si>
    <t>Logged in as HRMS admin (amit); pattern "Standard Leave" with Casual and Medical lines → Log in as the user named in the preconditions → Open Counting group → Compare what is displayed with the expected result</t>
  </si>
  <si>
    <t>Exactly the three choices; selection persists</t>
  </si>
  <si>
    <t>TC-LV-068</t>
  </si>
  <si>
    <t>Carry-forward</t>
  </si>
  <si>
    <t>Carry-forward fields appear only when allowed</t>
  </si>
  <si>
    <t xml:space="preserve">1. Open Leave &gt; Leave Policy (/leave-policy)
2. Carry-forward allowed = No
3. then Yes</t>
  </si>
  <si>
    <t>Logged in as HRMS admin (amit); pattern "Standard Leave" with Casual and Medical lines → Open Leave &gt; Leave Policy (/leave-policy) → Carry-forward allowed = No → then Yes</t>
  </si>
  <si>
    <t>Leftover-expiry, carry cap and expiry months shown only when Yes</t>
  </si>
  <si>
    <t>TC-LV-069</t>
  </si>
  <si>
    <t>"Last MONTH's leftover expires" only for monthly-credited types</t>
  </si>
  <si>
    <t xml:space="preserve">1. Open Leave &gt; Leave Policy (/leave-policy)
2. Switch crediting to All at once
3. then Monthly</t>
  </si>
  <si>
    <t>Logged in as HRMS admin (amit); pattern "Standard Leave" with Casual and Medical lines → Open Leave &gt; Leave Policy (/leave-policy) → Switch crediting to All at once → then Monthly</t>
  </si>
  <si>
    <t>Option visible only for Monthly</t>
  </si>
  <si>
    <t>TC-LV-070</t>
  </si>
  <si>
    <t>Carry cap above line days rejected</t>
  </si>
  <si>
    <t xml:space="preserve">1. Open Leave &gt; Leave Policy (/leave-policy)
2. Days that can carry over 15 (line 12)
3. Save</t>
  </si>
  <si>
    <t>Logged in as HRMS admin (amit); pattern "Standard Leave" with Casual and Medical lines → Open Leave &gt; Leave Policy (/leave-policy) → Days that can carry over 15 (line 12) → Save</t>
  </si>
  <si>
    <t>Rejected; 0 = no cap accepted</t>
  </si>
  <si>
    <t>TC-LV-071</t>
  </si>
  <si>
    <t>Balance &amp; payout</t>
  </si>
  <si>
    <t>Negative balance reveals floor and cost fields</t>
  </si>
  <si>
    <t xml:space="preserve">1. Open Leave &gt; Leave Policy (/leave-policy)
2. Allow negative balance = Yes
3. Compare what is displayed with the expected result</t>
  </si>
  <si>
    <t>Logged in as HRMS admin (amit); pattern "Standard Leave" with Casual and Medical lines → Open Leave &gt; Leave Policy (/leave-policy) → Allow negative balance = Yes → Compare what is displayed with the expected result</t>
  </si>
  <si>
    <t>"Lowest balance allowed" (entered positive) and "What do those extra days cost? Unpaid/Borrowed" appear</t>
  </si>
  <si>
    <t>TC-LV-072</t>
  </si>
  <si>
    <t>Lowest balance above line days rejected</t>
  </si>
  <si>
    <t xml:space="preserve">1. Lowest balance allowed 13 (line 12)
2. Save
3. then 0</t>
  </si>
  <si>
    <t>Logged in as HRMS admin (amit); pattern "Standard Leave" with Casual and Medical lines → Lowest balance allowed 13 (line 12) → Save → then 0</t>
  </si>
  <si>
    <t>13 rejected; 0 rejected (must be above 0)</t>
  </si>
  <si>
    <t>TC-LV-073</t>
  </si>
  <si>
    <t>Encashable reveals max days encashable</t>
  </si>
  <si>
    <t xml:space="preserve">1. Encashable = Yes
2. Max days 15 (line 12)
3. Save</t>
  </si>
  <si>
    <t>Logged in as HRMS admin (amit); pattern "Standard Leave" with Casual and Medical lines → Encashable = Yes → Max days 15 (line 12) → Save</t>
  </si>
  <si>
    <t>Field appears; 15 rejected; 0 = whole balance accepted</t>
  </si>
  <si>
    <t>TC-LV-074</t>
  </si>
  <si>
    <t>Save</t>
  </si>
  <si>
    <t>Every policy value round-trips after reload</t>
  </si>
  <si>
    <t>Standard Leave Casual: All at once, max 5/req, notice 2, emergency 2, backdate 2, negative to 12 Unpaid, encash max 4</t>
  </si>
  <si>
    <t xml:space="preserve">1. Set all six groups
2. Save
3. Reload the page
4. Re-open the line</t>
  </si>
  <si>
    <t>Logged in as HRMS admin (amit); pattern "Standard Leave" with Casual and Medical lines → Set all six groups → Save → Reload the page → Re-open the line</t>
  </si>
  <si>
    <t>Every value returns exactly as entered</t>
  </si>
  <si>
    <t>TC-LV-075</t>
  </si>
  <si>
    <t>All field failures reported together and their sections auto-open</t>
  </si>
  <si>
    <t xml:space="preserve">1. Enter invalid values in Accrual and Carry-forward
2. Collapse both
3. Save</t>
  </si>
  <si>
    <t>Logged in as HRMS admin (amit); pattern "Standard Leave" with Casual and Medical lines → Enter invalid values in Accrual and Carry-forward → Collapse both → Save</t>
  </si>
  <si>
    <t>Every failing field red-bordered with its reason; both sections open; message clears when the field is edited</t>
  </si>
  <si>
    <t>TC-LV-076</t>
  </si>
  <si>
    <t>Staff user cannot open Leave Policy</t>
  </si>
  <si>
    <t xml:space="preserve">1. Log in as the user named in the preconditions
2. Browse to /leave-policy
3. Confirm no data or action controls of the page are exposed</t>
  </si>
  <si>
    <t>Logged in as Staff → Log in as the user named in the preconditions → Browse to /leave-policy → Confirm no data or action controls of the page are exposed</t>
  </si>
  <si>
    <t>TC-LV-077</t>
  </si>
  <si>
    <t>Leave Assignment page opens and renders correctly</t>
  </si>
  <si>
    <t>Route /leave-assignment-list</t>
  </si>
  <si>
    <t xml:space="preserve">1. Open Leave &gt; Leave Assignment from the sidebar
2. Wait for the loading indicator to clear
3. Observe the heading, toolbar buttons and table</t>
  </si>
  <si>
    <t>Logged in as HRMS admin (amit) → Open Leave &gt; Leave Assignment from the sidebar → Wait for the loading indicator to clear → Observe the heading, toolbar buttons and table</t>
  </si>
  <si>
    <t>Page loads without redirect to login, 404 or application error; loading clears; heading "Leave Assignment" is shown; "Filter" and "New Leave Assignment" buttons and the assignments table render</t>
  </si>
  <si>
    <t>Linear 052 Leave Assignment — page check</t>
  </si>
  <si>
    <t>TC-LV-078</t>
  </si>
  <si>
    <t>Assign</t>
  </si>
  <si>
    <t>Run employee holds a leave pattern (auto-assigned or assigned to Employee)</t>
  </si>
  <si>
    <t>Logged in as HRMS admin (amit); run employee created in Step 1</t>
  </si>
  <si>
    <t>Pattern: Standard Staff</t>
  </si>
  <si>
    <t xml:space="preserve">1. Open Apply Leave for Employee and pick the run employee
2. If no leave types, New Leave Assignment &gt; Assignment Type Employee &gt; employee &gt; pattern Standard Staff &gt; Assign
3. Re-check on-behalf leave types</t>
  </si>
  <si>
    <t>Logged in as HRMS admin (amit); run employee created in Step 1 → Open Apply Leave for Employee and pick the run employee → If no leave types, New Leave Assignment &gt; Assignment Type Employee &gt; employee &gt; pattern Standard Staff &gt; Assign → Re-check on-behalf leave types</t>
  </si>
  <si>
    <t>Employee has selectable leave types showing "&lt;n&gt; d available"</t>
  </si>
  <si>
    <t>Linear 052 Leave Assignment — assignLeavePatternToRunEmployee</t>
  </si>
  <si>
    <t>TC-LV-079</t>
  </si>
  <si>
    <t>New employees automatically receive a leave pattern</t>
  </si>
  <si>
    <t>Logged in as HRMS admin (amit); employee just created in Core HR</t>
  </si>
  <si>
    <t xml:space="preserve">1. Open Apply Leave for Employee
2. Pick the new employee
3. Open Leave Type</t>
  </si>
  <si>
    <t>Logged in as HRMS admin (amit); employee just created in Core HR → Open Apply Leave for Employee → Pick the new employee → Open Leave Type</t>
  </si>
  <si>
    <t>Leave types (e.g. Standard Leave) already offered with balances</t>
  </si>
  <si>
    <t>TC-LV-080</t>
  </si>
  <si>
    <t>Second overlapping pattern for the same employee is refused</t>
  </si>
  <si>
    <t>Employee already holds a pattern for the period</t>
  </si>
  <si>
    <t xml:space="preserve">1. New Leave Assignment
2. Employee
3. the same employee
4. another overlapping pattern
5. Assign</t>
  </si>
  <si>
    <t>Employee already holds a pattern for the period → New Leave Assignment → Employee → the same employee → another overlapping pattern → Assign</t>
  </si>
  <si>
    <t>Refused (or confirmation required naming the employee) — never two patterns</t>
  </si>
  <si>
    <t>BR 1</t>
  </si>
  <si>
    <t>TC-LV-081</t>
  </si>
  <si>
    <t>Assign a pattern to a Branch</t>
  </si>
  <si>
    <t xml:space="preserve">1. New Leave Assignment
2. Assignment Type Branch
3. Kannur
4. Pattern
5. Approval Workflow Leave Request
6. Assign</t>
  </si>
  <si>
    <t>Logged in as HRMS admin (amit) → New Leave Assignment → Assignment Type Branch → Kannur → Pattern → Approval Workflow Leave Request → Assign</t>
  </si>
  <si>
    <t>Assignment Active; members get entitlement in the ledger</t>
  </si>
  <si>
    <t>TC-LV-082</t>
  </si>
  <si>
    <t>Assign a pattern to a Department</t>
  </si>
  <si>
    <t>Logged in as HRMS admin (amit); department has pattern-less members</t>
  </si>
  <si>
    <t xml:space="preserve">1. New Leave Assignment
2. Department Testing
3. Pattern
4. Assign</t>
  </si>
  <si>
    <t>Logged in as HRMS admin (amit); department has pattern-less members → New Leave Assignment → Department Testing → Pattern → Assign</t>
  </si>
  <si>
    <t>Assignment Active; members credited</t>
  </si>
  <si>
    <t>TC-LV-083</t>
  </si>
  <si>
    <t>Rewrite confirmation names affected employees</t>
  </si>
  <si>
    <t>Branch members already hold a pattern</t>
  </si>
  <si>
    <t xml:space="preserve">1. Assign a new pattern to the branch
2. Read the confirmation
3. Confirm</t>
  </si>
  <si>
    <t>Branch members already hold a pattern → Assign a new pattern to the branch → Read the confirmation → Confirm</t>
  </si>
  <si>
    <t>Dialog lists the employees whose pattern will be rewritten; on confirm old credit is reversed and new one posted</t>
  </si>
  <si>
    <t>TC-LV-084</t>
  </si>
  <si>
    <t>Department where every member already has a pattern</t>
  </si>
  <si>
    <t>All Finance members hold a pattern</t>
  </si>
  <si>
    <t xml:space="preserve">1. Open Leave &gt; Leave Assignment (/leave-assignment-list)
2. Assign a pattern to Department Finance
3. Confirm the message shown and that no record or balance was created or changed</t>
  </si>
  <si>
    <t>All Finance members hold a pattern → Open Leave &gt; Leave Assignment (/leave-assignment-list) → Assign a pattern to Department Finance → Confirm the message shown and that no record or balance was created or changed</t>
  </si>
  <si>
    <t>Should offer rewrite like Branch</t>
  </si>
  <si>
    <t>Known issue LM-E: shows "No employees available to assign — every employee in this department already has a leave pattern" with no rewrite option</t>
  </si>
  <si>
    <t>TC-LV-085</t>
  </si>
  <si>
    <t>Member with a pending request of an excluded type blocks the assignment</t>
  </si>
  <si>
    <t>A dept member has a pending Medical request; new pattern lacks Medical</t>
  </si>
  <si>
    <t xml:space="preserve">1. Open Leave &gt; Leave Assignment (/leave-assignment-list)
2. Assign the new pattern to that department
3. Confirm the message shown and that no record or balance was created or changed</t>
  </si>
  <si>
    <t>A dept member has a pending Medical request; new pattern lacks Medical → Open Leave &gt; Leave Assignment (/leave-assignment-list) → Assign the new pattern to that department → Confirm the message shown and that no record or balance was created or changed</t>
  </si>
  <si>
    <t>Refused "Settle those request(s) first"</t>
  </si>
  <si>
    <t>TC-LV-086</t>
  </si>
  <si>
    <t>Assignment Type / target / pattern missing</t>
  </si>
  <si>
    <t xml:space="preserve">1. New Leave Assignment
2. Assign with Assignment Type "Choose"
3. then with no target
4. then no pattern</t>
  </si>
  <si>
    <t>Logged in as HRMS admin (amit) → New Leave Assignment → Assign with Assignment Type "Choose" → then with no target → then no pattern</t>
  </si>
  <si>
    <t>Required message for each Assignment Type* field; nothing saved</t>
  </si>
  <si>
    <t>TC-LV-087</t>
  </si>
  <si>
    <t>Auto-approve (no workflow) approves requests immediately</t>
  </si>
  <si>
    <t>Pattern assigned with Approval Workflow = Auto-approve</t>
  </si>
  <si>
    <t xml:space="preserve">1. Open Leave &gt; Leave Assignment (/leave-assignment-list)
2. Employee applies for leave
3. Refresh the page and confirm the outcome persists (list, balance or ledger as applicable)</t>
  </si>
  <si>
    <t>Pattern assigned with Approval Workflow = Auto-approve → Open Leave &gt; Leave Assignment (/leave-assignment-list) → Employee applies for leave → Refresh the page and confirm the outcome persists (list, balance or ledger as applicable)</t>
  </si>
  <si>
    <t>Request is Approved on submit; ledger Used row posted</t>
  </si>
  <si>
    <t>TC-LV-088</t>
  </si>
  <si>
    <t>No workflow routes to the reporting person</t>
  </si>
  <si>
    <t>Workflow = Leave Request (Report Person); employee reports to Amit</t>
  </si>
  <si>
    <t xml:space="preserve">1. Open Leave &gt; Leave Assignment (/leave-assignment-list)
2. Employee applies
3. Amit opens Leave Approval</t>
  </si>
  <si>
    <t>Workflow = Leave Request (Report Person); employee reports to Amit → Open Leave &gt; Leave Assignment (/leave-assignment-list) → Employee applies → Amit opens Leave Approval</t>
  </si>
  <si>
    <t>Request routes to the reporting person</t>
  </si>
  <si>
    <t>BR 14</t>
  </si>
  <si>
    <t>TC-LV-089</t>
  </si>
  <si>
    <t>No workflow and no reporting person blocks assignment</t>
  </si>
  <si>
    <t>Employee with no Reports To</t>
  </si>
  <si>
    <t xml:space="preserve">1. Open Leave &gt; Leave Assignment (/leave-assignment-list)
2. Assign a pattern without workflow
3. Confirm the message shown and that no record or balance was created or changed</t>
  </si>
  <si>
    <t>Employee with no Reports To → Open Leave &gt; Leave Assignment (/leave-assignment-list) → Assign a pattern without workflow → Confirm the message shown and that no record or balance was created or changed</t>
  </si>
  <si>
    <t>Blocked at assignment — nobody could approve</t>
  </si>
  <si>
    <t>TC-LV-090</t>
  </si>
  <si>
    <t>Entitlement</t>
  </si>
  <si>
    <t>Monthly accrual posts the current month on assignment for joined employees</t>
  </si>
  <si>
    <t>Monthly 1/month line</t>
  </si>
  <si>
    <t xml:space="preserve">1. Open Leave &gt; Leave Assignment (/leave-assignment-list)
2. Assign to an Active joined employee
3. Open Leave Ledger</t>
  </si>
  <si>
    <t>Monthly 1/month line → Open Leave &gt; Leave Assignment (/leave-assignment-list) → Assign to an Active joined employee → Open Leave Ledger</t>
  </si>
  <si>
    <t>"Monthly accrual · &lt;Mon YYYY&gt; +1" posted</t>
  </si>
  <si>
    <t>TC-LV-091</t>
  </si>
  <si>
    <t>Future joining date skips accrual</t>
  </si>
  <si>
    <t>Employee joining next month</t>
  </si>
  <si>
    <t xml:space="preserve">1. Open Leave &gt; Leave Assignment (/leave-assignment-list)
2. Assign a Monthly pattern
3. Open Ledger</t>
  </si>
  <si>
    <t>Employee joining next month → Open Leave &gt; Leave Assignment (/leave-assignment-list) → Assign a Monthly pattern → Open Ledger</t>
  </si>
  <si>
    <t>No accrual posted until joining</t>
  </si>
  <si>
    <t>TC-LV-092</t>
  </si>
  <si>
    <t>Pre-Employee members get no credit</t>
  </si>
  <si>
    <t>Branch includes a Pre-Employee (onboarding) member</t>
  </si>
  <si>
    <t xml:space="preserve">1. Open Leave &gt; Leave Assignment (/leave-assignment-list)
2. Assign the branch
3. Open Ledger for that member</t>
  </si>
  <si>
    <t>Branch includes a Pre-Employee (onboarding) member → Open Leave &gt; Leave Assignment (/leave-assignment-list) → Assign the branch → Open Ledger for that member</t>
  </si>
  <si>
    <t>Pre-Employee should be excluded or warned</t>
  </si>
  <si>
    <t>Known issue LM-G: Pre-Employee counted in the assignment but silently gets 0 credit</t>
  </si>
  <si>
    <t>TC-LV-093</t>
  </si>
  <si>
    <t>Opening entitlement is idempotent</t>
  </si>
  <si>
    <t>Pattern assigned</t>
  </si>
  <si>
    <t xml:space="preserve">1. Open Leave &gt; Leave Assignment (/leave-assignment-list)
2. Save the same assignment again
3. Confirm the message shown and that no record or balance was created or changed</t>
  </si>
  <si>
    <t>Pattern assigned → Open Leave &gt; Leave Assignment (/leave-assignment-list) → Save the same assignment again → Confirm the message shown and that no record or balance was created or changed</t>
  </si>
  <si>
    <t>No second Opening entitlement row for the same employee/type/year/pattern</t>
  </si>
  <si>
    <t>TC-LV-094</t>
  </si>
  <si>
    <t>Stop (pause) and resume an assignment</t>
  </si>
  <si>
    <t>Running assignment</t>
  </si>
  <si>
    <t xml:space="preserve">1. Open Leave &gt; Leave Assignment (/leave-assignment-list)
2. Stop it
3. Resume it</t>
  </si>
  <si>
    <t>Running assignment → Open Leave &gt; Leave Assignment (/leave-assignment-list) → Stop it → Resume it</t>
  </si>
  <si>
    <t>Paused row keeps balances; resume restores the previous approval workflow</t>
  </si>
  <si>
    <t>TC-LV-095</t>
  </si>
  <si>
    <t>Running assignment must be stopped before edit/delete</t>
  </si>
  <si>
    <t xml:space="preserve">1. Open Leave &gt; Leave Assignment (/leave-assignment-list)
2. Try Edit and Delete
3. Confirm the message shown and that no record or balance was created or changed</t>
  </si>
  <si>
    <t>Running assignment → Open Leave &gt; Leave Assignment (/leave-assignment-list) → Try Edit and Delete → Confirm the message shown and that no record or balance was created or changed</t>
  </si>
  <si>
    <t>Refused/disabled with tooltip until stopped</t>
  </si>
  <si>
    <t>§4.4</t>
  </si>
  <si>
    <t>TC-LV-096</t>
  </si>
  <si>
    <t>Assignment with leave taken cannot be deleted</t>
  </si>
  <si>
    <t>Stopped assignment with approved leave in its period</t>
  </si>
  <si>
    <t xml:space="preserve">1. Open Leave &gt; Leave Assignment (/leave-assignment-list)
2. Delete it
3. Confirm the message shown and that no record or balance was created or changed</t>
  </si>
  <si>
    <t>Stopped assignment with approved leave in its period → Open Leave &gt; Leave Assignment (/leave-assignment-list) → Delete it → Confirm the message shown and that no record or balance was created or changed</t>
  </si>
  <si>
    <t>Refused — ledger rows would be orphaned</t>
  </si>
  <si>
    <t>TC-LV-097</t>
  </si>
  <si>
    <t>Filter assignments</t>
  </si>
  <si>
    <t xml:space="preserve">1. Click Filter
2. Filter by type / pattern
3. Apply</t>
  </si>
  <si>
    <t>Logged in as HRMS admin (amit) → Click Filter → Filter by type / pattern → Apply</t>
  </si>
  <si>
    <t>Only matching assignments shown</t>
  </si>
  <si>
    <t>TC-LV-098</t>
  </si>
  <si>
    <t>Employee picker limited to accessible departments</t>
  </si>
  <si>
    <t>Scoped HR user with access to Testing only</t>
  </si>
  <si>
    <t xml:space="preserve">1. New Leave Assignment
2. Employee
3. open picker</t>
  </si>
  <si>
    <t>Scoped HR user with access to Testing only → New Leave Assignment → Employee → open picker</t>
  </si>
  <si>
    <t>Only Testing employees offered</t>
  </si>
  <si>
    <t>TC-LV-099</t>
  </si>
  <si>
    <t>Holidays page opens and renders correctly</t>
  </si>
  <si>
    <t>Route /holiday-list</t>
  </si>
  <si>
    <t xml:space="preserve">1. Open Leave &gt; Holidays from the sidebar
2. Wait for the loading indicator to clear
3. Observe the heading, toolbar buttons and table</t>
  </si>
  <si>
    <t>Logged in as HRMS admin (amit) → Open Leave &gt; Holidays from the sidebar → Wait for the loading indicator to clear → Observe the heading, toolbar buttons and table</t>
  </si>
  <si>
    <t>Page loads without redirect to login, 404 or application error; loading clears; heading "Holidays" is shown; buttons Calendar, Export, Filter, New Holiday and the holiday table render</t>
  </si>
  <si>
    <t>Linear 053 Holidays — page check</t>
  </si>
  <si>
    <t>TC-LV-100</t>
  </si>
  <si>
    <t>Create holiday</t>
  </si>
  <si>
    <t>Create an all-employees holiday</t>
  </si>
  <si>
    <t>Company Foundation Day</t>
  </si>
  <si>
    <t xml:space="preserve">1. Click "New Holiday"
2. Holiday Name
3. Calendar Type All employees
4. From 28-12-2026
5. To 28-12-2026
6. Save</t>
  </si>
  <si>
    <t>Logged in as HRMS admin (amit) → Click "New Holiday" → Holiday Name → Calendar Type All employees → From 28-12-2026 → To 28-12-2026 → Save</t>
  </si>
  <si>
    <t>Success; holiday listed for 28-Dec-2026</t>
  </si>
  <si>
    <t>Linear 053 Holidays — createHoliday</t>
  </si>
  <si>
    <t>TC-LV-101</t>
  </si>
  <si>
    <t>Create a National holiday</t>
  </si>
  <si>
    <t>Republic Day 26-01-2027</t>
  </si>
  <si>
    <t xml:space="preserve">1. New Holiday
2. Calendar Type National
3. dates
4. Save</t>
  </si>
  <si>
    <t>Logged in as HRMS admin (amit) → New Holiday → Calendar Type National → dates → Save</t>
  </si>
  <si>
    <t>Listed with type National</t>
  </si>
  <si>
    <t>TC-LV-102</t>
  </si>
  <si>
    <t>Create a State holiday</t>
  </si>
  <si>
    <t>Kerala Piravi 01-11-2026</t>
  </si>
  <si>
    <t xml:space="preserve">1. New Holiday
2. Calendar Type State
3. dates
4. Save</t>
  </si>
  <si>
    <t>Logged in as HRMS admin (amit) → New Holiday → Calendar Type State → dates → Save</t>
  </si>
  <si>
    <t>Listed with type State; applies to branches in that state</t>
  </si>
  <si>
    <t>TC-LV-103</t>
  </si>
  <si>
    <t>Create an Optional holiday</t>
  </si>
  <si>
    <t>Onam Optional</t>
  </si>
  <si>
    <t xml:space="preserve">1. New Holiday
2. tick Optional
3. Save</t>
  </si>
  <si>
    <t>Logged in as HRMS admin (amit) → New Holiday → tick Optional → Save</t>
  </si>
  <si>
    <t>Listed as optional; employees can pick it up to the quota</t>
  </si>
  <si>
    <t>TC-LV-104</t>
  </si>
  <si>
    <t>Multi-day holiday range</t>
  </si>
  <si>
    <t>Christmas Break</t>
  </si>
  <si>
    <t xml:space="preserve">1. New Holiday
2. From 24-12-2026
3. To 26-12-2026
4. Save</t>
  </si>
  <si>
    <t>Logged in as HRMS admin (amit) → New Holiday → From 24-12-2026 → To 26-12-2026 → Save</t>
  </si>
  <si>
    <t>Saved covering 3 days</t>
  </si>
  <si>
    <t>TC-LV-105</t>
  </si>
  <si>
    <t>Holiday Name missing</t>
  </si>
  <si>
    <t xml:space="preserve">1. New Holiday
2. Name blank
3. Save</t>
  </si>
  <si>
    <t>Logged in as HRMS admin (amit) → New Holiday → Name blank → Save</t>
  </si>
  <si>
    <t>Required message for Holiday Name*</t>
  </si>
  <si>
    <t>TC-LV-106</t>
  </si>
  <si>
    <t>Calendar Type not chosen</t>
  </si>
  <si>
    <t xml:space="preserve">1. New Holiday
2. Calendar Type "Choose"
3. Save</t>
  </si>
  <si>
    <t>Logged in as HRMS admin (amit) → New Holiday → Calendar Type "Choose" → Save</t>
  </si>
  <si>
    <t>Required message for Calendar Type*</t>
  </si>
  <si>
    <t>TC-LV-107</t>
  </si>
  <si>
    <t>From / To date missing</t>
  </si>
  <si>
    <t xml:space="preserve">1. New Holiday
2. leave From Date then To Date blank
3. Save</t>
  </si>
  <si>
    <t>Logged in as HRMS admin (amit) → New Holiday → leave From Date then To Date blank → Save</t>
  </si>
  <si>
    <t>Required messages for From Date* / To Date*</t>
  </si>
  <si>
    <t>TC-LV-108</t>
  </si>
  <si>
    <t>To date before From date rejected</t>
  </si>
  <si>
    <t xml:space="preserve">1. New Holiday
2. From 26-12
3. To 24-12
4. Save</t>
  </si>
  <si>
    <t>Logged in as HRMS admin (amit) → New Holiday → From 26-12 → To 24-12 → Save</t>
  </si>
  <si>
    <t>TC-LV-109</t>
  </si>
  <si>
    <t>Duplicate holiday on the same date refused</t>
  </si>
  <si>
    <t>A holiday exists on 28-12-2026</t>
  </si>
  <si>
    <t xml:space="preserve">1. Open Leave &gt; Holidays (/holiday-list)
2. New Holiday on 28-12-2026
3. Save</t>
  </si>
  <si>
    <t>A holiday exists on 28-12-2026 → Open Leave &gt; Holidays (/holiday-list) → New Holiday on 28-12-2026 → Save</t>
  </si>
  <si>
    <t>"A holiday already exists on the selected date(s)."</t>
  </si>
  <si>
    <t>TC-LV-110</t>
  </si>
  <si>
    <t>A company holiday cannot also be optional</t>
  </si>
  <si>
    <t xml:space="preserve">1. Open Leave &gt; Holidays (/holiday-list)
2. Create an All employees holiday with Optional ticked
3. Confirm the message shown and that no record or balance was created or changed</t>
  </si>
  <si>
    <t>Logged in as HRMS admin (amit) → Open Leave &gt; Holidays (/holiday-list) → Create an All employees holiday with Optional ticked → Confirm the message shown and that no record or balance was created or changed</t>
  </si>
  <si>
    <t>Refused or Optional disabled for company-wide holidays</t>
  </si>
  <si>
    <t>TC-LV-111</t>
  </si>
  <si>
    <t>Holiday in the past</t>
  </si>
  <si>
    <t xml:space="preserve">1. Open Leave &gt; Holidays (/holiday-list)
2. New Holiday dated last month
3. Save</t>
  </si>
  <si>
    <t>Logged in as HRMS admin (amit) → Open Leave &gt; Holidays (/holiday-list) → New Holiday dated last month → Save</t>
  </si>
  <si>
    <t>Allowed with warning or refused per rule; attendance for that date re-evaluated if allowed</t>
  </si>
  <si>
    <t>TC-LV-112</t>
  </si>
  <si>
    <t>Edit a holiday</t>
  </si>
  <si>
    <t xml:space="preserve">1. Open a holiday
2. Change the name
3. Save</t>
  </si>
  <si>
    <t>Logged in as HRMS admin (amit) → Open a holiday → Change the name → Save</t>
  </si>
  <si>
    <t>Updated name listed</t>
  </si>
  <si>
    <t>TC-LV-113</t>
  </si>
  <si>
    <t>Delete a holiday with confirmation</t>
  </si>
  <si>
    <t xml:space="preserve">1. Delete a test holiday
2. Cancel
3. Delete
4. Confirm</t>
  </si>
  <si>
    <t>Logged in as HRMS admin (amit) → Delete a test holiday → Cancel → Delete → Confirm</t>
  </si>
  <si>
    <t>Cancel keeps it; confirm removes it</t>
  </si>
  <si>
    <t>TC-LV-114</t>
  </si>
  <si>
    <t>Calendar view shows holidays on a month grid</t>
  </si>
  <si>
    <t xml:space="preserve">1. Log in as the user named in the preconditions
2. Click "Calendar"
3. Compare what is displayed with the expected result</t>
  </si>
  <si>
    <t>Logged in as HRMS admin (amit) → Log in as the user named in the preconditions → Click "Calendar" → Compare what is displayed with the expected result</t>
  </si>
  <si>
    <t>Holidays shown on their dates in a month grid</t>
  </si>
  <si>
    <t>TC-LV-115</t>
  </si>
  <si>
    <t>Export holidays to Excel</t>
  </si>
  <si>
    <t xml:space="preserve">1. Log in as the user named in the preconditions
2. Click "Export"
3. Refresh the page and confirm the outcome persists (list, balance or ledger as applicable)</t>
  </si>
  <si>
    <t>Logged in as HRMS admin (amit) → Log in as the user named in the preconditions → Click "Export" → Refresh the page and confirm the outcome persists (list, balance or ledger as applicable)</t>
  </si>
  <si>
    <t>An .xlsx downloads with the listed holidays</t>
  </si>
  <si>
    <t>TC-LV-116</t>
  </si>
  <si>
    <t>Filter holidays by type / year</t>
  </si>
  <si>
    <t xml:space="preserve">1. Click "Filter"
2. Choose National
3. Apply</t>
  </si>
  <si>
    <t>Logged in as HRMS admin (amit) → Click "Filter" → Choose National → Apply</t>
  </si>
  <si>
    <t>Only National holidays shown</t>
  </si>
  <si>
    <t>TC-LV-117</t>
  </si>
  <si>
    <t>Import holidays from Excel</t>
  </si>
  <si>
    <t>Logged in as HRMS admin (amit); valid template file</t>
  </si>
  <si>
    <t xml:space="preserve">1. Open Leave &gt; Holidays (/holiday-list)
2. Use the Excel import
3. Upload the file</t>
  </si>
  <si>
    <t>Logged in as HRMS admin (amit); valid template file → Open Leave &gt; Holidays (/holiday-list) → Use the Excel import → Upload the file</t>
  </si>
  <si>
    <t>Holidays created; invalid rows reported</t>
  </si>
  <si>
    <t>TC-LV-118</t>
  </si>
  <si>
    <t>New holiday appears on the employee's My Leave &gt; Holidays tab</t>
  </si>
  <si>
    <t>Holiday assigned to the employee's branch</t>
  </si>
  <si>
    <t xml:space="preserve">1. Open Leave &gt; Holidays (/holiday-list)
2. Employee opens My Leave &gt; Holidays
3. Refresh the page and confirm the outcome persists (list, balance or ledger as applicable)</t>
  </si>
  <si>
    <t>Holiday assigned to the employee's branch → Open Leave &gt; Holidays (/holiday-list) → Employee opens My Leave &gt; Holidays → Refresh the page and confirm the outcome persists (list, balance or ledger as applicable)</t>
  </si>
  <si>
    <t>Holiday listed</t>
  </si>
  <si>
    <t>TC-LV-119</t>
  </si>
  <si>
    <t>Staff user cannot manage holidays</t>
  </si>
  <si>
    <t xml:space="preserve">1. Log in as the user named in the preconditions
2. Browse to /holiday-list
3. Confirm no data or action controls of the page are exposed</t>
  </si>
  <si>
    <t>Logged in as Staff → Log in as the user named in the preconditions → Browse to /holiday-list → Confirm no data or action controls of the page are exposed</t>
  </si>
  <si>
    <t>TC-LV-120</t>
  </si>
  <si>
    <t>Holiday Assignment page opens and renders correctly</t>
  </si>
  <si>
    <t>Route /holiday-assignment-list</t>
  </si>
  <si>
    <t xml:space="preserve">1. Open Leave &gt; Holiday Assignment from the sidebar
2. Wait for the loading indicator to clear
3. Observe the heading, toolbar buttons and table</t>
  </si>
  <si>
    <t>Logged in as HRMS admin (amit) → Open Leave &gt; Holiday Assignment from the sidebar → Wait for the loading indicator to clear → Observe the heading, toolbar buttons and table</t>
  </si>
  <si>
    <t>Page loads without redirect to login, 404 or application error; loading clears; heading "Holiday Assignment" is shown; "Filter" and "New Holiday Assignment" buttons and the assignment table render</t>
  </si>
  <si>
    <t>Linear 054 Holiday Assignment — page check</t>
  </si>
  <si>
    <t>TC-LV-121</t>
  </si>
  <si>
    <t>Assign a holiday to a Branch using the switch list</t>
  </si>
  <si>
    <t>Logged in as HRMS admin (amit); holiday "Company Foundation Day" exists</t>
  </si>
  <si>
    <t xml:space="preserve">1. Click "New Holiday Assignment"
2. Assignment Type Branch
3. Main Branch
4. Click Holidays*
5. Search the holiday
6. Switch it on
7. Save
8. Re-open the list</t>
  </si>
  <si>
    <t>Logged in as HRMS admin (amit); holiday "Company Foundation Day" exists → Click "New Holiday Assignment" → Assignment Type Branch → Main Branch → Click Holidays* → Search the holiday → Switch it on → Save → Re-open the list</t>
  </si>
  <si>
    <t>Main Branch row includes the holiday (directly or in the "+N more" tooltip)</t>
  </si>
  <si>
    <t>Linear 054 Holiday Assignment — assignHoliday</t>
  </si>
  <si>
    <t>TC-LV-122</t>
  </si>
  <si>
    <t>Assign holidays to a Department</t>
  </si>
  <si>
    <t xml:space="preserve">1. New Holiday Assignment
2. Department
3. Testing
4. switch on 2 holidays
5. Save</t>
  </si>
  <si>
    <t>Logged in as HRMS admin (amit) → New Holiday Assignment → Department → Testing → switch on 2 holidays → Save</t>
  </si>
  <si>
    <t>Department row lists both holidays</t>
  </si>
  <si>
    <t>TC-LV-123</t>
  </si>
  <si>
    <t>Assign a holiday to a single Employee</t>
  </si>
  <si>
    <t xml:space="preserve">1. New Holiday Assignment
2. Employee
3. pick employee
4. switch on a holiday
5. Save</t>
  </si>
  <si>
    <t>Logged in as HRMS admin (amit) → New Holiday Assignment → Employee → pick employee → switch on a holiday → Save</t>
  </si>
  <si>
    <t>Employee row lists the holiday</t>
  </si>
  <si>
    <t>TC-LV-124</t>
  </si>
  <si>
    <t>Assignment Type missing</t>
  </si>
  <si>
    <t xml:space="preserve">1. New Holiday Assignment
2. leave "Choose"
3. Save</t>
  </si>
  <si>
    <t>Logged in as HRMS admin (amit) → New Holiday Assignment → leave "Choose" → Save</t>
  </si>
  <si>
    <t>Required message for Assignment Type*</t>
  </si>
  <si>
    <t>TC-LV-125</t>
  </si>
  <si>
    <t>No holiday switched on</t>
  </si>
  <si>
    <t xml:space="preserve">1. New Holiday Assignment
2. Branch
3. Main Branch
4. no switches
5. Save</t>
  </si>
  <si>
    <t>Logged in as HRMS admin (amit) → New Holiday Assignment → Branch → Main Branch → no switches → Save</t>
  </si>
  <si>
    <t>Required message for Holidays*</t>
  </si>
  <si>
    <t>TC-LV-126</t>
  </si>
  <si>
    <t>Picker</t>
  </si>
  <si>
    <t>Holiday picker search narrows the switch list</t>
  </si>
  <si>
    <t>Foundation</t>
  </si>
  <si>
    <t xml:space="preserve">1. Open Holidays*
2. Type part of a name
3. Compare what is displayed with the expected result</t>
  </si>
  <si>
    <t>Logged in as HRMS admin (amit) → Open Holidays* → Type part of a name → Compare what is displayed with the expected result</t>
  </si>
  <si>
    <t>Only matching holidays shown</t>
  </si>
  <si>
    <t>TC-LV-127</t>
  </si>
  <si>
    <t>Holidays* box is read-only and opens the picker</t>
  </si>
  <si>
    <t xml:space="preserve">1. Open Leave &gt; Holiday Assignment (/holiday-assignment-list)
2. Try typing in Holidays*
3. Click it</t>
  </si>
  <si>
    <t>Logged in as HRMS admin (amit) → Open Leave &gt; Holiday Assignment (/holiday-assignment-list) → Try typing in Holidays* → Click it</t>
  </si>
  <si>
    <t>Cannot type; click opens the searchable switch list</t>
  </si>
  <si>
    <t>TC-LV-128</t>
  </si>
  <si>
    <t>Extra holidays fold into "+N more" with a tooltip</t>
  </si>
  <si>
    <t>Logged in as HRMS admin (amit); branch with many holidays</t>
  </si>
  <si>
    <t xml:space="preserve">1. Open Leave &gt; Holiday Assignment (/holiday-assignment-list)
2. Hover "+N more" on the row
3. Compare what is displayed with the expected result</t>
  </si>
  <si>
    <t>Logged in as HRMS admin (amit); branch with many holidays → Open Leave &gt; Holiday Assignment (/holiday-assignment-list) → Hover "+N more" on the row → Compare what is displayed with the expected result</t>
  </si>
  <si>
    <t>Tooltip lists the folded holiday names</t>
  </si>
  <si>
    <t>TC-LV-129</t>
  </si>
  <si>
    <t>Switch a holiday off and save</t>
  </si>
  <si>
    <t>Branch assignment with the holiday</t>
  </si>
  <si>
    <t xml:space="preserve">1. Edit the row
2. Switch the holiday off
3. Save</t>
  </si>
  <si>
    <t>Branch assignment with the holiday → Edit the row → Switch the holiday off → Save</t>
  </si>
  <si>
    <t>Holiday no longer in the row; employees no longer get it</t>
  </si>
  <si>
    <t>TC-LV-130</t>
  </si>
  <si>
    <t>Delete a holiday assignment</t>
  </si>
  <si>
    <t xml:space="preserve">1. Open Leave &gt; Holiday Assignment (/holiday-assignment-list)
2. Delete a row
3. Confirm</t>
  </si>
  <si>
    <t>Logged in as HRMS admin (amit) → Open Leave &gt; Holiday Assignment (/holiday-assignment-list) → Delete a row → Confirm</t>
  </si>
  <si>
    <t>Row removed after confirmation</t>
  </si>
  <si>
    <t>TC-LV-131</t>
  </si>
  <si>
    <t>Same holiday assigned twice to the same target</t>
  </si>
  <si>
    <t>Main Branch already has the holiday</t>
  </si>
  <si>
    <t xml:space="preserve">1. Open Leave &gt; Holiday Assignment (/holiday-assignment-list)
2. New Holiday Assignment for Main Branch with the same holiday
3. Confirm the message shown and that no record or balance was created or changed</t>
  </si>
  <si>
    <t>Main Branch already has the holiday → Open Leave &gt; Holiday Assignment (/holiday-assignment-list) → New Holiday Assignment for Main Branch with the same holiday → Confirm the message shown and that no record or balance was created or changed</t>
  </si>
  <si>
    <t>Merged or refused; no duplicate</t>
  </si>
  <si>
    <t>TC-LV-132</t>
  </si>
  <si>
    <t>Assigned holiday is not counted inside a leave</t>
  </si>
  <si>
    <t>Holiday assigned to the employee; counting rule Never</t>
  </si>
  <si>
    <t xml:space="preserve">1. Open Leave &gt; Holiday Assignment (/holiday-assignment-list)
2. Employee applies Mon–Wed covering the holiday on Tue
3. Refresh the page and confirm the outcome persists (list, balance or ledger as applicable)</t>
  </si>
  <si>
    <t>Holiday assigned to the employee; counting rule Never → Open Leave &gt; Holiday Assignment (/holiday-assignment-list) → Employee applies Mon–Wed covering the holiday on Tue → Refresh the page and confirm the outcome persists (list, balance or ledger as applicable)</t>
  </si>
  <si>
    <t>Request counts 2 days, not 3</t>
  </si>
  <si>
    <t>FR-15</t>
  </si>
  <si>
    <t>TC-LV-133</t>
  </si>
  <si>
    <t>Optional holiday counts only once picked</t>
  </si>
  <si>
    <t>Optional holiday assigned but not picked</t>
  </si>
  <si>
    <t xml:space="preserve">1. Open Leave &gt; Holiday Assignment (/holiday-assignment-list)
2. Employee applies leave over that date
3. then picks the holiday and re-applies</t>
  </si>
  <si>
    <t>Optional holiday assigned but not picked → Open Leave &gt; Holiday Assignment (/holiday-assignment-list) → Employee applies leave over that date → then picks the holiday and re-applies</t>
  </si>
  <si>
    <t>Unpicked: counted as leave day; picked: not counted</t>
  </si>
  <si>
    <t>TC-LV-134</t>
  </si>
  <si>
    <t>Filter holiday assignments</t>
  </si>
  <si>
    <t xml:space="preserve">1. Click Filter
2. choose Branch
3. Apply</t>
  </si>
  <si>
    <t>Logged in as HRMS admin (amit) → Click Filter → choose Branch → Apply</t>
  </si>
  <si>
    <t>Only branch assignments shown</t>
  </si>
  <si>
    <t>TC-LV-135</t>
  </si>
  <si>
    <t>Staff user cannot assign holidays</t>
  </si>
  <si>
    <t xml:space="preserve">1. Log in as the user named in the preconditions
2. Browse to /holiday-assignment-list
3. Confirm no data or action controls of the page are exposed</t>
  </si>
  <si>
    <t>Logged in as Staff → Log in as the user named in the preconditions → Browse to /holiday-assignment-list → Confirm no data or action controls of the page are exposed</t>
  </si>
  <si>
    <t>TC-LV-136</t>
  </si>
  <si>
    <t>Apply Leave for Employee page opens and renders correctly</t>
  </si>
  <si>
    <t>Route /leave-request-on-behalf</t>
  </si>
  <si>
    <t xml:space="preserve">1. Open Leave &gt; Apply Leave for Employee from the sidebar
2. Wait for the loading indicator to clear
3. Observe the heading, toolbar buttons and table</t>
  </si>
  <si>
    <t>Logged in as HRMS admin (amit) → Open Leave &gt; Apply Leave for Employee from the sidebar → Wait for the loading indicator to clear → Observe the heading, toolbar buttons and table</t>
  </si>
  <si>
    <t>Page loads without redirect to login, 404 or application error; loading clears; heading "Apply Leave for Employee" is shown; Branch, Department and Employee * selects render; employee options load</t>
  </si>
  <si>
    <t>Linear 055 Apply Leave for Employee — page check</t>
  </si>
  <si>
    <t>TC-LV-137</t>
  </si>
  <si>
    <t>Apply on behalf</t>
  </si>
  <si>
    <t>HR applies and approves 1 day Casual Leave for an employee</t>
  </si>
  <si>
    <t>Logged in as HRMS admin (amit); run employee holds Standard Leave with Casual balance</t>
  </si>
  <si>
    <t>Reason: Personal work — applied by HR on the employee's behalf</t>
  </si>
  <si>
    <t xml:space="preserve">1. Open Apply Leave for Employee
2. Select the employee
3. Leave Type Casual Leave ("&lt;n&gt; d available")
4. Start = End = a weekday 14 days ahead
5. Reason
6. Click "Apply and Approve"
7. Confirm</t>
  </si>
  <si>
    <t>Logged in as HRMS admin (amit); run employee holds Standard Leave with Casual balance → Open Apply Leave for Employee → Select the employee → Leave Type Casual Leave ("&lt;n&gt; d available") → Start = End = a weekday 14 days ahead → Reason → Click "Apply and Approve" → Confirm</t>
  </si>
  <si>
    <t>Message "...applied for ... and approved — their balance is updated"; Casual available drops by 1 on a fresh read</t>
  </si>
  <si>
    <t>Linear 055 Apply Leave for Employee — applyLeaveOnBehalf</t>
  </si>
  <si>
    <t>TC-LV-138</t>
  </si>
  <si>
    <t>HR submits a request for approval (without approving)</t>
  </si>
  <si>
    <t xml:space="preserve">1. Select employee
2. Casual Leave
3. dates
4. Reason
5. Click Apply</t>
  </si>
  <si>
    <t>Logged in as HRMS admin (amit); run employee holds Standard Leave with Casual balance → Select employee → Casual Leave → dates → Reason → Click Apply</t>
  </si>
  <si>
    <t>Request created Pending; reserved +1; routed to the approver</t>
  </si>
  <si>
    <t>TC-LV-139</t>
  </si>
  <si>
    <t>Branch and Department filters narrow the employee list</t>
  </si>
  <si>
    <t xml:space="preserve">1. Choose Branch Kannur
2. then Department Testing
3. open Employee *</t>
  </si>
  <si>
    <t>Logged in as HRMS admin (amit) → Choose Branch Kannur → then Department Testing → open Employee *</t>
  </si>
  <si>
    <t>Employee list limited to the chosen branch/department</t>
  </si>
  <si>
    <t>TC-LV-140</t>
  </si>
  <si>
    <t>Employee options show name and [code]</t>
  </si>
  <si>
    <t xml:space="preserve">1. Log in as the user named in the preconditions
2. Open Employee *
3. Compare what is displayed with the expected result</t>
  </si>
  <si>
    <t>Logged in as HRMS admin (amit) → Log in as the user named in the preconditions → Open Employee * → Compare what is displayed with the expected result</t>
  </si>
  <si>
    <t>Options like "Ada Lovelace [pbhrms0311]"; async options finish loading</t>
  </si>
  <si>
    <t>TC-LV-141</t>
  </si>
  <si>
    <t>Leave types</t>
  </si>
  <si>
    <t>Leave Type options show available days</t>
  </si>
  <si>
    <t xml:space="preserve">1. Open Leave &gt; Apply Leave for Employee (/leave-request-on-behalf)
2. Select the employee
3. Open Leave Type</t>
  </si>
  <si>
    <t>Logged in as HRMS admin (amit); run employee holds Standard Leave with Casual balance → Open Leave &gt; Apply Leave for Employee (/leave-request-on-behalf) → Select the employee → Open Leave Type</t>
  </si>
  <si>
    <t>Each option reads "&lt;Type&gt; – &lt;n&gt; d available"</t>
  </si>
  <si>
    <t>TC-LV-142</t>
  </si>
  <si>
    <t>Employee without a pattern has no leave types</t>
  </si>
  <si>
    <t>Logged in as HRMS admin (amit); employee with no pattern</t>
  </si>
  <si>
    <t xml:space="preserve">1. Open Leave &gt; Apply Leave for Employee (/leave-request-on-behalf)
2. Select the employee
3. Confirm the message shown and that no record or balance was created or changed</t>
  </si>
  <si>
    <t>Logged in as HRMS admin (amit); employee with no pattern → Open Leave &gt; Apply Leave for Employee (/leave-request-on-behalf) → Select the employee → Confirm the message shown and that no record or balance was created or changed</t>
  </si>
  <si>
    <t>No leave types; a guidance message should explain no pattern is assigned</t>
  </si>
  <si>
    <t>Related LM-5: no guidance given</t>
  </si>
  <si>
    <t>TC-LV-143</t>
  </si>
  <si>
    <t>Employee not selected</t>
  </si>
  <si>
    <t xml:space="preserve">1. Open Leave &gt; Apply Leave for Employee (/leave-request-on-behalf)
2. Leave Employee "Choose employee"
3. Try to apply</t>
  </si>
  <si>
    <t>Logged in as HRMS admin (amit) → Open Leave &gt; Apply Leave for Employee (/leave-request-on-behalf) → Leave Employee "Choose employee" → Try to apply</t>
  </si>
  <si>
    <t>Required message for Employee *</t>
  </si>
  <si>
    <t>TC-LV-144</t>
  </si>
  <si>
    <t>Reason missing</t>
  </si>
  <si>
    <t xml:space="preserve">1. Open Leave &gt; Apply Leave for Employee (/leave-request-on-behalf)
2. Fill everything except Reason
3. Apply and Approve</t>
  </si>
  <si>
    <t>Logged in as HRMS admin (amit); run employee holds Standard Leave with Casual balance → Open Leave &gt; Apply Leave for Employee (/leave-request-on-behalf) → Fill everything except Reason → Apply and Approve</t>
  </si>
  <si>
    <t>Required message; nothing created</t>
  </si>
  <si>
    <t>TC-LV-145</t>
  </si>
  <si>
    <t>End date before start date</t>
  </si>
  <si>
    <t xml:space="preserve">1. Start 20-11-2026
2. End 18-11-2026
3. Apply</t>
  </si>
  <si>
    <t>Logged in as HRMS admin (amit); run employee holds Standard Leave with Casual balance → Start 20-11-2026 → End 18-11-2026 → Apply</t>
  </si>
  <si>
    <t>"End date cannot be before the start date."</t>
  </si>
  <si>
    <t>TC-LV-146</t>
  </si>
  <si>
    <t>Overlapping request refused</t>
  </si>
  <si>
    <t>Logged in as HRMS admin (amit); run employee holds Standard Leave with Casual balance; employee already has leave on the date</t>
  </si>
  <si>
    <t xml:space="preserve">1. Open Leave &gt; Apply Leave for Employee (/leave-request-on-behalf)
2. Apply on behalf for the same date
3. Confirm the message shown and that no record or balance was created or changed</t>
  </si>
  <si>
    <t>Logged in as HRMS admin (amit); run employee holds Standard Leave with Casual balance; employee already has leave on the date → Open Leave &gt; Apply Leave for Employee (/leave-request-on-behalf) → Apply on behalf for the same date → Confirm the message shown and that no record or balance was created or changed</t>
  </si>
  <si>
    <t>Refused "You already have a leave request overlapping these dates." — balance unchanged</t>
  </si>
  <si>
    <t>BR 9</t>
  </si>
  <si>
    <t>TC-LV-147</t>
  </si>
  <si>
    <t>Insufficient balance refused</t>
  </si>
  <si>
    <t>Logged in as HRMS admin (amit); run employee holds Standard Leave with Casual balance; Casual available 2; negatives off</t>
  </si>
  <si>
    <t xml:space="preserve">1. Open Leave &gt; Apply Leave for Employee (/leave-request-on-behalf)
2. Apply 3 days Casual
3. Confirm the message shown and that no record or balance was created or changed</t>
  </si>
  <si>
    <t>Logged in as HRMS admin (amit); run employee holds Standard Leave with Casual balance; Casual available 2; negatives off → Open Leave &gt; Apply Leave for Employee (/leave-request-on-behalf) → Apply 3 days Casual → Confirm the message shown and that no record or balance was created or changed</t>
  </si>
  <si>
    <t>"You have 2 day(s) available and this request is for 3."</t>
  </si>
  <si>
    <t>TC-LV-148</t>
  </si>
  <si>
    <t>Span entirely on a weekly off / holiday refused</t>
  </si>
  <si>
    <t xml:space="preserve">1. Open Leave &gt; Apply Leave for Employee (/leave-request-on-behalf)
2. Apply for a Saturday–Sunday only
3. Confirm the message shown and that no record or balance was created or changed</t>
  </si>
  <si>
    <t>Logged in as HRMS admin (amit); run employee holds Standard Leave with Casual balance → Open Leave &gt; Apply Leave for Employee (/leave-request-on-behalf) → Apply for a Saturday–Sunday only → Confirm the message shown and that no record or balance was created or changed</t>
  </si>
  <si>
    <t>"The selected span contains no countable leave days."</t>
  </si>
  <si>
    <t>BR 10</t>
  </si>
  <si>
    <t>TC-LV-149</t>
  </si>
  <si>
    <t>Dates outside the pattern window refused</t>
  </si>
  <si>
    <t>Logged in as HRMS admin (amit); run employee holds Standard Leave with Casual balance; pattern ends 31-12-2026</t>
  </si>
  <si>
    <t xml:space="preserve">1. Open Leave &gt; Apply Leave for Employee (/leave-request-on-behalf)
2. Apply for 04-01-2027
3. Refresh the page and confirm the outcome persists (list, balance or ledger as applicable)</t>
  </si>
  <si>
    <t>Logged in as HRMS admin (amit); run employee holds Standard Leave with Casual balance; pattern ends 31-12-2026 → Open Leave &gt; Apply Leave for Employee (/leave-request-on-behalf) → Apply for 04-01-2027 → Refresh the page and confirm the outcome persists (list, balance or ledger as applicable)</t>
  </si>
  <si>
    <t>Refused — no entitlement for that period</t>
  </si>
  <si>
    <t>TC-LV-150</t>
  </si>
  <si>
    <t>Half day</t>
  </si>
  <si>
    <t>Half-day on behalf for a half-day-enabled type</t>
  </si>
  <si>
    <t>Logged in as HRMS admin (amit); run employee holds Standard Leave with Casual balance; Casual supports half-day</t>
  </si>
  <si>
    <t xml:space="preserve">1. Choose Half day
2. Second half
3. single date
4. Apply and Approve</t>
  </si>
  <si>
    <t>Logged in as HRMS admin (amit); run employee holds Standard Leave with Casual balance; Casual supports half-day → Choose Half day → Second half → single date → Apply and Approve</t>
  </si>
  <si>
    <t>0.5 day debited; End date forced to Start</t>
  </si>
  <si>
    <t>TC-LV-151</t>
  </si>
  <si>
    <t>Document</t>
  </si>
  <si>
    <t>Document-required type on behalf</t>
  </si>
  <si>
    <t>Logged in as HRMS admin (amit); run employee holds Standard Leave with Casual balance; Medical requires a document</t>
  </si>
  <si>
    <t>medical_cert.pdf</t>
  </si>
  <si>
    <t xml:space="preserve">1. Choose Medical
2. attach a PDF
3. Apply and Approve</t>
  </si>
  <si>
    <t>Logged in as HRMS admin (amit); run employee holds Standard Leave with Casual balance; Medical requires a document → Choose Medical → attach a PDF → Apply and Approve</t>
  </si>
  <si>
    <t>Request approved with the document attached</t>
  </si>
  <si>
    <t>TC-LV-152</t>
  </si>
  <si>
    <t>Ledger shows Used row posted by HR</t>
  </si>
  <si>
    <t>Leave applied+approved on behalf</t>
  </si>
  <si>
    <t xml:space="preserve">1. Log in as the user named in the preconditions
2. Open Leave Ledger filtered to the employee
3. Refresh the page and confirm the outcome persists (list, balance or ledger as applicable)</t>
  </si>
  <si>
    <t>Leave applied+approved on behalf → Log in as the user named in the preconditions → Open Leave Ledger filtered to the employee → Refresh the page and confirm the outcome persists (list, balance or ledger as applicable)</t>
  </si>
  <si>
    <t>Used −1 row with source ref and Posted by Amit</t>
  </si>
  <si>
    <t>TC-LV-153</t>
  </si>
  <si>
    <t>Employee sees the on-behalf leave as Approved in My Leave</t>
  </si>
  <si>
    <t xml:space="preserve">1. Log in as the employee
2. Open My Workspace &gt; Leave
3. Refresh the page and confirm the outcome persists (list, balance or ledger as applicable)</t>
  </si>
  <si>
    <t>Leave applied+approved on behalf → Log in as the employee → Open My Workspace &gt; Leave → Refresh the page and confirm the outcome persists (list, balance or ledger as applicable)</t>
  </si>
  <si>
    <t>Request listed Approved; Used +1</t>
  </si>
  <si>
    <t>TC-LV-154</t>
  </si>
  <si>
    <t>On-behalf scoped to accessible departments</t>
  </si>
  <si>
    <t>Scoped HR user (Testing only)</t>
  </si>
  <si>
    <t xml:space="preserve">1. Log in as the user named in the preconditions
2. Open Employee *
3. Confirm no data or action controls of the page are exposed</t>
  </si>
  <si>
    <t>Scoped HR user (Testing only) → Log in as the user named in the preconditions → Open Employee * → Confirm no data or action controls of the page are exposed</t>
  </si>
  <si>
    <t>Only Testing employees are offered</t>
  </si>
  <si>
    <t>§5</t>
  </si>
  <si>
    <t>TC-LV-155</t>
  </si>
  <si>
    <t>Staff user cannot apply on behalf</t>
  </si>
  <si>
    <t xml:space="preserve">1. Log in as the user named in the preconditions
2. Browse to /leave-request-on-behalf
3. Confirm no data or action controls of the page are exposed</t>
  </si>
  <si>
    <t>Logged in as Staff → Log in as the user named in the preconditions → Browse to /leave-request-on-behalf → Confirm no data or action controls of the page are exposed</t>
  </si>
  <si>
    <t>TC-LV-156</t>
  </si>
  <si>
    <t>Leave Approval page opens and renders correctly</t>
  </si>
  <si>
    <t>Route /leave-approval</t>
  </si>
  <si>
    <t xml:space="preserve">1. Open Leave &gt; Leave Approval from the sidebar
2. Wait for the loading indicator to clear
3. Observe the heading, toolbar buttons and table</t>
  </si>
  <si>
    <t>Logged in as HRMS admin (amit) → Open Leave &gt; Leave Approval from the sidebar → Wait for the loading indicator to clear → Observe the heading, toolbar buttons and table</t>
  </si>
  <si>
    <t>Page loads without redirect to login, 404 or application error; loading clears; heading "Leave Approval" is shown; Filter, Approve Selected, Reject Selected, Clear buttons; rows with checkboxes, Approve / Reject / View details; page-size selector</t>
  </si>
  <si>
    <t>Linear 056 Leave Approval — page check</t>
  </si>
  <si>
    <t>TC-LV-157</t>
  </si>
  <si>
    <t>Employee applies, reporting manager approves, balance drops</t>
  </si>
  <si>
    <t>Run employee (login = username, password = code) reports to Amit; Casual available &gt; 0</t>
  </si>
  <si>
    <t>Reason: Family function at hometown (Auto …)</t>
  </si>
  <si>
    <t xml:space="preserve">1. Employee: My Workspace &gt; Leave &gt; Apply for Leave
2. Casual, Full Day, a weekday 21 days ahead, description
3. Apply
4. Amit: Leave Approval
5. find the row (first name) and check View details
6. Approve &gt; "Yes, Approve"
7. Employee re-opens My Leave</t>
  </si>
  <si>
    <t>Run employee (login = username, password = code) reports to Amit; Casual available &gt; 0 → Employee: My Workspace &gt; Leave &gt; Apply for Leave → Casual, Full Day, a weekday 21 days ahead, description → Apply → Amit: Leave Approval → find the row (first name) and check View details → Approve &gt; "Yes, Approve" → Employee re-opens My Leave</t>
  </si>
  <si>
    <t>Employee sees Pending then Approved; Casual available −1 and used +1</t>
  </si>
  <si>
    <t>TC-LV-158</t>
  </si>
  <si>
    <t>Approve confirmation can be cancelled</t>
  </si>
  <si>
    <t>A Pending request</t>
  </si>
  <si>
    <t xml:space="preserve">1. Click Approve
2. Cancel the "Approve Leave Request?" dialog
3. Compare what is displayed with the expected result</t>
  </si>
  <si>
    <t>A Pending request → Click Approve → Cancel the "Approve Leave Request?" dialog → Compare what is displayed with the expected result</t>
  </si>
  <si>
    <t>Request stays Pending; no ledger change</t>
  </si>
  <si>
    <t>TC-LV-159</t>
  </si>
  <si>
    <t>Reject a request releases the reserved days</t>
  </si>
  <si>
    <t>Pending request reserving 1 day</t>
  </si>
  <si>
    <t>Reason: Project release week</t>
  </si>
  <si>
    <t xml:space="preserve">1. Click Reject
2. enter reason
3. confirm
4. Employee opens My Leave</t>
  </si>
  <si>
    <t>Pending request reserving 1 day → Click Reject → enter reason → confirm → Employee opens My Leave</t>
  </si>
  <si>
    <t>Status Rejected; reserved back to 0; available restored; employee notified</t>
  </si>
  <si>
    <t>TC-LV-160</t>
  </si>
  <si>
    <t>Reject reason required</t>
  </si>
  <si>
    <t xml:space="preserve">1. Click Reject
2. leave reason empty
3. confirm</t>
  </si>
  <si>
    <t>Pending request → Click Reject → leave reason empty → confirm</t>
  </si>
  <si>
    <t>Reason required (or recorded empty per design) — verify</t>
  </si>
  <si>
    <t>TC-LV-161</t>
  </si>
  <si>
    <t>Approve Selected processes several requests</t>
  </si>
  <si>
    <t>3 Pending requests</t>
  </si>
  <si>
    <t xml:space="preserve">1. Tick 3 rows
2. Approve Selected
3. confirm</t>
  </si>
  <si>
    <t>3 Pending requests → Tick 3 rows → Approve Selected → confirm</t>
  </si>
  <si>
    <t>All 3 Approved; each balance debited once</t>
  </si>
  <si>
    <t>TC-LV-162</t>
  </si>
  <si>
    <t>Reject Selected processes several requests</t>
  </si>
  <si>
    <t>2 Pending requests</t>
  </si>
  <si>
    <t xml:space="preserve">1. Tick 2 rows
2. Reject Selected
3. confirm</t>
  </si>
  <si>
    <t>2 Pending requests → Tick 2 rows → Reject Selected → confirm</t>
  </si>
  <si>
    <t>Both Rejected; reserved days released</t>
  </si>
  <si>
    <t>TC-LV-163</t>
  </si>
  <si>
    <t>Clear unticks the selection</t>
  </si>
  <si>
    <t>Rows ticked</t>
  </si>
  <si>
    <t xml:space="preserve">1. Log in as the user named in the preconditions
2. Click Clear
3. Compare what is displayed with the expected result</t>
  </si>
  <si>
    <t>Rows ticked → Log in as the user named in the preconditions → Click Clear → Compare what is displayed with the expected result</t>
  </si>
  <si>
    <t>All checkboxes cleared; bulk buttons disabled</t>
  </si>
  <si>
    <t>TC-LV-164</t>
  </si>
  <si>
    <t>Revert</t>
  </si>
  <si>
    <t>Revert approval reopens the request and credits days back</t>
  </si>
  <si>
    <t>An approval made by the signed-in approver</t>
  </si>
  <si>
    <t xml:space="preserve">1. Click "Revert approval"
2. Confirm
3. Refresh the page and confirm the outcome persists (list, balance or ledger as applicable)</t>
  </si>
  <si>
    <t>An approval made by the signed-in approver → Click "Revert approval" → Confirm → Refresh the page and confirm the outcome persists (list, balance or ledger as applicable)</t>
  </si>
  <si>
    <t>Request reopened; ledger Reverse row; balance restored; attendance rows cleared</t>
  </si>
  <si>
    <t>TC-LV-165</t>
  </si>
  <si>
    <t>Revert refused when days fall in a finalised attendance period</t>
  </si>
  <si>
    <t>Approved leave inside a locked attendance period</t>
  </si>
  <si>
    <t xml:space="preserve">1. Log in as the user named in the preconditions
2. Click "Revert approval"
3. Confirm the message shown and that no record or balance was created or changed</t>
  </si>
  <si>
    <t>Approved leave inside a locked attendance period → Log in as the user named in the preconditions → Click "Revert approval" → Confirm the message shown and that no record or balance was created or changed</t>
  </si>
  <si>
    <t>"{n} day(s) of this leave fall in a finalised attendance period and cannot be changed. Unlock that period first…"</t>
  </si>
  <si>
    <t>BR 17</t>
  </si>
  <si>
    <t>TC-LV-166</t>
  </si>
  <si>
    <t>Details</t>
  </si>
  <si>
    <t>View details shows reason, dates and balance context</t>
  </si>
  <si>
    <t xml:space="preserve">1. Click "View details"
2. Close
3. Compare what is displayed with the expected result</t>
  </si>
  <si>
    <t>A Pending request → Click "View details" → Close → Compare what is displayed with the expected result</t>
  </si>
  <si>
    <t>Modal shows type, dates, days, reason, balance; closes cleanly</t>
  </si>
  <si>
    <t>TC-LV-167</t>
  </si>
  <si>
    <t>Rows show the employee's first name only</t>
  </si>
  <si>
    <t>Two employees with the same first name have Pending requests</t>
  </si>
  <si>
    <t xml:space="preserve">1. Open Leave &gt; Leave Approval (/leave-approval)
2. Look at the Employee column
3. Compare what is displayed with the expected result</t>
  </si>
  <si>
    <t>Two employees with the same first name have Pending requests → Open Leave &gt; Leave Approval (/leave-approval) → Look at the Employee column → Compare what is displayed with the expected result</t>
  </si>
  <si>
    <t>Full name + code should be shown to tell them apart</t>
  </si>
  <si>
    <t>Observed: rows show first name only — approver must open View details</t>
  </si>
  <si>
    <t>TC-LV-168</t>
  </si>
  <si>
    <t>Authority</t>
  </si>
  <si>
    <t>Applicant does not see own request in the queue</t>
  </si>
  <si>
    <t>Amit applied for own leave</t>
  </si>
  <si>
    <t xml:space="preserve">1. Open Leave &gt; Leave Approval (/leave-approval)
2. Amit opens Leave Approval
3. Confirm no data or action controls of the page are exposed</t>
  </si>
  <si>
    <t>Amit applied for own leave → Open Leave &gt; Leave Approval (/leave-approval) → Amit opens Leave Approval → Confirm no data or action controls of the page are exposed</t>
  </si>
  <si>
    <t>Own request not actionable (self-approval excluded); routed to Amit's own approver</t>
  </si>
  <si>
    <t>LM-D: if the applicant is the sole approver the request can never be approved</t>
  </si>
  <si>
    <t>TC-LV-169</t>
  </si>
  <si>
    <t>Authority comes from the workflow, not the role</t>
  </si>
  <si>
    <t>User holds approval rights but is not the configured approver</t>
  </si>
  <si>
    <t xml:space="preserve">1. Open Leave Approval
2. Look for the request
3. Confirm no data or action controls of the page are exposed</t>
  </si>
  <si>
    <t>User holds approval rights but is not the configured approver → Open Leave Approval → Look for the request → Confirm no data or action controls of the page are exposed</t>
  </si>
  <si>
    <t>Not listed / not actionable</t>
  </si>
  <si>
    <t>TC-LV-170</t>
  </si>
  <si>
    <t>Team Lead sees only reportees' requests</t>
  </si>
  <si>
    <t>Team Lead with reportees; other requests exist</t>
  </si>
  <si>
    <t xml:space="preserve">1. Log in as the Team Lead
2. Open Leave Approval
3. Confirm no data or action controls of the page are exposed</t>
  </si>
  <si>
    <t>Team Lead with reportees; other requests exist → Log in as the Team Lead → Open Leave Approval → Confirm no data or action controls of the page are exposed</t>
  </si>
  <si>
    <t>Only reportees' requests listed</t>
  </si>
  <si>
    <t>TC-LV-171</t>
  </si>
  <si>
    <t>Multi-level</t>
  </si>
  <si>
    <t>Multi-level chain advances one level at a time</t>
  </si>
  <si>
    <t>Workflow with 2 levels</t>
  </si>
  <si>
    <t xml:space="preserve">1. Level 1 approves
2. Level 2 opens queue
3. approves</t>
  </si>
  <si>
    <t>Workflow with 2 levels → Level 1 approves → Level 2 opens queue → approves</t>
  </si>
  <si>
    <t>After L1: still Pending at L2, no ledger debit; after L2: Approved, single Used row</t>
  </si>
  <si>
    <t>TC-LV-172</t>
  </si>
  <si>
    <t>Repeat approval is a no-op</t>
  </si>
  <si>
    <t>Approved request</t>
  </si>
  <si>
    <t xml:space="preserve">1. Open Leave &gt; Leave Approval (/leave-approval)
2. Trigger approve again (double-click / bulk)
3. Confirm the message shown and that no record or balance was created or changed</t>
  </si>
  <si>
    <t>Approved request → Open Leave &gt; Leave Approval (/leave-approval) → Trigger approve again (double-click / bulk) → Confirm the message shown and that no record or balance was created or changed</t>
  </si>
  <si>
    <t>No second Used row</t>
  </si>
  <si>
    <t>TC-LV-173</t>
  </si>
  <si>
    <t>Delegation</t>
  </si>
  <si>
    <t>Duty handover routes approval to the delegate</t>
  </si>
  <si>
    <t>Approver has a duty handover to a colleague for the dates</t>
  </si>
  <si>
    <t xml:space="preserve">1. Open Leave &gt; Leave Approval (/leave-approval)
2. Employee applies
3. Delegate opens Leave Approval</t>
  </si>
  <si>
    <t>Approver has a duty handover to a colleague for the dates → Open Leave &gt; Leave Approval (/leave-approval) → Employee applies → Delegate opens Leave Approval</t>
  </si>
  <si>
    <t>Request appears for the delegate; LeaveDelegationEvent to both</t>
  </si>
  <si>
    <t>TC-LV-174</t>
  </si>
  <si>
    <t>Approval blocked when a required document is missing</t>
  </si>
  <si>
    <t>Document-required type; no file uploaded</t>
  </si>
  <si>
    <t xml:space="preserve">1. Open Leave &gt; Leave Approval (/leave-approval)
2. Approve the request
3. Confirm the message shown and that no record or balance was created or changed</t>
  </si>
  <si>
    <t>Document-required type; no file uploaded → Open Leave &gt; Leave Approval (/leave-approval) → Approve the request → Confirm the message shown and that no record or balance was created or changed</t>
  </si>
  <si>
    <t>"This leave type requires a supporting document…"</t>
  </si>
  <si>
    <t>TC-LV-175</t>
  </si>
  <si>
    <t>LOP</t>
  </si>
  <si>
    <t>Approving a request beyond balance flags LOP</t>
  </si>
  <si>
    <t>Negative balance allowed (Unpaid); request 2 days over balance</t>
  </si>
  <si>
    <t xml:space="preserve">1. Open Leave &gt; Leave Approval (/leave-approval)
2. Approve
3. Refresh the page and confirm the outcome persists (list, balance or ledger as applicable)</t>
  </si>
  <si>
    <t>Negative balance allowed (Unpaid); request 2 days over balance → Open Leave &gt; Leave Approval (/leave-approval) → Approve → Refresh the page and confirm the outcome persists (list, balance or ledger as applicable)</t>
  </si>
  <si>
    <t>Excess days flagged Loss of Pay; LeaveLopFlagged to applicant and HR</t>
  </si>
  <si>
    <t>TC-LV-176</t>
  </si>
  <si>
    <t>Cancel</t>
  </si>
  <si>
    <t>HR cancels an approved leave and the ledger is reversed</t>
  </si>
  <si>
    <t>Approved future leave; user with LeaveManagement</t>
  </si>
  <si>
    <t xml:space="preserve">1. Open Leave &gt; Leave Approval (/leave-approval)
2. Cancel the approved leave
3. Refresh the page and confirm the outcome persists (list, balance or ledger as applicable)</t>
  </si>
  <si>
    <t>Approved future leave; user with LeaveManagement → Open Leave &gt; Leave Approval (/leave-approval) → Cancel the approved leave → Refresh the page and confirm the outcome persists (list, balance or ledger as applicable)</t>
  </si>
  <si>
    <t>Reverse ledger row; balance restored; employee notified</t>
  </si>
  <si>
    <t>TC-LV-177</t>
  </si>
  <si>
    <t>Filter panel narrows the queue</t>
  </si>
  <si>
    <t xml:space="preserve">1. Click Filter
2. Status, employee, dates
3. Apply</t>
  </si>
  <si>
    <t>Logged in as HRMS admin (amit) → Click Filter → Status, employee, dates → Apply</t>
  </si>
  <si>
    <t>Slide-in panel; list matches the filter</t>
  </si>
  <si>
    <t>TC-LV-178</t>
  </si>
  <si>
    <t>Empty queue state</t>
  </si>
  <si>
    <t>No pending requests</t>
  </si>
  <si>
    <t xml:space="preserve">1. Log in as the user named in the preconditions
2. Open Leave Approval
3. Compare what is displayed with the expected result</t>
  </si>
  <si>
    <t>No pending requests → Log in as the user named in the preconditions → Open Leave Approval → Compare what is displayed with the expected result</t>
  </si>
  <si>
    <t>"No leave requests awaiting approval"</t>
  </si>
  <si>
    <t>TC-LV-179</t>
  </si>
  <si>
    <t xml:space="preserve">1. Open Leave &gt; Leave Approval (/leave-approval)
2. Change page size 10/25/50/100
3. Page 2</t>
  </si>
  <si>
    <t>Logged in as HRMS admin (amit) → Open Leave &gt; Leave Approval (/leave-approval) → Change page size 10/25/50/100 → Page 2</t>
  </si>
  <si>
    <t>Rows and pages update</t>
  </si>
  <si>
    <t>TC-LV-180</t>
  </si>
  <si>
    <t>Notification</t>
  </si>
  <si>
    <t>Approver notified on submit; applicant on decision</t>
  </si>
  <si>
    <t>Employee applies</t>
  </si>
  <si>
    <t xml:space="preserve">1. Check approver notifications
2. Approve
3. Check employee notifications</t>
  </si>
  <si>
    <t>Employee applies → Check approver notifications → Approve → Check employee notifications</t>
  </si>
  <si>
    <t>LeaveRequestSubmitted to approver; LeaveDecision to applicant</t>
  </si>
  <si>
    <t>§13</t>
  </si>
  <si>
    <t>TC-LV-181</t>
  </si>
  <si>
    <t>Comp-Off Approval page opens and renders correctly</t>
  </si>
  <si>
    <t>Route /comp-off-approval</t>
  </si>
  <si>
    <t xml:space="preserve">1. Open Leave &gt; Comp-Off Approval from the sidebar
2. Wait for the loading indicator to clear
3. Observe the heading, toolbar buttons and table</t>
  </si>
  <si>
    <t>Logged in as HRMS admin (amit) → Open Leave &gt; Comp-Off Approval from the sidebar → Wait for the loading indicator to clear → Observe the heading, toolbar buttons and table</t>
  </si>
  <si>
    <t>Page loads without redirect to login, 404 or application error; loading clears; heading "Comp-Off Approval" is shown; tabs All, Specific Date, For Later, Via Leave Request with counts; Approve Selected, Reject Selected, Clear; row Approve/Reject</t>
  </si>
  <si>
    <t>Linear 057 Comp-Off Approval — page check</t>
  </si>
  <si>
    <t>TC-LV-182</t>
  </si>
  <si>
    <t>Tabs</t>
  </si>
  <si>
    <t>Tabs filter comp-off requests by kind</t>
  </si>
  <si>
    <t>Logged in as HRMS admin (amit); comp-off requests exist</t>
  </si>
  <si>
    <t xml:space="preserve">1. Log in as the user named in the preconditions
2. Click All, Specific Date, For Later, Via Leave Request
3. Compare what is displayed with the expected result</t>
  </si>
  <si>
    <t>Logged in as HRMS admin (amit); comp-off requests exist → Log in as the user named in the preconditions → Click All, Specific Date, For Later, Via Leave Request → Compare what is displayed with the expected result</t>
  </si>
  <si>
    <t>Each tab shows only its kind; counts equal rows</t>
  </si>
  <si>
    <t>TC-LV-183</t>
  </si>
  <si>
    <t>Approve a comp-off credit</t>
  </si>
  <si>
    <t>Pending "For Later" comp-off for holiday work</t>
  </si>
  <si>
    <t xml:space="preserve">1. Open Leave &gt; Comp-Off Approval (/comp-off-approval)
2. Approve the row
3. Refresh the page and confirm the outcome persists (list, balance or ledger as applicable)</t>
  </si>
  <si>
    <t>Pending "For Later" comp-off for holiday work → Open Leave &gt; Comp-Off Approval (/comp-off-approval) → Approve the row → Refresh the page and confirm the outcome persists (list, balance or ledger as applicable)</t>
  </si>
  <si>
    <t>Approved; employee's My Leave &gt; Comp-Off shows the credit Available</t>
  </si>
  <si>
    <t>TC-LV-184</t>
  </si>
  <si>
    <t>Approve a Specific Date comp-off</t>
  </si>
  <si>
    <t>Pending Specific Date comp-off</t>
  </si>
  <si>
    <t xml:space="preserve">1. Open Leave &gt; Comp-Off Approval (/comp-off-approval)
2. Approve
3. Refresh the page and confirm the outcome persists (list, balance or ledger as applicable)</t>
  </si>
  <si>
    <t>Pending Specific Date comp-off → Open Leave &gt; Comp-Off Approval (/comp-off-approval) → Approve → Refresh the page and confirm the outcome persists (list, balance or ledger as applicable)</t>
  </si>
  <si>
    <t>Credit consumed on that date; attendance shows comp-off</t>
  </si>
  <si>
    <t>TC-LV-185</t>
  </si>
  <si>
    <t>Approve a comp-off claimed via leave request</t>
  </si>
  <si>
    <t>Pending Via Leave Request row</t>
  </si>
  <si>
    <t>Pending Via Leave Request row → Open Leave &gt; Comp-Off Approval (/comp-off-approval) → Approve → Refresh the page and confirm the outcome persists (list, balance or ledger as applicable)</t>
  </si>
  <si>
    <t>Credit consumed and the leave day approved</t>
  </si>
  <si>
    <t>TC-LV-186</t>
  </si>
  <si>
    <t>Reject a comp-off</t>
  </si>
  <si>
    <t>Pending row</t>
  </si>
  <si>
    <t xml:space="preserve">1. Open Leave &gt; Comp-Off Approval (/comp-off-approval)
2. Reject
3. Refresh the page and confirm the outcome persists (list, balance or ledger as applicable)</t>
  </si>
  <si>
    <t>Pending row → Open Leave &gt; Comp-Off Approval (/comp-off-approval) → Reject → Refresh the page and confirm the outcome persists (list, balance or ledger as applicable)</t>
  </si>
  <si>
    <t>Rejected; no credit</t>
  </si>
  <si>
    <t>TC-LV-187</t>
  </si>
  <si>
    <t>Approve / Reject Selected and Clear</t>
  </si>
  <si>
    <t>Several pending rows</t>
  </si>
  <si>
    <t xml:space="preserve">1. Tick rows
2. Approve Selected
3. Tick others
4. Reject Selected
5. Tick and Clear</t>
  </si>
  <si>
    <t>Several pending rows → Tick rows → Approve Selected → Tick others → Reject Selected → Tick and Clear</t>
  </si>
  <si>
    <t>Bulk actions applied; Clear unticks</t>
  </si>
  <si>
    <t>TC-LV-188</t>
  </si>
  <si>
    <t>Expired or consumed credit cannot be used</t>
  </si>
  <si>
    <t>Credit past comp-off expiry</t>
  </si>
  <si>
    <t xml:space="preserve">1. Open Leave &gt; Comp-Off Approval (/comp-off-approval)
2. Employee tries to use it
3. Confirm the message shown and that no record or balance was created or changed</t>
  </si>
  <si>
    <t>Credit past comp-off expiry → Open Leave &gt; Comp-Off Approval (/comp-off-approval) → Employee tries to use it → Confirm the message shown and that no record or balance was created or changed</t>
  </si>
  <si>
    <t>Not offered / refused</t>
  </si>
  <si>
    <t>TC-LV-189</t>
  </si>
  <si>
    <t>Comp-off disabled company-wide</t>
  </si>
  <si>
    <t>Leave Settings: comp-off allowed = No</t>
  </si>
  <si>
    <t xml:space="preserve">1. Open Leave &gt; Comp-Off Approval (/comp-off-approval)
2. Employee opens My Leave &gt; Comp-Off
3. Confirm the message shown and that no record or balance was created or changed</t>
  </si>
  <si>
    <t>Leave Settings: comp-off allowed = No → Open Leave &gt; Comp-Off Approval (/comp-off-approval) → Employee opens My Leave &gt; Comp-Off → Confirm the message shown and that no record or balance was created or changed</t>
  </si>
  <si>
    <t>No comp-off claim offered</t>
  </si>
  <si>
    <t>§4.10</t>
  </si>
  <si>
    <t>TC-LV-190</t>
  </si>
  <si>
    <t>Label</t>
  </si>
  <si>
    <t>Comp Off balance card labels days as Granted</t>
  </si>
  <si>
    <t>Employee with approved comp-off</t>
  </si>
  <si>
    <t xml:space="preserve">1. Open Leave &gt; Comp-Off Approval (/comp-off-approval)
2. Employee opens My Leave Overview
3. Compare what is displayed with the expected result</t>
  </si>
  <si>
    <t>Employee with approved comp-off → Open Leave &gt; Comp-Off Approval (/comp-off-approval) → Employee opens My Leave Overview → Compare what is displayed with the expected result</t>
  </si>
  <si>
    <t>Card should label days "Granted"</t>
  </si>
  <si>
    <t>Known issue: Comp Off card labels its days "Accrued"</t>
  </si>
  <si>
    <t>TC-LV-191</t>
  </si>
  <si>
    <t>Staff user cannot approve comp-offs</t>
  </si>
  <si>
    <t xml:space="preserve">1. Log in as the user named in the preconditions
2. Browse to /comp-off-approval
3. Confirm no data or action controls of the page are exposed</t>
  </si>
  <si>
    <t>Logged in as Staff → Log in as the user named in the preconditions → Browse to /comp-off-approval → Confirm no data or action controls of the page are exposed</t>
  </si>
  <si>
    <t>TC-LV-192</t>
  </si>
  <si>
    <t>Leave Ledger page opens and renders correctly</t>
  </si>
  <si>
    <t>Route /leave-ledger</t>
  </si>
  <si>
    <t xml:space="preserve">1. Open Leave &gt; Leave Ledger from the sidebar
2. Wait for the loading indicator to clear
3. Observe the heading, toolbar buttons and table</t>
  </si>
  <si>
    <t>Logged in as HRMS admin (amit) → Open Leave &gt; Leave Ledger from the sidebar → Wait for the loading indicator to clear → Observe the heading, toolbar buttons and table</t>
  </si>
  <si>
    <t>Page loads without redirect to login, 404 or application error; loading clears; heading "Leave Ledger" is shown; Filter and Export buttons; columns Date, Employee, Leave Type, Transaction, Days, Source Ref, Balance after, Posted by</t>
  </si>
  <si>
    <t>Linear 058 Leave Ledger — page check</t>
  </si>
  <si>
    <t>TC-LV-193</t>
  </si>
  <si>
    <t>Filter by employee, transaction type and date range</t>
  </si>
  <si>
    <t xml:space="preserve">1. Click Filter
2. Employee
3. Txn Type Accrual
4. date range
5. Filter</t>
  </si>
  <si>
    <t>Logged in as HRMS admin (amit) → Click Filter → Employee → Txn Type Accrual → date range → Filter</t>
  </si>
  <si>
    <t>Only matching rows</t>
  </si>
  <si>
    <t>Known: first Filter apply sometimes does not take — reopen and click Filter again</t>
  </si>
  <si>
    <t>TC-LV-194</t>
  </si>
  <si>
    <t>Export the ledger to Excel</t>
  </si>
  <si>
    <t xml:space="preserve">1. Log in as the user named in the preconditions
2. Click Export
3. Refresh the page and confirm the outcome persists (list, balance or ledger as applicable)</t>
  </si>
  <si>
    <t>Logged in as HRMS admin (amit) → Log in as the user named in the preconditions → Click Export → Refresh the page and confirm the outcome persists (list, balance or ledger as applicable)</t>
  </si>
  <si>
    <t>.xlsx downloaded with the filtered rows</t>
  </si>
  <si>
    <t>§12</t>
  </si>
  <si>
    <t>TC-LV-195</t>
  </si>
  <si>
    <t>Entries</t>
  </si>
  <si>
    <t>Opening entitlement row on assignment</t>
  </si>
  <si>
    <t>All-at-once pattern just assigned</t>
  </si>
  <si>
    <t xml:space="preserve">1. Open Leave &gt; Leave Ledger (/leave-ledger)
2. Filter to the employee
3. Refresh the page and confirm the outcome persists (list, balance or ledger as applicable)</t>
  </si>
  <si>
    <t>All-at-once pattern just assigned → Open Leave &gt; Leave Ledger (/leave-ledger) → Filter to the employee → Refresh the page and confirm the outcome persists (list, balance or ledger as applicable)</t>
  </si>
  <si>
    <t>"Opening entitlement · 2026" Adjust row with pro-rated days</t>
  </si>
  <si>
    <t>TC-LV-196</t>
  </si>
  <si>
    <t>Used row on approval and Reverse on revert</t>
  </si>
  <si>
    <t>A leave approved then reverted</t>
  </si>
  <si>
    <t>A leave approved then reverted → Open Leave &gt; Leave Ledger (/leave-ledger) → Filter to the employee → Refresh the page and confirm the outcome persists (list, balance or ledger as applicable)</t>
  </si>
  <si>
    <t>Used −n then Reverse +n carrying the original source ref</t>
  </si>
  <si>
    <t>TC-LV-197</t>
  </si>
  <si>
    <t>Ledger is append-only</t>
  </si>
  <si>
    <t xml:space="preserve">1. Open Leave &gt; Leave Ledger (/leave-ledger)
2. Look for edit/delete actions on rows
3. Confirm no protected data or action controls are exposed</t>
  </si>
  <si>
    <t>Logged in as HRMS admin (amit) → Open Leave &gt; Leave Ledger (/leave-ledger) → Look for edit/delete actions on rows → Confirm no protected data or action controls are exposed</t>
  </si>
  <si>
    <t>No edit/delete; corrections only as Adjust/Reverse rows</t>
  </si>
  <si>
    <t>BR 22</t>
  </si>
  <si>
    <t>TC-LV-198</t>
  </si>
  <si>
    <t>Balance after is correct across pages</t>
  </si>
  <si>
    <t>Employee with &gt; 1 page of movements</t>
  </si>
  <si>
    <t xml:space="preserve">1. Open Leave &gt; Leave Ledger (/leave-ledger)
2. Page through with page size 10
3. Refresh the page and confirm the outcome persists (list, balance or ledger as applicable)</t>
  </si>
  <si>
    <t>Employee with &gt; 1 page of movements → Open Leave &gt; Leave Ledger (/leave-ledger) → Page through with page size 10 → Refresh the page and confirm the outcome persists (list, balance or ledger as applicable)</t>
  </si>
  <si>
    <t>Running balance continues correctly across page boundaries</t>
  </si>
  <si>
    <t>TC-LV-199</t>
  </si>
  <si>
    <t>Past rows keep their original pattern name</t>
  </si>
  <si>
    <t>Employee moved from Standard Leave to a new pattern</t>
  </si>
  <si>
    <t xml:space="preserve">1. Open Leave &gt; Leave Ledger (/leave-ledger)
2. View older rows
3. Confirm the message shown and that no record or balance was created or changed</t>
  </si>
  <si>
    <t>Employee moved from Standard Leave to a new pattern → Open Leave &gt; Leave Ledger (/leave-ledger) → View older rows → Confirm the message shown and that no record or balance was created or changed</t>
  </si>
  <si>
    <t>Older rows show the pattern in force at posting</t>
  </si>
  <si>
    <t>Known issue: ledger relabels past rows with the current pattern name</t>
  </si>
  <si>
    <t>TC-LV-200</t>
  </si>
  <si>
    <t>Reconcile</t>
  </si>
  <si>
    <t>Ledger sum equals the My Leave card and Balance report</t>
  </si>
  <si>
    <t>Employee with several movements</t>
  </si>
  <si>
    <t xml:space="preserve">1. Open Leave &gt; Leave Ledger (/leave-ledger)
2. Sum the ledger rows for a type/period
3. Compare My Leave card and Leave Reports &gt; Balance</t>
  </si>
  <si>
    <t>Employee with several movements → Open Leave &gt; Leave Ledger (/leave-ledger) → Sum the ledger rows for a type/period → Compare My Leave card and Leave Reports &gt; Balance</t>
  </si>
  <si>
    <t>All three agree</t>
  </si>
  <si>
    <t>BR 23</t>
  </si>
  <si>
    <t>TC-LV-201</t>
  </si>
  <si>
    <t>Page size max 100</t>
  </si>
  <si>
    <t xml:space="preserve">1. Log in as the user named in the preconditions
2. Open the page-size selector
3. Compare what is displayed with the expected result</t>
  </si>
  <si>
    <t>Logged in as HRMS admin (amit) → Log in as the user named in the preconditions → Open the page-size selector → Compare what is displayed with the expected result</t>
  </si>
  <si>
    <t>Options up to 100; paging server-side</t>
  </si>
  <si>
    <t>TC-LV-202</t>
  </si>
  <si>
    <t>Ledger scoped to accessible departments</t>
  </si>
  <si>
    <t>Scoped Ledgerer (Testing)</t>
  </si>
  <si>
    <t xml:space="preserve">1. Log in as the user named in the preconditions
2. Open ledger and its employee filter
3. Confirm no data or action controls of the page are exposed</t>
  </si>
  <si>
    <t>Scoped Ledgerer (Testing) → Log in as the user named in the preconditions → Open ledger and its employee filter → Confirm no data or action controls of the page are exposed</t>
  </si>
  <si>
    <t>Only Testing employees' rows</t>
  </si>
  <si>
    <t>TC-LV-203</t>
  </si>
  <si>
    <t>Attendance Sync page opens and renders correctly</t>
  </si>
  <si>
    <t>Route /leave-attendance-sync</t>
  </si>
  <si>
    <t xml:space="preserve">1. Open Leave &gt; Attendance Sync from the sidebar
2. Wait for the loading indicator to clear
3. Observe the heading, toolbar buttons and table</t>
  </si>
  <si>
    <t>Logged in as HRMS admin (amit) → Open Leave &gt; Attendance Sync from the sidebar → Wait for the loading indicator to clear → Observe the heading, toolbar buttons and table</t>
  </si>
  <si>
    <t>Page loads without redirect to login, 404 or application error; loading clears; heading "Attendance Sync" is shown; Month/Year selectors and the sync table (Employee, Dates, Attendance rows, LOP days, Status) render</t>
  </si>
  <si>
    <t>Linear 059 Attendance Sync — page check</t>
  </si>
  <si>
    <t>TC-LV-204</t>
  </si>
  <si>
    <t>Sync</t>
  </si>
  <si>
    <t>Approved leave lists its attendance rows as Synced</t>
  </si>
  <si>
    <t>Approved leave this month</t>
  </si>
  <si>
    <t xml:space="preserve">1. Open Leave &gt; Attendance Sync (/leave-attendance-sync)
2. Select month/year
3. Refresh the page and confirm the outcome persists (list, balance or ledger as applicable)</t>
  </si>
  <si>
    <t>Approved leave this month → Open Leave &gt; Attendance Sync (/leave-attendance-sync) → Select month/year → Refresh the page and confirm the outcome persists (list, balance or ledger as applicable)</t>
  </si>
  <si>
    <t>Row Synced with attendance rows equal to the charged days</t>
  </si>
  <si>
    <t>TC-LV-205</t>
  </si>
  <si>
    <t>Reverted leave shows Reversed</t>
  </si>
  <si>
    <t>A reverted approval</t>
  </si>
  <si>
    <t xml:space="preserve">1. Open Leave &gt; Attendance Sync (/leave-attendance-sync)
2. Select its month
3. Refresh the page and confirm the outcome persists (list, balance or ledger as applicable)</t>
  </si>
  <si>
    <t>A reverted approval → Open Leave &gt; Attendance Sync (/leave-attendance-sync) → Select its month → Refresh the page and confirm the outcome persists (list, balance or ledger as applicable)</t>
  </si>
  <si>
    <t>Status Reversed; attendance rows cleared</t>
  </si>
  <si>
    <t>TC-LV-206</t>
  </si>
  <si>
    <t>LOP days column reflects unpaid excess</t>
  </si>
  <si>
    <t>Approved leave partly LOP</t>
  </si>
  <si>
    <t xml:space="preserve">1. Open Leave &gt; Attendance Sync (/leave-attendance-sync)
2. Select month
3. Refresh the page and confirm the outcome persists (list, balance or ledger as applicable)</t>
  </si>
  <si>
    <t>Approved leave partly LOP → Open Leave &gt; Attendance Sync (/leave-attendance-sync) → Select month → Refresh the page and confirm the outcome persists (list, balance or ledger as applicable)</t>
  </si>
  <si>
    <t>LOP days equal the excess beyond balance</t>
  </si>
  <si>
    <t>TC-LV-207</t>
  </si>
  <si>
    <t>Recalculate</t>
  </si>
  <si>
    <t>Recalculate period rebuilds attendance from leave</t>
  </si>
  <si>
    <t xml:space="preserve">1. Click "Recalculate period"
2. Confirm
3. Refresh the page and confirm the outcome persists (list, balance or ledger as applicable)</t>
  </si>
  <si>
    <t>Logged in as HRMS admin (amit) → Click "Recalculate period" → Confirm → Refresh the page and confirm the outcome persists (list, balance or ledger as applicable)</t>
  </si>
  <si>
    <t>Confirmation shown; attendance rows rebuilt; counts unchanged when consistent</t>
  </si>
  <si>
    <t>TC-LV-208</t>
  </si>
  <si>
    <t>Recalculate does not touch a finalised period</t>
  </si>
  <si>
    <t>Locked attendance month</t>
  </si>
  <si>
    <t xml:space="preserve">1. Open Leave &gt; Attendance Sync (/leave-attendance-sync)
2. Recalculate that month
3. Confirm the message shown and that no record or balance was created or changed</t>
  </si>
  <si>
    <t>Locked attendance month → Open Leave &gt; Attendance Sync (/leave-attendance-sync) → Recalculate that month → Confirm the message shown and that no record or balance was created or changed</t>
  </si>
  <si>
    <t>Refused or locked days untouched</t>
  </si>
  <si>
    <t>TC-LV-209</t>
  </si>
  <si>
    <t>Staff user cannot open Attendance Sync</t>
  </si>
  <si>
    <t xml:space="preserve">1. Log in as the user named in the preconditions
2. Browse to /leave-attendance-sync
3. Confirm no data or action controls of the page are exposed</t>
  </si>
  <si>
    <t>Logged in as Staff → Log in as the user named in the preconditions → Browse to /leave-attendance-sync → Confirm no data or action controls of the page are exposed</t>
  </si>
  <si>
    <t>TC-LV-210</t>
  </si>
  <si>
    <t>Leave Reports page opens and renders correctly</t>
  </si>
  <si>
    <t>Route /leave-reports</t>
  </si>
  <si>
    <t xml:space="preserve">1. Open Leave &gt; Leave Reports from the sidebar
2. Wait for the loading indicator to clear
3. Observe the heading, toolbar buttons and table</t>
  </si>
  <si>
    <t>Logged in as HRMS admin (amit) → Open Leave &gt; Leave Reports from the sidebar → Wait for the loading indicator to clear → Observe the heading, toolbar buttons and table</t>
  </si>
  <si>
    <t>Page loads without redirect to login, 404 or application error; loading clears; heading "Leave Reports" is shown; report selector (Register, Balance, Utilization) and filters render</t>
  </si>
  <si>
    <t>Linear 060 Leave Reports — page check</t>
  </si>
  <si>
    <t>TC-LV-211</t>
  </si>
  <si>
    <t>Register</t>
  </si>
  <si>
    <t>Register report lists requests by filter</t>
  </si>
  <si>
    <t xml:space="preserve">1. Choose Register
2. Branch, Department, Leave Type, Status, date range
3. Run</t>
  </si>
  <si>
    <t>Logged in as HRMS admin (amit) → Choose Register → Branch, Department, Leave Type, Status, date range → Run</t>
  </si>
  <si>
    <t>Rows: Employee, Type, Dates, Days, Status; days per counting rule</t>
  </si>
  <si>
    <t>TC-LV-212</t>
  </si>
  <si>
    <t>Balance</t>
  </si>
  <si>
    <t>Balance report follows the formula</t>
  </si>
  <si>
    <t xml:space="preserve">1. Choose Balance
2. Employee
3. Year
4. Run</t>
  </si>
  <si>
    <t>Logged in as HRMS admin (amit) → Choose Balance → Employee → Year → Run</t>
  </si>
  <si>
    <t>Balance = Opening + Accrued + Carried − Used − Encashed for each row</t>
  </si>
  <si>
    <t>TC-LV-213</t>
  </si>
  <si>
    <t>Utilization</t>
  </si>
  <si>
    <t>Utilization % = Used ÷ period quota</t>
  </si>
  <si>
    <t xml:space="preserve">1. Choose Utilization
2. Department
3. Run</t>
  </si>
  <si>
    <t>Logged in as HRMS admin (amit) → Choose Utilization → Department → Run</t>
  </si>
  <si>
    <t>% column computed correctly</t>
  </si>
  <si>
    <t>TC-LV-214</t>
  </si>
  <si>
    <t>Pattern filter narrows results</t>
  </si>
  <si>
    <t xml:space="preserve">1. Open Leave &gt; Leave Reports (/leave-reports)
2. Filter by pattern
3. Compare what is displayed with the expected result</t>
  </si>
  <si>
    <t>Logged in as HRMS admin (amit) → Open Leave &gt; Leave Reports (/leave-reports) → Filter by pattern → Compare what is displayed with the expected result</t>
  </si>
  <si>
    <t>Only employees on that pattern</t>
  </si>
  <si>
    <t>TC-LV-215</t>
  </si>
  <si>
    <t>Invalid date range rejected</t>
  </si>
  <si>
    <t xml:space="preserve">1. Open Leave &gt; Leave Reports (/leave-reports)
2. From after To
3. Run</t>
  </si>
  <si>
    <t>Logged in as HRMS admin (amit) → Open Leave &gt; Leave Reports (/leave-reports) → From after To → Run</t>
  </si>
  <si>
    <t>Validation message</t>
  </si>
  <si>
    <t>TC-LV-216</t>
  </si>
  <si>
    <t>No data empty state</t>
  </si>
  <si>
    <t xml:space="preserve">1. Open Leave &gt; Leave Reports (/leave-reports)
2. Filter an empty combination
3. Compare what is displayed with the expected result</t>
  </si>
  <si>
    <t>Logged in as HRMS admin (amit) → Open Leave &gt; Leave Reports (/leave-reports) → Filter an empty combination → Compare what is displayed with the expected result</t>
  </si>
  <si>
    <t>Clear "No data" message</t>
  </si>
  <si>
    <t>TC-LV-217</t>
  </si>
  <si>
    <t>Export a report to Excel</t>
  </si>
  <si>
    <t xml:space="preserve">1. Open Leave &gt; Leave Reports (/leave-reports)
2. Run a report
3. Export</t>
  </si>
  <si>
    <t>Logged in as HRMS admin (amit) → Open Leave &gt; Leave Reports (/leave-reports) → Run a report → Export</t>
  </si>
  <si>
    <t>.xlsx with the same rows</t>
  </si>
  <si>
    <t>TC-LV-218</t>
  </si>
  <si>
    <t>Reports scoped to accessible departments</t>
  </si>
  <si>
    <t>Scoped LeaveReport user</t>
  </si>
  <si>
    <t xml:space="preserve">1. Open Leave &gt; Leave Reports (/leave-reports)
2. Run Balance without filters
3. Confirm no data or action controls of the page are exposed</t>
  </si>
  <si>
    <t>Scoped LeaveReport user → Open Leave &gt; Leave Reports (/leave-reports) → Run Balance without filters → Confirm no data or action controls of the page are exposed</t>
  </si>
  <si>
    <t>Only accessible departments; filters cannot widen</t>
  </si>
  <si>
    <t>TC-LV-219</t>
  </si>
  <si>
    <t>Leave Calendar page opens and renders correctly</t>
  </si>
  <si>
    <t>Route /leave-calendar</t>
  </si>
  <si>
    <t xml:space="preserve">1. Open Leave &gt; Leave Calendar from the sidebar
2. Wait for the loading indicator to clear
3. Observe the heading, toolbar buttons and table</t>
  </si>
  <si>
    <t>Logged in as HRMS admin (amit) → Open Leave &gt; Leave Calendar from the sidebar → Wait for the loading indicator to clear → Observe the heading, toolbar buttons and table</t>
  </si>
  <si>
    <t>Page loads without redirect to login, 404 or application error; loading clears; heading "Leave Calendar" is shown; a month grid with legend renders</t>
  </si>
  <si>
    <t>Linear 061 Leave Calendar — page check</t>
  </si>
  <si>
    <t>TC-LV-220</t>
  </si>
  <si>
    <t>Calendar</t>
  </si>
  <si>
    <t>Approved leave shown as named chips</t>
  </si>
  <si>
    <t xml:space="preserve">1. Log in as the user named in the preconditions
2. Open the month
3. Compare what is displayed with the expected result</t>
  </si>
  <si>
    <t>Approved leave this month → Log in as the user named in the preconditions → Open the month → Compare what is displayed with the expected result</t>
  </si>
  <si>
    <t>Employee chip with leave type on each leave day</t>
  </si>
  <si>
    <t>TC-LV-221</t>
  </si>
  <si>
    <t>Holidays and weekly offs shaded per legend</t>
  </si>
  <si>
    <t xml:space="preserve">1. Log in as the user named in the preconditions
2. Open a month with a holiday
3. Compare what is displayed with the expected result</t>
  </si>
  <si>
    <t>Logged in as HRMS admin (amit) → Log in as the user named in the preconditions → Open a month with a holiday → Compare what is displayed with the expected result</t>
  </si>
  <si>
    <t>Shading matches legend colours</t>
  </si>
  <si>
    <t>TC-LV-222</t>
  </si>
  <si>
    <t>Navigate months</t>
  </si>
  <si>
    <t xml:space="preserve">1. Log in as the user named in the preconditions
2. Click next / previous month
3. Compare what is displayed with the expected result</t>
  </si>
  <si>
    <t>Logged in as HRMS admin (amit) → Log in as the user named in the preconditions → Click next / previous month → Compare what is displayed with the expected result</t>
  </si>
  <si>
    <t>Grid updates with the right month</t>
  </si>
  <si>
    <t>TC-LV-223</t>
  </si>
  <si>
    <t>Pending vs approved distinguishable</t>
  </si>
  <si>
    <t>One pending, one approved leave</t>
  </si>
  <si>
    <t xml:space="preserve">1. Open Leave &gt; Leave Calendar (/leave-calendar)
2. View the month
3. Compare what is displayed with the expected result</t>
  </si>
  <si>
    <t>One pending, one approved leave → Open Leave &gt; Leave Calendar (/leave-calendar) → View the month → Compare what is displayed with the expected result</t>
  </si>
  <si>
    <t>Different chip style/legend</t>
  </si>
  <si>
    <t>TC-LV-224</t>
  </si>
  <si>
    <t>Filter by branch / department</t>
  </si>
  <si>
    <t xml:space="preserve">1. Open Leave &gt; Leave Calendar (/leave-calendar)
2. Apply branch filter
3. Compare what is displayed with the expected result</t>
  </si>
  <si>
    <t>Logged in as HRMS admin (amit) → Open Leave &gt; Leave Calendar (/leave-calendar) → Apply branch filter → Compare what is displayed with the expected result</t>
  </si>
  <si>
    <t>Only that branch's leave</t>
  </si>
  <si>
    <t>TC-LV-225</t>
  </si>
  <si>
    <t>Calendar scoped to accessible departments</t>
  </si>
  <si>
    <t>Scoped user</t>
  </si>
  <si>
    <t xml:space="preserve">1. Log in as the user named in the preconditions
2. Open the calendar
3. Confirm no data or action controls of the page are exposed</t>
  </si>
  <si>
    <t>Scoped user → Log in as the user named in the preconditions → Open the calendar → Confirm no data or action controls of the page are exposed</t>
  </si>
  <si>
    <t>Only accessible employees shown</t>
  </si>
  <si>
    <t>TC-LV-226</t>
  </si>
  <si>
    <t>My Workspace &gt; Leave</t>
  </si>
  <si>
    <t>My Leave</t>
  </si>
  <si>
    <t>My Leave shows tabs and actions</t>
  </si>
  <si>
    <t>Employee logged in (username / password = employee code) holding Standard Leave</t>
  </si>
  <si>
    <t xml:space="preserve">1. Log in as the user named in the preconditions
2. Open My Workspace &gt; Leave
3. Compare what is displayed with the expected result</t>
  </si>
  <si>
    <t>Employee logged in (username / password = employee code) holding Standard Leave → Log in as the user named in the preconditions → Open My Workspace &gt; Leave → Compare what is displayed with the expected result</t>
  </si>
  <si>
    <t>Tabs Overview, Holidays, Comp-Off, Balance List, Policy; buttons Team Calendar and Apply for Leave; "Loading balances…" clears</t>
  </si>
  <si>
    <t>TC-LV-227</t>
  </si>
  <si>
    <t>Balance cards</t>
  </si>
  <si>
    <t>Balance cards show available / balance / reserved / used</t>
  </si>
  <si>
    <t xml:space="preserve">1. Log in as the user named in the preconditions
2. Open Overview
3. Refresh the page and confirm the outcome persists (list, balance or ledger as applicable)</t>
  </si>
  <si>
    <t>Employee logged in (username / password = employee code) holding Standard Leave → Log in as the user named in the preconditions → Open Overview → Refresh the page and confirm the outcome persists (list, balance or ledger as applicable)</t>
  </si>
  <si>
    <t>Each type card shows "&lt;n&gt; available", Balance, Reserved, Used</t>
  </si>
  <si>
    <t>TC-LV-228</t>
  </si>
  <si>
    <t>Pending request moves a day to Reserved</t>
  </si>
  <si>
    <t>Employee logged in (username / password = employee code) holding Standard Leave; Casual available 3</t>
  </si>
  <si>
    <t xml:space="preserve">1. Open My Workspace &gt; Leave (/ess/leave)
2. Apply 1 day Casual
3. Re-open Overview</t>
  </si>
  <si>
    <t>Employee logged in (username / password = employee code) holding Standard Leave; Casual available 3 → Open My Workspace &gt; Leave (/ess/leave) → Apply 1 day Casual → Re-open Overview</t>
  </si>
  <si>
    <t>Available 2, Reserved 1, Used unchanged; no ledger debit</t>
  </si>
  <si>
    <t>§9.2</t>
  </si>
  <si>
    <t>TC-LV-229</t>
  </si>
  <si>
    <t>Available floored at zero; overdraw stated in words</t>
  </si>
  <si>
    <t>Employee with negative balance</t>
  </si>
  <si>
    <t xml:space="preserve">1. Log in as the user named in the preconditions
2. Open Overview
3. Compare what is displayed with the expected result</t>
  </si>
  <si>
    <t>Employee with negative balance → Log in as the user named in the preconditions → Open Overview → Compare what is displayed with the expected result</t>
  </si>
  <si>
    <t>Available 0 with text like "N day(s) requested beyond this — unpaid if approved"</t>
  </si>
  <si>
    <t>Known: rewrite left a −4 leftover showing this text with no request</t>
  </si>
  <si>
    <t>TC-LV-230</t>
  </si>
  <si>
    <t>Balance List</t>
  </si>
  <si>
    <t>Balance List columns and conditional Opening / Carried Fwd</t>
  </si>
  <si>
    <t xml:space="preserve">1. Log in as the user named in the preconditions
2. Open Balance List
3. Compare what is displayed with the expected result</t>
  </si>
  <si>
    <t>Employee logged in (username / password = employee code) holding Standard Leave → Log in as the user named in the preconditions → Open Balance List → Compare what is displayed with the expected result</t>
  </si>
  <si>
    <t>Accrued, Used, Reserved, Available always; Opening and Carried Fwd only when non-zero</t>
  </si>
  <si>
    <t>TC-LV-231</t>
  </si>
  <si>
    <t>Policy tab</t>
  </si>
  <si>
    <t>Policy tab shows rules that apply to me</t>
  </si>
  <si>
    <t xml:space="preserve">1. Log in as the user named in the preconditions
2. Open Policy
3. Compare what is displayed with the expected result</t>
  </si>
  <si>
    <t>Employee logged in (username / password = employee code) holding Standard Leave → Log in as the user named in the preconditions → Open Policy → Compare what is displayed with the expected result</t>
  </si>
  <si>
    <t>Per-type rules (notice, max/request, carry, negative) shown</t>
  </si>
  <si>
    <t>TC-LV-232</t>
  </si>
  <si>
    <t>No pattern assigned shows guidance</t>
  </si>
  <si>
    <t>Employee without a pattern</t>
  </si>
  <si>
    <t xml:space="preserve">1. Open Policy
2. Apply for Leave
3. Confirm the message shown and that no record or balance was created or changed</t>
  </si>
  <si>
    <t>Employee without a pattern → Open Policy → Apply for Leave → Confirm the message shown and that no record or balance was created or changed</t>
  </si>
  <si>
    <t>Clear message "No leave policy assigned" and why Apply has no types</t>
  </si>
  <si>
    <t>Known issue LM-5: Leave Type empty with no guidance</t>
  </si>
  <si>
    <t>TC-LV-233</t>
  </si>
  <si>
    <t>Holidays tab</t>
  </si>
  <si>
    <t>Holidays tab lists my holidays and optional picks</t>
  </si>
  <si>
    <t xml:space="preserve">1. Log in as the user named in the preconditions
2. Open Holidays
3. Refresh the page and confirm the outcome persists (list, balance or ledger as applicable)</t>
  </si>
  <si>
    <t>Employee logged in (username / password = employee code) holding Standard Leave → Log in as the user named in the preconditions → Open Holidays → Refresh the page and confirm the outcome persists (list, balance or ledger as applicable)</t>
  </si>
  <si>
    <t>Branch/assigned holidays and optional holidays with a pick action</t>
  </si>
  <si>
    <t>TC-LV-234</t>
  </si>
  <si>
    <t>Pick an optional holiday</t>
  </si>
  <si>
    <t>Employee logged in (username / password = employee code) holding Standard Leave; optional holiday assigned; quota 2</t>
  </si>
  <si>
    <t xml:space="preserve">1. Open My Workspace &gt; Leave (/ess/leave)
2. Pick the optional holiday
3. Refresh the page and confirm the outcome persists (list, balance or ledger as applicable)</t>
  </si>
  <si>
    <t>Employee logged in (username / password = employee code) holding Standard Leave; optional holiday assigned; quota 2 → Open My Workspace &gt; Leave (/ess/leave) → Pick the optional holiday → Refresh the page and confirm the outcome persists (list, balance or ledger as applicable)</t>
  </si>
  <si>
    <t>Marked picked; attendance for that date re-run</t>
  </si>
  <si>
    <t>TC-LV-235</t>
  </si>
  <si>
    <t>Optional-holiday quota reached</t>
  </si>
  <si>
    <t>Employee logged in (username / password = employee code) holding Standard Leave; already picked 2</t>
  </si>
  <si>
    <t xml:space="preserve">1. Open My Workspace &gt; Leave (/ess/leave)
2. Pick a third
3. Refresh the page and confirm the outcome persists (list, balance or ledger as applicable)</t>
  </si>
  <si>
    <t>Employee logged in (username / password = employee code) holding Standard Leave; already picked 2 → Open My Workspace &gt; Leave (/ess/leave) → Pick a third → Refresh the page and confirm the outcome persists (list, balance or ledger as applicable)</t>
  </si>
  <si>
    <t>"You have already picked the maximum of 2 optional holidays for this year."</t>
  </si>
  <si>
    <t>TC-LV-236</t>
  </si>
  <si>
    <t>Comp-Off tab</t>
  </si>
  <si>
    <t>Comp-Off tab lists credits with status and expiry</t>
  </si>
  <si>
    <t>Employee with comp-off credits</t>
  </si>
  <si>
    <t xml:space="preserve">1. Log in as the user named in the preconditions
2. Open Comp-Off
3. Compare what is displayed with the expected result</t>
  </si>
  <si>
    <t>Employee with comp-off credits → Log in as the user named in the preconditions → Open Comp-Off → Compare what is displayed with the expected result</t>
  </si>
  <si>
    <t>Credits with Available/Consumed/Expired and expiry date</t>
  </si>
  <si>
    <t>TC-LV-237</t>
  </si>
  <si>
    <t>Team Calendar</t>
  </si>
  <si>
    <t>Team Calendar shows teammates' leave</t>
  </si>
  <si>
    <t xml:space="preserve">1. Log in as the user named in the preconditions
2. Click Team Calendar
3. Compare what is displayed with the expected result</t>
  </si>
  <si>
    <t>Employee logged in (username / password = employee code) holding Standard Leave → Log in as the user named in the preconditions → Click Team Calendar → Compare what is displayed with the expected result</t>
  </si>
  <si>
    <t>Month grid with team leave chips</t>
  </si>
  <si>
    <t>TC-LV-238</t>
  </si>
  <si>
    <t>Employee sees only own leave data</t>
  </si>
  <si>
    <t xml:space="preserve">1. Open My Leave
2. Tamper an id in a request URL
3. Confirm no protected data or action controls are exposed</t>
  </si>
  <si>
    <t>Employee logged in (username / password = employee code) holding Standard Leave → Open My Leave → Tamper an id in a request URL → Confirm no protected data or action controls are exposed</t>
  </si>
  <si>
    <t>Only own data; another id resolves to nothing</t>
  </si>
  <si>
    <t>TC-LV-239</t>
  </si>
  <si>
    <t>Apply</t>
  </si>
  <si>
    <t>Apply a full-day Casual Leave</t>
  </si>
  <si>
    <t>Employee logged in (username / password = employee code) holding Standard Leave; Casual available &gt; 0</t>
  </si>
  <si>
    <t>Family function at hometown (Auto …)</t>
  </si>
  <si>
    <t xml:space="preserve">1. My Leave &gt; Apply for Leave
2. Leave Type Casual
3. Description
4. Full Day
5. Start = End = weekday 21 days ahead
6. wait for Policy check
7. Apply</t>
  </si>
  <si>
    <t>Employee logged in (username / password = employee code) holding Standard Leave; Casual available &gt; 0 → My Leave &gt; Apply for Leave → Leave Type Casual → Description → Full Day → Start = End = weekday 21 days ahead → wait for Policy check → Apply</t>
  </si>
  <si>
    <t>Success toast; My Leave Requests shows Casual Leave Pending</t>
  </si>
  <si>
    <t>/leave-request</t>
  </si>
  <si>
    <t>TC-LV-240</t>
  </si>
  <si>
    <t>Success toast spelling</t>
  </si>
  <si>
    <t xml:space="preserve">1. Open My Workspace &gt; Leave (/leave-request)
2. Submit a valid request
3. Compare what is displayed with the expected result</t>
  </si>
  <si>
    <t>Employee logged in (username / password = employee code) holding Standard Leave → Open My Workspace &gt; Leave (/leave-request) → Submit a valid request → Compare what is displayed with the expected result</t>
  </si>
  <si>
    <t>Toast reads "Leave Request Added successfully"</t>
  </si>
  <si>
    <t>Known issue LM-C: toast says "sucessfully"</t>
  </si>
  <si>
    <t>TC-LV-241</t>
  </si>
  <si>
    <t>Dates appear after choosing a leave type</t>
  </si>
  <si>
    <t xml:space="preserve">1. Log in as the user named in the preconditions
2. Open Apply for Leave
3. Compare what is displayed with the expected result</t>
  </si>
  <si>
    <t>Employee logged in (username / password = employee code) holding Standard Leave → Log in as the user named in the preconditions → Open Apply for Leave → Compare what is displayed with the expected result</t>
  </si>
  <si>
    <t>Initially Leave Type * and Description *; Duration and dates appear once a type is chosen</t>
  </si>
  <si>
    <t>TC-LV-242</t>
  </si>
  <si>
    <t>Half day defaults to Second half</t>
  </si>
  <si>
    <t>Employee logged in (username / password = employee code) holding Standard Leave; Casual supports half-day</t>
  </si>
  <si>
    <t xml:space="preserve">1. Choose Casual
2. Half Day
3. pick date
4. Apply</t>
  </si>
  <si>
    <t>Employee logged in (username / password = employee code) holding Standard Leave; Casual supports half-day → Choose Casual → Half Day → pick date → Apply</t>
  </si>
  <si>
    <t>Second half preselected; 0.5 reserved; End = Start</t>
  </si>
  <si>
    <t>§7.5</t>
  </si>
  <si>
    <t>TC-LV-243</t>
  </si>
  <si>
    <t>Half day not offered for a non half-day type</t>
  </si>
  <si>
    <t>Employee logged in (username / password = employee code) holding Standard Leave; Bereavement without half-day</t>
  </si>
  <si>
    <t xml:space="preserve">1. Open My Workspace &gt; Leave (/leave-request)
2. Choose Bereavement
3. Confirm the message shown and that no record or balance was created or changed</t>
  </si>
  <si>
    <t>Employee logged in (username / password = employee code) holding Standard Leave; Bereavement without half-day → Open My Workspace &gt; Leave (/leave-request) → Choose Bereavement → Confirm the message shown and that no record or balance was created or changed</t>
  </si>
  <si>
    <t>Only Full Day offered</t>
  </si>
  <si>
    <t>TC-LV-244</t>
  </si>
  <si>
    <t>Hourly leave requires hours above 0</t>
  </si>
  <si>
    <t>Hourly type</t>
  </si>
  <si>
    <t xml:space="preserve">1. Choose Hourly
2. Hours 0
3. Apply</t>
  </si>
  <si>
    <t>Hourly type → Choose Hourly → Hours 0 → Apply</t>
  </si>
  <si>
    <t>Rejected; 2 accepted</t>
  </si>
  <si>
    <t>TC-LV-245</t>
  </si>
  <si>
    <t>Leave Type and Description required</t>
  </si>
  <si>
    <t xml:space="preserve">1. Open My Workspace &gt; Leave (/leave-request)
2. Apply with no type
3. then type but blank Description</t>
  </si>
  <si>
    <t>Employee logged in (username / password = employee code) holding Standard Leave → Open My Workspace &gt; Leave (/leave-request) → Apply with no type → then type but blank Description</t>
  </si>
  <si>
    <t>Required messages; nothing submitted</t>
  </si>
  <si>
    <t>TC-LV-246</t>
  </si>
  <si>
    <t>Policy check</t>
  </si>
  <si>
    <t>Valid request shows "Everything checks out"</t>
  </si>
  <si>
    <t xml:space="preserve">1. Open My Workspace &gt; Leave (/leave-request)
2. Fill a valid request
3. Refresh the page and confirm the outcome persists (list, balance or ledger as applicable)</t>
  </si>
  <si>
    <t>Employee logged in (username / password = employee code) holding Standard Leave → Open My Workspace &gt; Leave (/leave-request) → Fill a valid request → Refresh the page and confirm the outcome persists (list, balance or ledger as applicable)</t>
  </si>
  <si>
    <t>Policy check "Everything checks out ✓"; Apply enabled</t>
  </si>
  <si>
    <t>TC-LV-247</t>
  </si>
  <si>
    <t>End date before start date flagged</t>
  </si>
  <si>
    <t xml:space="preserve">1. Open My Workspace &gt; Leave (/leave-request)
2. Start 15-11
3. End 10-11</t>
  </si>
  <si>
    <t>Employee logged in (username / password = employee code) holding Standard Leave → Open My Workspace &gt; Leave (/leave-request) → Start 15-11 → End 10-11</t>
  </si>
  <si>
    <t>Policy check flags it; Apply disabled; "End date cannot be before the start date."</t>
  </si>
  <si>
    <t>Known issue LM-A: policy check showed "Everything checks out" for this</t>
  </si>
  <si>
    <t>TC-LV-248</t>
  </si>
  <si>
    <t>Cool-off rule shown in the live check</t>
  </si>
  <si>
    <t>Policy: min gap 1 day; recent request exists</t>
  </si>
  <si>
    <t xml:space="preserve">1. Open My Workspace &gt; Leave (/leave-request)
2. Apply inside the gap
3. Confirm the message shown and that no record or balance was created or changed</t>
  </si>
  <si>
    <t>Policy: min gap 1 day; recent request exists → Open My Workspace &gt; Leave (/leave-request) → Apply inside the gap → Confirm the message shown and that no record or balance was created or changed</t>
  </si>
  <si>
    <t>Live check shows the cool-off breach before submit</t>
  </si>
  <si>
    <t>Known issue LM-B: only blocked on Apply via dialog</t>
  </si>
  <si>
    <t>TC-LV-249</t>
  </si>
  <si>
    <t>Over max days per request</t>
  </si>
  <si>
    <t>Max 2 per request</t>
  </si>
  <si>
    <t xml:space="preserve">1. Open My Workspace &gt; Leave (/leave-request)
2. Apply 3 days
3. Confirm the message shown and that no record or balance was created or changed</t>
  </si>
  <si>
    <t>Max 2 per request → Open My Workspace &gt; Leave (/leave-request) → Apply 3 days → Confirm the message shown and that no record or balance was created or changed</t>
  </si>
  <si>
    <t>"Too long - at most 2 day(s)"; Apply disabled</t>
  </si>
  <si>
    <t>BR 8</t>
  </si>
  <si>
    <t>TC-LV-250</t>
  </si>
  <si>
    <t>Insufficient balance with negatives off</t>
  </si>
  <si>
    <t>Available 1</t>
  </si>
  <si>
    <t xml:space="preserve">1. Open My Workspace &gt; Leave (/leave-request)
2. Apply 2 days
3. Confirm the message shown and that no record or balance was created or changed</t>
  </si>
  <si>
    <t>Available 1 → Open My Workspace &gt; Leave (/leave-request) → Apply 2 days → Confirm the message shown and that no record or balance was created or changed</t>
  </si>
  <si>
    <t>"You have 1 day(s) available and this request is for 2."</t>
  </si>
  <si>
    <t>TC-LV-251</t>
  </si>
  <si>
    <t>No days left</t>
  </si>
  <si>
    <t>Available 0</t>
  </si>
  <si>
    <t xml:space="preserve">1. Open My Workspace &gt; Leave (/leave-request)
2. Apply 1 day
3. Confirm the message shown and that no record or balance was created or changed</t>
  </si>
  <si>
    <t>Available 0 → Open My Workspace &gt; Leave (/leave-request) → Apply 1 day → Confirm the message shown and that no record or balance was created or changed</t>
  </si>
  <si>
    <t>"You have no days left in this leave type, so this request cannot be submitted."</t>
  </si>
  <si>
    <t>TC-LV-252</t>
  </si>
  <si>
    <t>Negative allowed: excess marked LOP</t>
  </si>
  <si>
    <t>Negative to −12 Unpaid; available 1</t>
  </si>
  <si>
    <t xml:space="preserve">1. Open My Workspace &gt; Leave (/leave-request)
2. Apply 3 days
3. Refresh the page and confirm the outcome persists (list, balance or ledger as applicable)</t>
  </si>
  <si>
    <t>Negative to −12 Unpaid; available 1 → Open My Workspace &gt; Leave (/leave-request) → Apply 3 days → Refresh the page and confirm the outcome persists (list, balance or ledger as applicable)</t>
  </si>
  <si>
    <t>Warning "2 day(s) beyond your earned balance - marked Loss of Pay (unpaid)"; submit allowed</t>
  </si>
  <si>
    <t>BR 6</t>
  </si>
  <si>
    <t>TC-LV-253</t>
  </si>
  <si>
    <t>Negative floor breached</t>
  </si>
  <si>
    <t>Lowest balance 2; available 0</t>
  </si>
  <si>
    <t>Lowest balance 2; available 0 → Open My Workspace &gt; Leave (/leave-request) → Apply 3 days → Confirm the message shown and that no record or balance was created or changed</t>
  </si>
  <si>
    <t>"This request would breach the allowed negative balance floor of 2 day(s)."</t>
  </si>
  <si>
    <t>TC-LV-254</t>
  </si>
  <si>
    <t>Advance notice enforced</t>
  </si>
  <si>
    <t>Notice 2 days</t>
  </si>
  <si>
    <t xml:space="preserve">1. Open My Workspace &gt; Leave (/leave-request)
2. Apply for tomorrow
3. Confirm the message shown and that no record or balance was created or changed</t>
  </si>
  <si>
    <t>Notice 2 days → Open My Workspace &gt; Leave (/leave-request) → Apply for tomorrow → Confirm the message shown and that no record or balance was created or changed</t>
  </si>
  <si>
    <t>"This leave needs at least 2 day(s) advance notice."</t>
  </si>
  <si>
    <t>TC-LV-255</t>
  </si>
  <si>
    <t>Emergency</t>
  </si>
  <si>
    <t>Emergency leave skips the notice requirement</t>
  </si>
  <si>
    <t>Notice 2; emergency Yes, 2 per period</t>
  </si>
  <si>
    <t xml:space="preserve">1. Open My Workspace &gt; Leave (/leave-request)
2. Apply for tomorrow and mark it Emergency
3. Refresh the page and confirm the outcome persists (list, balance or ledger as applicable)</t>
  </si>
  <si>
    <t>Notice 2; emergency Yes, 2 per period → Open My Workspace &gt; Leave (/leave-request) → Apply for tomorrow and mark it Emergency → Refresh the page and confirm the outcome persists (list, balance or ledger as applicable)</t>
  </si>
  <si>
    <t>Accepted; emergency count for the period used 1/2</t>
  </si>
  <si>
    <t>TC-LV-256</t>
  </si>
  <si>
    <t>Emergency quota exhausted</t>
  </si>
  <si>
    <t>Emergency 2 per period already used</t>
  </si>
  <si>
    <t xml:space="preserve">1. Open My Workspace &gt; Leave (/leave-request)
2. Apply a third emergency inside notice
3. Refresh the page and confirm the outcome persists (list, balance or ledger as applicable)</t>
  </si>
  <si>
    <t>Emergency 2 per period already used → Open My Workspace &gt; Leave (/leave-request) → Apply a third emergency inside notice → Refresh the page and confirm the outcome persists (list, balance or ledger as applicable)</t>
  </si>
  <si>
    <t>Refused with notice message</t>
  </si>
  <si>
    <t>TC-LV-257</t>
  </si>
  <si>
    <t>Back-dated not allowed</t>
  </si>
  <si>
    <t>Back-dating No</t>
  </si>
  <si>
    <t xml:space="preserve">1. Open My Workspace &gt; Leave (/leave-request)
2. Apply for yesterday
3. Confirm the message shown and that no record or balance was created or changed</t>
  </si>
  <si>
    <t>Back-dating No → Open My Workspace &gt; Leave (/leave-request) → Apply for yesterday → Confirm the message shown and that no record or balance was created or changed</t>
  </si>
  <si>
    <t>"Back-dated leave requests are not allowed for this leave type."</t>
  </si>
  <si>
    <t>TC-LV-258</t>
  </si>
  <si>
    <t>Back-dated beyond the limit</t>
  </si>
  <si>
    <t>Back-date 2 days</t>
  </si>
  <si>
    <t xml:space="preserve">1. Open My Workspace &gt; Leave (/leave-request)
2. Apply 3 days ago
3. then 2 days ago</t>
  </si>
  <si>
    <t>Back-date 2 days → Open My Workspace &gt; Leave (/leave-request) → Apply 3 days ago → then 2 days ago</t>
  </si>
  <si>
    <t>3: "...reach at most 2 day(s) into the past. That date is 3 day(s) ago."; 2: allowed</t>
  </si>
  <si>
    <t>TC-LV-259</t>
  </si>
  <si>
    <t>Blackout period blocks the request</t>
  </si>
  <si>
    <t>Blackout 11-Sep with reason</t>
  </si>
  <si>
    <t xml:space="preserve">1. Open My Workspace &gt; Leave (/leave-request)
2. Apply covering 11-Sep
3. Confirm the message shown and that no record or balance was created or changed</t>
  </si>
  <si>
    <t>Blackout 11-Sep with reason → Open My Workspace &gt; Leave (/leave-request) → Apply covering 11-Sep → Confirm the message shown and that no record or balance was created or changed</t>
  </si>
  <si>
    <t>Message names the date, reason and blackout window</t>
  </si>
  <si>
    <t>BR 7</t>
  </si>
  <si>
    <t>TC-LV-260</t>
  </si>
  <si>
    <t>Pending request on the date</t>
  </si>
  <si>
    <t xml:space="preserve">1. Open My Workspace &gt; Leave (/leave-request)
2. Apply overlapping
3. Confirm the message shown and that no record or balance was created or changed</t>
  </si>
  <si>
    <t>Pending request on the date → Open My Workspace &gt; Leave (/leave-request) → Apply overlapping → Confirm the message shown and that no record or balance was created or changed</t>
  </si>
  <si>
    <t>"You already have a leave request overlapping these dates."</t>
  </si>
  <si>
    <t>TC-LV-261</t>
  </si>
  <si>
    <t>Whole span on a holiday refused</t>
  </si>
  <si>
    <t>Holiday on the date</t>
  </si>
  <si>
    <t xml:space="preserve">1. Open My Workspace &gt; Leave (/leave-request)
2. Apply for that date
3. Confirm the message shown and that no record or balance was created or changed</t>
  </si>
  <si>
    <t>Holiday on the date → Open My Workspace &gt; Leave (/leave-request) → Apply for that date → Confirm the message shown and that no record or balance was created or changed</t>
  </si>
  <si>
    <t>Refused: span falls on a company holiday</t>
  </si>
  <si>
    <t>TC-LV-262</t>
  </si>
  <si>
    <t>Probation / notice / gender / min-service refusals</t>
  </si>
  <si>
    <t>Employee on probation / in notice / wrong gender / under service</t>
  </si>
  <si>
    <t xml:space="preserve">1. Open My Workspace &gt; Leave (/leave-request)
2. Apply in each case
3. Confirm the message shown and that no record or balance was created or changed</t>
  </si>
  <si>
    <t>Employee on probation / in notice / wrong gender / under service → Open My Workspace &gt; Leave (/leave-request) → Apply in each case → Confirm the message shown and that no record or balance was created or changed</t>
  </si>
  <si>
    <t>Matching refusal message for each rule</t>
  </si>
  <si>
    <t>TC-LV-263</t>
  </si>
  <si>
    <t>Never: weekend inside leave not counted</t>
  </si>
  <si>
    <t>Counting rule Never; Sat/Sun weekly off</t>
  </si>
  <si>
    <t xml:space="preserve">1. Open My Workspace &gt; Leave (/leave-request)
2. Apply Fri–Mon
3. Refresh the page and confirm the outcome persists (list, balance or ledger as applicable)</t>
  </si>
  <si>
    <t>Counting rule Never; Sat/Sun weekly off → Open My Workspace &gt; Leave (/leave-request) → Apply Fri–Mon → Refresh the page and confirm the outcome persists (list, balance or ledger as applicable)</t>
  </si>
  <si>
    <t>2 days counted</t>
  </si>
  <si>
    <t>BR 13</t>
  </si>
  <si>
    <t>TC-LV-264</t>
  </si>
  <si>
    <t>Sandwiched: off-days between leave days counted</t>
  </si>
  <si>
    <t>Counting rule Sandwiched</t>
  </si>
  <si>
    <t xml:space="preserve">1. Open My Workspace &gt; Leave (/leave-request)
2. Apply Fri–Mon
3. then Fri only and Mon separately</t>
  </si>
  <si>
    <t>Counting rule Sandwiched → Open My Workspace &gt; Leave (/leave-request) → Apply Fri–Mon → then Fri only and Mon separately</t>
  </si>
  <si>
    <t>Fri–Mon counts 4; separate single days count 1 each</t>
  </si>
  <si>
    <t>TC-LV-265</t>
  </si>
  <si>
    <t>Every calendar day counted</t>
  </si>
  <si>
    <t>Counting rule Every calendar day</t>
  </si>
  <si>
    <t>Counting rule Every calendar day → Open My Workspace &gt; Leave (/leave-request) → Apply Fri–Mon → Refresh the page and confirm the outcome persists (list, balance or ledger as applicable)</t>
  </si>
  <si>
    <t>4 days counted</t>
  </si>
  <si>
    <t>TC-LV-266</t>
  </si>
  <si>
    <t>Holiday inside the leave not counted (Never)</t>
  </si>
  <si>
    <t>Holiday Tue; rule Never</t>
  </si>
  <si>
    <t xml:space="preserve">1. Open My Workspace &gt; Leave (/leave-request)
2. Apply Mon–Wed
3. Refresh the page and confirm the outcome persists (list, balance or ledger as applicable)</t>
  </si>
  <si>
    <t>Holiday Tue; rule Never → Open My Workspace &gt; Leave (/leave-request) → Apply Mon–Wed → Refresh the page and confirm the outcome persists (list, balance or ledger as applicable)</t>
  </si>
  <si>
    <t>BR 12</t>
  </si>
  <si>
    <t>TC-LV-267</t>
  </si>
  <si>
    <t>Document-required type accepts an upload</t>
  </si>
  <si>
    <t>Medical requires document</t>
  </si>
  <si>
    <t xml:space="preserve">1. Choose Medical
2. attach PDF
3. Apply</t>
  </si>
  <si>
    <t>Medical requires document → Choose Medical → attach PDF → Apply</t>
  </si>
  <si>
    <t>Submitted with the document</t>
  </si>
  <si>
    <t>TC-LV-268</t>
  </si>
  <si>
    <t>Document can be uploaded after submission</t>
  </si>
  <si>
    <t>Medical request submitted without document</t>
  </si>
  <si>
    <t xml:space="preserve">1. Open the request
2. upload the document
3. Refresh the page and confirm the outcome persists (list, balance or ledger as applicable)</t>
  </si>
  <si>
    <t>Medical request submitted without document → Open the request → upload the document → Refresh the page and confirm the outcome persists (list, balance or ledger as applicable)</t>
  </si>
  <si>
    <t>Document attached; approval no longer blocked</t>
  </si>
  <si>
    <t>TC-LV-269</t>
  </si>
  <si>
    <t>Withdraw</t>
  </si>
  <si>
    <t>Withdraw a pending request before any approval</t>
  </si>
  <si>
    <t>Own Pending request</t>
  </si>
  <si>
    <t xml:space="preserve">1. Open My Leave Requests
2. Withdraw/Revert
3. confirm</t>
  </si>
  <si>
    <t>Own Pending request → Open My Leave Requests → Withdraw/Revert → confirm</t>
  </si>
  <si>
    <t>Request withdrawn; reserved released</t>
  </si>
  <si>
    <t>BR 15</t>
  </si>
  <si>
    <t>TC-LV-270</t>
  </si>
  <si>
    <t>Withdraw not offered once an approver has acted</t>
  </si>
  <si>
    <t>Request approved at level 1 or fully</t>
  </si>
  <si>
    <t xml:space="preserve">1. Open My Workspace &gt; Leave (/ess/leave)
2. Look at the row actions
3. Confirm the message shown and that no record or balance was created or changed</t>
  </si>
  <si>
    <t>Request approved at level 1 or fully → Open My Workspace &gt; Leave (/ess/leave) → Look at the row actions → Confirm the message shown and that no record or balance was created or changed</t>
  </si>
  <si>
    <t>No withdraw; message "...ask HR to cancel it."</t>
  </si>
  <si>
    <t>TC-LV-271</t>
  </si>
  <si>
    <t>Approval</t>
  </si>
  <si>
    <t>Request routes to the reporting manager, not self</t>
  </si>
  <si>
    <t>Employee reports to Amit</t>
  </si>
  <si>
    <t xml:space="preserve">1. Employee applies
2. Employee opens Leave Approval (if menu)
3. Amit opens Leave Approval</t>
  </si>
  <si>
    <t>Employee reports to Amit → Employee applies → Employee opens Leave Approval (if menu) → Amit opens Leave Approval</t>
  </si>
  <si>
    <t>Only Amit sees and can approve</t>
  </si>
  <si>
    <t>TC-LV-272</t>
  </si>
  <si>
    <t>Employee sees Approved and used +1 after approval</t>
  </si>
  <si>
    <t>Request approved</t>
  </si>
  <si>
    <t xml:space="preserve">1. Open My Workspace &gt; Leave (/ess/leave)
2. Re-open My Leave
3. Refresh the page and confirm the outcome persists (list, balance or ledger as applicable)</t>
  </si>
  <si>
    <t>Request approved → Open My Workspace &gt; Leave (/ess/leave) → Re-open My Leave → Refresh the page and confirm the outcome persists (list, balance or ledger as applicable)</t>
  </si>
  <si>
    <t>Status Approved; available −1, used +1</t>
  </si>
  <si>
    <t>TC-LV-273</t>
  </si>
  <si>
    <t>Accrual &amp; Period End</t>
  </si>
  <si>
    <t>Monthly accrual job credits each due month</t>
  </si>
  <si>
    <t>Monthly 1/month pattern assigned</t>
  </si>
  <si>
    <t xml:space="preserve">1. Log in as the user named in the preconditions
2. Wait for the 01:30 UTC job
3. Open the Ledger</t>
  </si>
  <si>
    <t>Monthly 1/month pattern assigned → Log in as the user named in the preconditions → Wait for the 01:30 UTC job → Open the Ledger</t>
  </si>
  <si>
    <t>One "Monthly accrual · &lt;Mon&gt;" +1 row per month</t>
  </si>
  <si>
    <t>TC-LV-274</t>
  </si>
  <si>
    <t>Accrual is idempotent</t>
  </si>
  <si>
    <t>Accrual already posted for the month</t>
  </si>
  <si>
    <t xml:space="preserve">1. Log in as the user named in the preconditions
2. Re-run / wait another day
3. Confirm the message shown and that no record or balance was created or changed</t>
  </si>
  <si>
    <t>Accrual already posted for the month → Log in as the user named in the preconditions → Re-run / wait another day → Confirm the message shown and that no record or balance was created or changed</t>
  </si>
  <si>
    <t>No second credit for the same month</t>
  </si>
  <si>
    <t>Known issue LP-046: repeated Medical +1 rows for Sep 2026</t>
  </si>
  <si>
    <t>TC-LV-275</t>
  </si>
  <si>
    <t>Accrual never exceeds the line's days</t>
  </si>
  <si>
    <t>Monthly 5/month on a 12-day line</t>
  </si>
  <si>
    <t xml:space="preserve">1. Log in as the user named in the preconditions
2. Run 3 months
3. Refresh the page and confirm the outcome persists (list, balance or ledger as applicable)</t>
  </si>
  <si>
    <t>Monthly 5/month on a 12-day line → Log in as the user named in the preconditions → Run 3 months → Refresh the page and confirm the outcome persists (list, balance or ledger as applicable)</t>
  </si>
  <si>
    <t>Credits 5, 5, 2 then nothing</t>
  </si>
  <si>
    <t>BR 3</t>
  </si>
  <si>
    <t>TC-LV-276</t>
  </si>
  <si>
    <t>Quarterly credits fire in calendar quarters</t>
  </si>
  <si>
    <t>Quarterly line starting Feb</t>
  </si>
  <si>
    <t xml:space="preserve">1. Log in as the user named in the preconditions
2. Observe credits
3. Refresh the page and confirm the outcome persists (list, balance or ledger as applicable)</t>
  </si>
  <si>
    <t>Quarterly line starting Feb → Log in as the user named in the preconditions → Observe credits → Refresh the page and confirm the outcome persists (list, balance or ledger as applicable)</t>
  </si>
  <si>
    <t>Credits in Apr/Jul/Oct, not Feb/May</t>
  </si>
  <si>
    <t>BR 4</t>
  </si>
  <si>
    <t>TC-LV-277</t>
  </si>
  <si>
    <t>Missed runs are caught up</t>
  </si>
  <si>
    <t>Job down for a month</t>
  </si>
  <si>
    <t xml:space="preserve">1. Log in as the user named in the preconditions
2. Next run
3. Refresh the page and confirm the outcome persists (list, balance or ledger as applicable)</t>
  </si>
  <si>
    <t>Job down for a month → Log in as the user named in the preconditions → Next run → Refresh the page and confirm the outcome persists (list, balance or ledger as applicable)</t>
  </si>
  <si>
    <t>Missed interval credited once</t>
  </si>
  <si>
    <t>TC-LV-278</t>
  </si>
  <si>
    <t>Period close</t>
  </si>
  <si>
    <t>Carry forward within the cap at period end</t>
  </si>
  <si>
    <t>Carry Yes cap 3; 5 unused at end</t>
  </si>
  <si>
    <t xml:space="preserve">1. Log in as the user named in the preconditions
2. After period end, open Ledger
3. Refresh the page and confirm the outcome persists (list, balance or ledger as applicable)</t>
  </si>
  <si>
    <t>Carry Yes cap 3; 5 unused at end → Log in as the user named in the preconditions → After period end, open Ledger → Refresh the page and confirm the outcome persists (list, balance or ledger as applicable)</t>
  </si>
  <si>
    <t>Carry-Fwd +3 into next period; remaining 2 lapse; closed period zeroed</t>
  </si>
  <si>
    <t>FR-12</t>
  </si>
  <si>
    <t>TC-LV-279</t>
  </si>
  <si>
    <t>Last period's leftover expires after the next period (Yes vs No)</t>
  </si>
  <si>
    <t>Two employees: flag Yes / flag No</t>
  </si>
  <si>
    <t xml:space="preserve">1. Log in as the user named in the preconditions
2. Let two consecutive periods close
3. Compare balances</t>
  </si>
  <si>
    <t>Two employees: flag Yes / flag No → Log in as the user named in the preconditions → Let two consecutive periods close → Compare balances</t>
  </si>
  <si>
    <t>Yes: carried days lapse after next period; No: they remain</t>
  </si>
  <si>
    <t>Carry/expiry test 10-2026: close job initially did not fire; carry row seen 09-10</t>
  </si>
  <si>
    <t>TC-LV-280</t>
  </si>
  <si>
    <t>Carried days expire after N months</t>
  </si>
  <si>
    <t>Carried expiry 3 months</t>
  </si>
  <si>
    <t xml:space="preserve">1. Log in as the user named in the preconditions
2. Wait 3 months unused
3. Refresh the page and confirm the outcome persists (list, balance or ledger as applicable)</t>
  </si>
  <si>
    <t>Carried expiry 3 months → Log in as the user named in the preconditions → Wait 3 months unused → Refresh the page and confirm the outcome persists (list, balance or ledger as applicable)</t>
  </si>
  <si>
    <t>Expired row lapses unused carried days</t>
  </si>
  <si>
    <t>TC-LV-281</t>
  </si>
  <si>
    <t>Leave taken counts against the oldest credit first</t>
  </si>
  <si>
    <t>Carried and fresh credit both present</t>
  </si>
  <si>
    <t xml:space="preserve">1. Log in as the user named in the preconditions
2. Take 1 day
3. Check what lapses at expiry</t>
  </si>
  <si>
    <t>Carried and fresh credit both present → Log in as the user named in the preconditions → Take 1 day → Check what lapses at expiry</t>
  </si>
  <si>
    <t>Carried days consumed first</t>
  </si>
  <si>
    <t>BR 20</t>
  </si>
  <si>
    <t>TC-LV-282</t>
  </si>
  <si>
    <t>Monthly lapse cancels last month's leftover</t>
  </si>
  <si>
    <t>Monthly type with monthly lapse Yes</t>
  </si>
  <si>
    <t xml:space="preserve">1. Log in as the user named in the preconditions
2. Month ends with unused credit
3. Refresh the page and confirm the outcome persists (list, balance or ledger as applicable)</t>
  </si>
  <si>
    <t>Monthly type with monthly lapse Yes → Log in as the user named in the preconditions → Month ends with unused credit → Refresh the page and confirm the outcome persists (list, balance or ledger as applicable)</t>
  </si>
  <si>
    <t>Leftover survives one month then is cancelled</t>
  </si>
  <si>
    <t>FR-14</t>
  </si>
  <si>
    <t>TC-LV-283</t>
  </si>
  <si>
    <t>Carry forward happens overnight, not on assignment</t>
  </si>
  <si>
    <t>New pattern assigned after old period closed</t>
  </si>
  <si>
    <t xml:space="preserve">1. Log in as the user named in the preconditions
2. Check Ledger on assignment day and next day
3. Refresh the page and confirm the outcome persists (list, balance or ledger as applicable)</t>
  </si>
  <si>
    <t>New pattern assigned after old period closed → Log in as the user named in the preconditions → Check Ledger on assignment day and next day → Refresh the page and confirm the outcome persists (list, balance or ledger as applicable)</t>
  </si>
  <si>
    <t>Carry-Fwd appears only after the nightly job</t>
  </si>
  <si>
    <t>TC-LV-284</t>
  </si>
  <si>
    <t>Pattern change</t>
  </si>
  <si>
    <t>Mid-period pattern change cancels credit and writes back taken days</t>
  </si>
  <si>
    <t>Employee took 2 days under pattern A</t>
  </si>
  <si>
    <t xml:space="preserve">1. Log in as the user named in the preconditions
2. Assign pattern B mid-period
3. Refresh the page and confirm the outcome persists (list, balance or ledger as applicable)</t>
  </si>
  <si>
    <t>Employee took 2 days under pattern A → Log in as the user named in the preconditions → Assign pattern B mid-period → Refresh the page and confirm the outcome persists (list, balance or ledger as applicable)</t>
  </si>
  <si>
    <t>Pattern A credit reversed; B starts from zero; taken days written back</t>
  </si>
  <si>
    <t>Observed 06-10: rewrite preserved prior balance and stacked new opening — verify</t>
  </si>
  <si>
    <t>BR 24</t>
  </si>
  <si>
    <t>TC-LV-285</t>
  </si>
  <si>
    <t>Encashment</t>
  </si>
  <si>
    <t>Encashment at period end vs on relieving</t>
  </si>
  <si>
    <t>Encashable type; Leave Settings mode At period end / On relieving</t>
  </si>
  <si>
    <t xml:space="preserve">1. Log in as the user named in the preconditions
2. Close a period
3. Refresh the page and confirm the outcome persists (list, balance or ledger as applicable)</t>
  </si>
  <si>
    <t>Encashable type; Leave Settings mode At period end / On relieving → Log in as the user named in the preconditions → Close a period → Refresh the page and confirm the outcome persists (list, balance or ledger as applicable)</t>
  </si>
  <si>
    <t>At period end: Encash row up to max; On relieving: held for F&amp;F</t>
  </si>
  <si>
    <t>Encashment payout verified in Exit F&amp;F (out of scope)</t>
  </si>
  <si>
    <t>BR 19</t>
  </si>
  <si>
    <t>TC-LV-286</t>
  </si>
  <si>
    <t>Leave Integrations</t>
  </si>
  <si>
    <t>Final approval writes attendance rows for charged days</t>
  </si>
  <si>
    <t>Request Mon–Wed approved</t>
  </si>
  <si>
    <t xml:space="preserve">1. Log in as the user named in the preconditions
2. Open Attendance Sync and the employee attendance
3. Refresh the page and confirm the outcome persists (list, balance or ledger as applicable)</t>
  </si>
  <si>
    <t>Request Mon–Wed approved → Log in as the user named in the preconditions → Open Attendance Sync and the employee attendance → Refresh the page and confirm the outcome persists (list, balance or ledger as applicable)</t>
  </si>
  <si>
    <t>Exactly the charged days marked Leave; ledger debit and attendance written together</t>
  </si>
  <si>
    <t>BR 16</t>
  </si>
  <si>
    <t>TC-LV-287</t>
  </si>
  <si>
    <t>LOP days reach payroll</t>
  </si>
  <si>
    <t>Approved leave with 2 LOP days</t>
  </si>
  <si>
    <t xml:space="preserve">1. Log in as the user named in the preconditions
2. Open the payroll input/LOP feed for the month
3. Refresh the page and confirm the outcome persists (list, balance or ledger as applicable)</t>
  </si>
  <si>
    <t>Approved leave with 2 LOP days → Log in as the user named in the preconditions → Open the payroll input/LOP feed for the month → Refresh the page and confirm the outcome persists (list, balance or ledger as applicable)</t>
  </si>
  <si>
    <t>Employee LOP = 2 matching the ledger</t>
  </si>
  <si>
    <t>Payroll module owned by teammates</t>
  </si>
  <si>
    <t>TC-LV-288</t>
  </si>
  <si>
    <t>Unapproved absence becomes LOP at attendance lock</t>
  </si>
  <si>
    <t>Absent day with no leave</t>
  </si>
  <si>
    <t xml:space="preserve">1. Log in as the user named in the preconditions
2. Lock attendance
3. Check payroll LOP</t>
  </si>
  <si>
    <t>Absent day with no leave → Log in as the user named in the preconditions → Lock attendance → Check payroll LOP</t>
  </si>
  <si>
    <t>Offset against leave first; remainder LOP</t>
  </si>
  <si>
    <t>TC-LV-289</t>
  </si>
  <si>
    <t>Weekly off</t>
  </si>
  <si>
    <t>Weekly offs come from the employee's shift</t>
  </si>
  <si>
    <t>Employee on a Fri-off shift</t>
  </si>
  <si>
    <t xml:space="preserve">1. Log in as the user named in the preconditions
2. Apply Thu–Sat
3. Refresh the page and confirm the outcome persists (list, balance or ledger as applicable)</t>
  </si>
  <si>
    <t>Employee on a Fri-off shift → Log in as the user named in the preconditions → Apply Thu–Sat → Refresh the page and confirm the outcome persists (list, balance or ledger as applicable)</t>
  </si>
  <si>
    <t>Friday treated as weekly off in counting</t>
  </si>
  <si>
    <t>BR 11</t>
  </si>
  <si>
    <t>TC-LV-290</t>
  </si>
  <si>
    <t>Gender from Core HR drives eligibility</t>
  </si>
  <si>
    <t>Female-only type</t>
  </si>
  <si>
    <t xml:space="preserve">1. Log in as the user named in the preconditions
2. Change employee gender in Core HR
3. re-open Apply</t>
  </si>
  <si>
    <t>Female-only type → Log in as the user named in the preconditions → Change employee gender in Core HR → re-open Apply</t>
  </si>
  <si>
    <t>Type offered/hidden accordingly</t>
  </si>
  <si>
    <t>TC-LV-291</t>
  </si>
  <si>
    <t>Exit</t>
  </si>
  <si>
    <t>Leave balance available to Exit F&amp;F</t>
  </si>
  <si>
    <t>Employee resigning with encashable balance</t>
  </si>
  <si>
    <t xml:space="preserve">1. Log in as the user named in the preconditions
2. Open F&amp;F
3. Refresh the page and confirm the outcome persists (list, balance or ledger as applicable)</t>
  </si>
  <si>
    <t>Employee resigning with encashable balance → Log in as the user named in the preconditions → Open F&amp;F → Refresh the page and confirm the outcome persists (list, balance or ledger as applicable)</t>
  </si>
  <si>
    <t>Encashable days valued at the per-day rate</t>
  </si>
  <si>
    <t>F&amp;F settlement is out of scope</t>
  </si>
  <si>
    <t>TC-LV-292</t>
  </si>
  <si>
    <t>Leave Settings (Client Settings)</t>
  </si>
  <si>
    <t>Settings</t>
  </si>
  <si>
    <t>Leave settings save and reload</t>
  </si>
  <si>
    <t xml:space="preserve">1. Open Client Settings &gt; Leave Settings
2. Set mode, cycle, rate base, divisor, rounding, comp-off, quota
3. Save
4. Reload</t>
  </si>
  <si>
    <t>Logged in as HRMS admin (amit) → Open Client Settings &gt; Leave Settings → Set mode, cycle, rate base, divisor, rounding, comp-off, quota → Save → Reload</t>
  </si>
  <si>
    <t>All values persist</t>
  </si>
  <si>
    <t>/client-setting</t>
  </si>
  <si>
    <t>Shared tenant config — edit only on a test tenant</t>
  </si>
  <si>
    <t>§7.6</t>
  </si>
  <si>
    <t>TC-LV-293</t>
  </si>
  <si>
    <t>Rounding decimals limited to 0–4</t>
  </si>
  <si>
    <t xml:space="preserve">1. Set rounding 5
2. Save
3. then 4</t>
  </si>
  <si>
    <t>Logged in as HRMS admin (amit) → Set rounding 5 → Save → then 4</t>
  </si>
  <si>
    <t>5 rejected; 4 accepted</t>
  </si>
  <si>
    <t>TC-LV-294</t>
  </si>
  <si>
    <t>Encashment cycle must be 1 or more</t>
  </si>
  <si>
    <t xml:space="preserve">1. Open Client Settings &gt; Leave Settings (/client-setting)
2. Set cycle 0
3. Save</t>
  </si>
  <si>
    <t>Logged in as HRMS admin (amit) → Open Client Settings &gt; Leave Settings (/client-setting) → Set cycle 0 → Save</t>
  </si>
  <si>
    <t>TC-LV-295</t>
  </si>
  <si>
    <t>Comp-off expiry applied to new credits</t>
  </si>
  <si>
    <t xml:space="preserve">1. Open Client Settings &gt; Leave Settings (/client-setting)
2. Set comp-off expiry 30
3. Approve a comp-off</t>
  </si>
  <si>
    <t>Logged in as HRMS admin (amit) → Open Client Settings &gt; Leave Settings (/client-setting) → Set comp-off expiry 30 → Approve a comp-off</t>
  </si>
  <si>
    <t>Credit expires 30 days after grant</t>
  </si>
  <si>
    <t>TC-PAY-001</t>
  </si>
  <si>
    <t>Payroll Policies page opens and renders correctly</t>
  </si>
  <si>
    <t>Route /payroll/policies</t>
  </si>
  <si>
    <t xml:space="preserve">1. Open Payroll &gt; Payroll Policies from the sidebar
2. Wait for the loading indicator to clear
3. Check the page heading, toolbar buttons and table/cards</t>
  </si>
  <si>
    <t>Logged in as HRMS admin (amit) → Open Payroll &gt; Payroll Policies from the sidebar → Wait for the loading indicator to clear → Check the page heading, toolbar buttons and table/cards</t>
  </si>
  <si>
    <t>Page loads without login redirect, 404 or app error; heading "Payroll Policies" shown; sections "The salary month", "When salaries are paid", "How a day is priced", "Daily-wage paid days", "Payroll go-live" and button "Save Pay Calendar" are visible</t>
  </si>
  <si>
    <t>Linear 062 Payroll Policies — page check</t>
  </si>
  <si>
    <t>TC-PAY-002</t>
  </si>
  <si>
    <t>View policy sections</t>
  </si>
  <si>
    <t>Each policy section expands and shows its settings</t>
  </si>
  <si>
    <t xml:space="preserve">1. Open Payroll &gt; Payroll Policies
2. Click "The salary month"
3. Click "When salaries are paid"
4. Click "How a day is priced"
5. Click "Daily-wage paid days" and "Payroll go-live"</t>
  </si>
  <si>
    <t>Logged in as HRMS admin (amit) → Open Payroll &gt; Payroll Policies → Click "The salary month" → Click "When salaries are paid" → Click "How a day is priced" → Click "Daily-wage paid days" and "Payroll go-live"</t>
  </si>
  <si>
    <t>Each section opens and shows its current saved values read-only until changed; no console/app error; DAILY RATE ONLY tag is shown on the daily-wage section</t>
  </si>
  <si>
    <t>TC-PAY-003</t>
  </si>
  <si>
    <t>Pay calendar</t>
  </si>
  <si>
    <t>Period type offers both calendar options</t>
  </si>
  <si>
    <t xml:space="preserve">1. Open Payroll &gt; Payroll Policies
2. Open "The salary month"
3. Expand the "Period type*" dropdown</t>
  </si>
  <si>
    <t>Logged in as HRMS admin (amit) → Open Payroll &gt; Payroll Policies → Open "The salary month" → Expand the "Period type*" dropdown</t>
  </si>
  <si>
    <t>Options are exactly "Full calendar month (1st to last day)" and "Custom cut-off window"; Period type is marked mandatory (*)</t>
  </si>
  <si>
    <t>TC-PAY-004</t>
  </si>
  <si>
    <t>Cut-off day fields depend on the period type</t>
  </si>
  <si>
    <t xml:space="preserve">1. Open "The salary month"
2. Select "Full calendar month (1st to last day)" (do not save)
3. Select "Custom cut-off window" (do not save)
4. Navigate away discarding changes</t>
  </si>
  <si>
    <t>Logged in as HRMS admin (amit) → Open "The salary month" → Select "Full calendar month (1st to last day)" (do not save) → Select "Custom cut-off window" (do not save) → Navigate away discarding changes</t>
  </si>
  <si>
    <t>Cut-off start day / end day are hidden or disabled for the full calendar month and enabled for the custom window; nothing is saved</t>
  </si>
  <si>
    <t>TC-PAY-005</t>
  </si>
  <si>
    <t>Switch period type to Custom cut-off window and save</t>
  </si>
  <si>
    <t>Logged in as HRMS admin; ONLY in an isolated tenant or with agreement of all payroll users</t>
  </si>
  <si>
    <t>Start 26, End 25</t>
  </si>
  <si>
    <t xml:space="preserve">1. Open "The salary month"
2. Select "Custom cut-off window"
3. Enter Cut-off start day 26 and Cut-off end day 25
4. Tick Active
5. Click "Save Pay Calendar"
6. Restore the original values afterwards</t>
  </si>
  <si>
    <t>Logged in as HRMS admin; ONLY in an isolated tenant or with agreement of all payroll users → Open "The salary month" → Select "Custom cut-off window" → Enter Cut-off start day 26 and Cut-off end day 25 → Tick Active → Click "Save Pay Calendar" → Restore the original values afterwards</t>
  </si>
  <si>
    <t>Success message; payroll period now runs 26th of the previous month to 25th; Payroll Runs and attendance finalisation use the new window</t>
  </si>
  <si>
    <t>Editing the SHARED tenant Payroll Policy is never automated (tenant-wide pay calendar used by all teams)</t>
  </si>
  <si>
    <t>TC-PAY-006</t>
  </si>
  <si>
    <t>Pay calendar validation</t>
  </si>
  <si>
    <t>Cut-off day outside 1–31 is rejected</t>
  </si>
  <si>
    <t>Logged in as HRMS admin (amit); isolated tenant only</t>
  </si>
  <si>
    <t>0 / 32 / -1</t>
  </si>
  <si>
    <t xml:space="preserve">1. Select "Custom cut-off window"
2. Enter Cut-off start day 0, then 32, then -1
3. Click "Save Pay Calendar" after each</t>
  </si>
  <si>
    <t>Logged in as HRMS admin (amit); isolated tenant only → Select "Custom cut-off window" → Enter Cut-off start day 0, then 32, then -1 → Click "Save Pay Calendar" after each</t>
  </si>
  <si>
    <t>Validation message for each value (day must be 1–31); policy not saved</t>
  </si>
  <si>
    <t>TC-PAY-007</t>
  </si>
  <si>
    <t>Cut-off start day equal to end day is questioned</t>
  </si>
  <si>
    <t>Start 15, End 15</t>
  </si>
  <si>
    <t xml:space="preserve">1. Select "Custom cut-off window"
2. Enter Cut-off start day 15 and end day 15
3. Click "Save Pay Calendar"</t>
  </si>
  <si>
    <t>Logged in as HRMS admin (amit); isolated tenant only → Select "Custom cut-off window" → Enter Cut-off start day 15 and end day 15 → Click "Save Pay Calendar"</t>
  </si>
  <si>
    <t>System warns or rejects an ambiguous window (start = end); the period definition shown is unambiguous</t>
  </si>
  <si>
    <t>Editing the SHARED tenant Payroll Policy is never automated (tenant-wide pay calendar used by all teams). Known issue RX-16: the live tenant accepts cut-off 15 to 15</t>
  </si>
  <si>
    <t>TC-PAY-008</t>
  </si>
  <si>
    <t>Custom cut-off window without cut-off days is rejected</t>
  </si>
  <si>
    <t xml:space="preserve">1. Select "Custom cut-off window"
2. Leave Cut-off start day and end day empty
3. Click "Save Pay Calendar"</t>
  </si>
  <si>
    <t>Logged in as HRMS admin (amit); isolated tenant only → Select "Custom cut-off window" → Leave Cut-off start day and end day empty → Click "Save Pay Calendar"</t>
  </si>
  <si>
    <t>Validation message asks for cut-off days; nothing saved</t>
  </si>
  <si>
    <t>TC-PAY-009</t>
  </si>
  <si>
    <t>Day pricing</t>
  </si>
  <si>
    <t>How a day is priced drives the LOP per-day rate</t>
  </si>
  <si>
    <t>Policy "How a day is priced" known (e.g. calendar days of the month); an employee with a salary structure and 1 LOP day</t>
  </si>
  <si>
    <t>Gross 31,000; 31-day month; 1 LOP day</t>
  </si>
  <si>
    <t xml:space="preserve">1. Open "How a day is priced" and note the rule
2. Open Payroll &gt; Payroll Runs and preview the employee for the period
3. Compare the LOP deduction with monthly gross ÷ day basis</t>
  </si>
  <si>
    <t>Policy "How a day is priced" known (e.g. calendar days of the month); an employee with a salary structure and 1 LOP day → Open "How a day is priced" and note the rule → Open Payroll &gt; Payroll Runs and preview the employee for the period → Compare the LOP deduction with monthly gross ÷ day basis</t>
  </si>
  <si>
    <t>LOP deduction = monthly prorated components ÷ day basis × LOP days (₹1,000 in the example), only on components with "Prorate on LOP"</t>
  </si>
  <si>
    <t>TC-PAY-010</t>
  </si>
  <si>
    <t>Go-live</t>
  </si>
  <si>
    <t>Payroll go-live month blocks runs before go-live</t>
  </si>
  <si>
    <t>Payroll go-live month configured</t>
  </si>
  <si>
    <t xml:space="preserve">1. Open "Payroll go-live" and note the month
2. Open Payroll Runs &gt; New Run
3. Try to choose a period before the go-live month</t>
  </si>
  <si>
    <t>Payroll go-live month configured → Open "Payroll go-live" and note the month → Open Payroll Runs &gt; New Run → Try to choose a period before the go-live month</t>
  </si>
  <si>
    <t>Periods before go-live are not offered or are refused with a clear message; opening balances are expected for the go-live year</t>
  </si>
  <si>
    <t>TC-PAY-011</t>
  </si>
  <si>
    <t>Policy page edits are restricted to payroll administrators</t>
  </si>
  <si>
    <t>A Staff-role employee login exists (initial password = employee code)</t>
  </si>
  <si>
    <t xml:space="preserve">1. Log in as the Staff employee
2. Open /payroll/policies by URL
3. Try to change any value</t>
  </si>
  <si>
    <t>A Staff-role employee login exists (initial password = employee code) → Log in as the Staff employee → Open /payroll/policies by URL → Try to change any value</t>
  </si>
  <si>
    <t>Page is not accessible to Staff; no Save Pay Calendar action available</t>
  </si>
  <si>
    <t>TC-PAY-012</t>
  </si>
  <si>
    <t>Logged-out access to Payroll Policies redirects to login</t>
  </si>
  <si>
    <t xml:space="preserve">1. Log out
2. Open https://hrms-test.progbiz.in/payroll/policies
3. Observe</t>
  </si>
  <si>
    <t>Not logged in → Log out → Open https://hrms-test.progbiz.in/payroll/policies → Observe</t>
  </si>
  <si>
    <t>Redirected to the login page; after login the user lands back on or can navigate to the page</t>
  </si>
  <si>
    <t>TC-PAY-013</t>
  </si>
  <si>
    <t>Salary Components page opens and renders correctly</t>
  </si>
  <si>
    <t>Route /payroll/components</t>
  </si>
  <si>
    <t xml:space="preserve">1. Open Payroll &gt; Salary Components from the sidebar
2. Wait for the loading indicator to clear
3. Check the page heading, toolbar buttons and table/cards</t>
  </si>
  <si>
    <t>Logged in as HRMS admin (amit) → Open Payroll &gt; Salary Components from the sidebar → Wait for the loading indicator to clear → Check the page heading, toolbar buttons and table/cards</t>
  </si>
  <si>
    <t>Page loads without login redirect, 404 or app error; heading "Salary Components" shown; component list with search box "Search…" and the add form (Code*, Name*, Type*, Calculation*, Amount, Statutory link, flags, Display order, Active, "Save Component") render</t>
  </si>
  <si>
    <t>Linear 063 Salary Components — page check</t>
  </si>
  <si>
    <t>TC-PAY-014</t>
  </si>
  <si>
    <t>Create component</t>
  </si>
  <si>
    <t>Create an Earning component with Fixed amount</t>
  </si>
  <si>
    <t>Code: QACONV; Name: Conveyance Allowance (Auto DD-Mon HH.MM.SS); Amount 2000</t>
  </si>
  <si>
    <t xml:space="preserve">1. Open Payroll &gt; Salary Components
2. Enter Code and Name
3. Select Type "Earning" and Calculation "Fixed amount"
4. Enter Amount 2000
5. Click "Save Component"</t>
  </si>
  <si>
    <t>Logged in as HRMS admin (amit) → Open Payroll &gt; Salary Components → Enter Code and Name → Select Type "Earning" and Calculation "Fixed amount" → Enter Amount 2000 → Click "Save Component"</t>
  </si>
  <si>
    <t>Success message; component appears in the list with Type Earning, Fixed amount 2,000 and Active</t>
  </si>
  <si>
    <t>Module automation owned by teammates (base page checks in linear run). Also built in tests/10_payroll/payroll_workflow.spec.js PAY1 (outside the linear run)</t>
  </si>
  <si>
    <t>TC-PAY-015</t>
  </si>
  <si>
    <t>Default flags on a new component</t>
  </si>
  <si>
    <t xml:space="preserve">1. Open Payroll &gt; Salary Components
2. Look at the empty add form without typing
3. Observe the result and compare with the expected outcome</t>
  </si>
  <si>
    <t>Logged in as HRMS admin (amit) → Open Payroll &gt; Salary Components → Look at the empty add form without typing → Observe the result and compare with the expected outcome</t>
  </si>
  <si>
    <t>Taxable, Part of gross, Part of CTC, Prorate on LOP, Show on payslip and Active are ticked; PF wage base unticked; Display order 0; Statutory link "None"</t>
  </si>
  <si>
    <t>TC-PAY-016</t>
  </si>
  <si>
    <t>Create a Deduction component</t>
  </si>
  <si>
    <t>Code: QACANT; Name: Canteen Deduction</t>
  </si>
  <si>
    <t xml:space="preserve">1. Enter Code and Name
2. Select Type "Deduction", Calculation "Fixed amount", Amount 500
3. Untick Part of CTC
4. Click "Save Component"</t>
  </si>
  <si>
    <t>Logged in as HRMS admin (amit) → Enter Code and Name → Select Type "Deduction", Calculation "Fixed amount", Amount 500 → Untick Part of CTC → Click "Save Component"</t>
  </si>
  <si>
    <t>Component saved as Deduction; it reduces net pay in payroll preview and is shown under Deductions on the payslip</t>
  </si>
  <si>
    <t>TC-PAY-017</t>
  </si>
  <si>
    <t>Create an Employer Contribution linked to Provident Fund</t>
  </si>
  <si>
    <t xml:space="preserve">1. Enter Code QAEPF and Name "Employer PF"
2. Select Type "Employer Contribution", Calculation "Statutory"
3. Select Statutory link "Provident Fund"
4. Click "Save Component"</t>
  </si>
  <si>
    <t>Logged in as HRMS admin (amit) → Enter Code QAEPF and Name "Employer PF" → Select Type "Employer Contribution", Calculation "Statutory" → Select Statutory link "Provident Fund" → Click "Save Component"</t>
  </si>
  <si>
    <t>Saved; amount is computed by the PF engine (12% of PF wages, wage ceiling as per Statutory Configuration); it counts in CTC but not in gross/net pay</t>
  </si>
  <si>
    <t>TC-PAY-018</t>
  </si>
  <si>
    <t>Create a % of CTC component (Basic 40%)</t>
  </si>
  <si>
    <t>40</t>
  </si>
  <si>
    <t xml:space="preserve">1. Enter Code QABASIC, Name "Basic Salary"
2. Type "Earning", Calculation "% of CTC", Amount 40
3. Tick PF wage base
4. Click "Save Component"</t>
  </si>
  <si>
    <t>Logged in as HRMS admin (amit) → Enter Code QABASIC, Name "Basic Salary" → Type "Earning", Calculation "% of CTC", Amount 40 → Tick PF wage base → Click "Save Component"</t>
  </si>
  <si>
    <t>Saved; in a structure with CTC 6,00,000 the monthly Basic is 20,000; PF is computed on it</t>
  </si>
  <si>
    <t>TC-PAY-019</t>
  </si>
  <si>
    <t>Create a % of component (HRA 50% of Basic)</t>
  </si>
  <si>
    <t>Basic component exists</t>
  </si>
  <si>
    <t>50% of Basic</t>
  </si>
  <si>
    <t xml:space="preserve">1. Enter Code QAHRA, Name "House Rent Allowance"
2. Type Earning, Calculation "% of component", Amount 50 referencing Basic
3. Click "Save Component"</t>
  </si>
  <si>
    <t>Basic component exists → Enter Code QAHRA, Name "House Rent Allowance" → Type Earning, Calculation "% of component", Amount 50 referencing Basic → Click "Save Component"</t>
  </si>
  <si>
    <t>Saved; HRA = 50% of Basic in the structure preview</t>
  </si>
  <si>
    <t>TC-PAY-020</t>
  </si>
  <si>
    <t>Create a Balancing (special allowance) component</t>
  </si>
  <si>
    <t xml:space="preserve">1. Enter Code QASPL, Name "Special Allowance"
2. Type Earning, Calculation "Balancing"
3. Click "Save Component"</t>
  </si>
  <si>
    <t>Logged in as HRMS admin (amit) → Enter Code QASPL, Name "Special Allowance" → Type Earning, Calculation "Balancing" → Click "Save Component"</t>
  </si>
  <si>
    <t>Saved; in a structure it absorbs CTC minus all other components so the total equals CTC</t>
  </si>
  <si>
    <t>TC-PAY-021</t>
  </si>
  <si>
    <t>Formula component with invalid expression is rejected</t>
  </si>
  <si>
    <t>BASIC * (0.1</t>
  </si>
  <si>
    <t xml:space="preserve">1. Select Calculation "Formula"
2. Enter an invalid expression (unknown code / unbalanced bracket)
3. Click "Save Component"</t>
  </si>
  <si>
    <t>Logged in as HRMS admin (amit) → Select Calculation "Formula" → Enter an invalid expression (unknown code / unbalanced bracket) → Click "Save Component"</t>
  </si>
  <si>
    <t>Validation error naming the formula problem; component not saved</t>
  </si>
  <si>
    <t>TC-PAY-022</t>
  </si>
  <si>
    <t>Code is mandatory</t>
  </si>
  <si>
    <t xml:space="preserve">1. Leave Code empty
2. Fill Name, Type, Calculation
3. Click "Save Component"</t>
  </si>
  <si>
    <t>Logged in as HRMS admin (amit) → Leave Code empty → Fill Name, Type, Calculation → Click "Save Component"</t>
  </si>
  <si>
    <t>Validation message for Code; nothing saved</t>
  </si>
  <si>
    <t>TC-PAY-023</t>
  </si>
  <si>
    <t>Name is mandatory</t>
  </si>
  <si>
    <t xml:space="preserve">1. Fill Code
2. Leave Name empty
3. Click "Save Component"</t>
  </si>
  <si>
    <t>Logged in as HRMS admin (amit) → Fill Code → Leave Name empty → Click "Save Component"</t>
  </si>
  <si>
    <t>Validation message for Name; nothing saved</t>
  </si>
  <si>
    <t>TC-PAY-024</t>
  </si>
  <si>
    <t>Type and Calculation are mandatory</t>
  </si>
  <si>
    <t xml:space="preserve">1. Fill Code and Name
2. Clear / leave Type and Calculation unselected if possible
3. Click "Save Component"</t>
  </si>
  <si>
    <t>Logged in as HRMS admin (amit) → Fill Code and Name → Clear / leave Type and Calculation unselected if possible → Click "Save Component"</t>
  </si>
  <si>
    <t>Validation message for Type* / Calculation*; nothing saved</t>
  </si>
  <si>
    <t>TC-PAY-025</t>
  </si>
  <si>
    <t>Duplicate component code is rejected</t>
  </si>
  <si>
    <t>Component QABASIC exists</t>
  </si>
  <si>
    <t>QABASIC</t>
  </si>
  <si>
    <t xml:space="preserve">1. Open Payroll &gt; Salary Components
2. Enter Code QABASIC again with another name
3. Click "Save Component"</t>
  </si>
  <si>
    <t>Component QABASIC exists → Open Payroll &gt; Salary Components → Enter Code QABASIC again with another name → Click "Save Component"</t>
  </si>
  <si>
    <t>Duplicate code message; second component not created</t>
  </si>
  <si>
    <t>TC-PAY-026</t>
  </si>
  <si>
    <t>Negative or zero amount is rejected for Fixed amount</t>
  </si>
  <si>
    <t>-100 / 0</t>
  </si>
  <si>
    <t xml:space="preserve">1. Select Calculation "Fixed amount"
2. Enter Amount -100, then 0
3. Click "Save Component"</t>
  </si>
  <si>
    <t>Logged in as HRMS admin (amit) → Select Calculation "Fixed amount" → Enter Amount -100, then 0 → Click "Save Component"</t>
  </si>
  <si>
    <t>Negative amount rejected; zero either rejected or warned; nothing invalid saved</t>
  </si>
  <si>
    <t>TC-PAY-027</t>
  </si>
  <si>
    <t>Percentage above 100 is rejected</t>
  </si>
  <si>
    <t>101</t>
  </si>
  <si>
    <t xml:space="preserve">1. Select Calculation "% of CTC"
2. Enter Amount 101
3. Click "Save Component"</t>
  </si>
  <si>
    <t>Logged in as HRMS admin (amit) → Select Calculation "% of CTC" → Enter Amount 101 → Click "Save Component"</t>
  </si>
  <si>
    <t>Validation: percentage must be between 0 and 100</t>
  </si>
  <si>
    <t>TC-PAY-028</t>
  </si>
  <si>
    <t>Code with spaces/special characters and long Name</t>
  </si>
  <si>
    <t xml:space="preserve">1. Open Payroll &gt; Salary Components
2. Enter Code "QA BASIC#1" and a 300-character Name
3. Click "Save Component"</t>
  </si>
  <si>
    <t>Logged in as HRMS admin (amit) → Open Payroll &gt; Salary Components → Enter Code "QA BASIC#1" and a 300-character Name → Click "Save Component"</t>
  </si>
  <si>
    <t>Code format enforced (no spaces/special characters) and Name length limited with a clear message; leading/trailing spaces trimmed</t>
  </si>
  <si>
    <t>TC-PAY-029</t>
  </si>
  <si>
    <t>Maintain component</t>
  </si>
  <si>
    <t>Edit a component and change Display order</t>
  </si>
  <si>
    <t>QACONV exists</t>
  </si>
  <si>
    <t xml:space="preserve">1. Search "QACONV" in Search…
2. Open it for edit
3. Change Display order to 5 and untick Show on payslip
4. Click "Save Component"</t>
  </si>
  <si>
    <t>QACONV exists → Search "QACONV" in Search… → Open it for edit → Change Display order to 5 and untick Show on payslip → Click "Save Component"</t>
  </si>
  <si>
    <t>Changes saved; list reflects new order; component hidden on future payslips; existing finalised payslips unchanged</t>
  </si>
  <si>
    <t>TC-PAY-030</t>
  </si>
  <si>
    <t>Deactivate a component used in a structure</t>
  </si>
  <si>
    <t>Component used by an active salary structure</t>
  </si>
  <si>
    <t xml:space="preserve">1. Open the component
2. Untick Active
3. Click "Save Component"</t>
  </si>
  <si>
    <t>Component used by an active salary structure → Open the component → Untick Active → Click "Save Component"</t>
  </si>
  <si>
    <t>System warns that it is in use (or blocks); inactive components are no longer offered in New Structure</t>
  </si>
  <si>
    <t>TC-PAY-031</t>
  </si>
  <si>
    <t>Search components by code and name</t>
  </si>
  <si>
    <t xml:space="preserve">1. Open Payroll &gt; Salary Components
2. Type "BASIC" in Search…
3. Clear and type "allowance"</t>
  </si>
  <si>
    <t>Logged in as HRMS admin (amit) → Open Payroll &gt; Salary Components → Type "BASIC" in Search… → Clear and type "allowance"</t>
  </si>
  <si>
    <t>List filters to matching codes/names case-insensitively; clearing restores the full list</t>
  </si>
  <si>
    <t>TC-PAY-032</t>
  </si>
  <si>
    <t>Statutory link</t>
  </si>
  <si>
    <t>Statutory link offers all Indian statutory heads</t>
  </si>
  <si>
    <t xml:space="preserve">1. Open Payroll &gt; Salary Components
2. Open the Statutory link dropdown
3. Observe the result and compare with the expected outcome</t>
  </si>
  <si>
    <t>Logged in as HRMS admin (amit) → Open Payroll &gt; Salary Components → Open the Statutory link dropdown → Observe the result and compare with the expected outcome</t>
  </si>
  <si>
    <t>Options: None, Provident Fund, ESI, Professional Tax, Labour Welfare Fund, Income Tax (TDS), Gratuity, Bonus</t>
  </si>
  <si>
    <t>TC-PAY-033</t>
  </si>
  <si>
    <t>LOP proration</t>
  </si>
  <si>
    <t>Component without "Prorate on LOP" is not reduced for LOP days</t>
  </si>
  <si>
    <t>Fixed component with Prorate on LOP unticked in the employee structure; employee has 2 LOP days</t>
  </si>
  <si>
    <t xml:space="preserve">1. Open Payroll &gt; Salary Components
2. Preview the employee in a payroll run
3. Compare the component with its full monthly amount</t>
  </si>
  <si>
    <t>Fixed component with Prorate on LOP unticked in the employee structure; employee has 2 LOP days → Open Payroll &gt; Salary Components → Preview the employee in a payroll run → Compare the component with its full monthly amount</t>
  </si>
  <si>
    <t>Non-prorated component paid in full; prorated components reduced by LOP days</t>
  </si>
  <si>
    <t>TC-PAY-034</t>
  </si>
  <si>
    <t>Staff user cannot open /payroll/components via direct URL</t>
  </si>
  <si>
    <t xml:space="preserve">1. Log in as the Staff employee
2. Paste the URL of /payroll/components into the address bar
3. Observe the result</t>
  </si>
  <si>
    <t>A Staff-role employee login exists (initial password = employee code) → Log in as the Staff employee → Paste the URL of /payroll/components into the address bar → Observe the result</t>
  </si>
  <si>
    <t>Access is denied (no-permission message or redirect to My Workspace); no payroll data of other employees is visible; the menu item is not shown in the Staff sidebar</t>
  </si>
  <si>
    <t>TC-PAY-035</t>
  </si>
  <si>
    <t>Salary Structures page opens and renders correctly</t>
  </si>
  <si>
    <t>Route /payroll/structures</t>
  </si>
  <si>
    <t xml:space="preserve">1. Open Payroll &gt; Salary Structures from the sidebar
2. Wait for the loading indicator to clear
3. Check the page heading, toolbar buttons and table/cards</t>
  </si>
  <si>
    <t>Logged in as HRMS admin (amit) → Open Payroll &gt; Salary Structures from the sidebar → Wait for the loading indicator to clear → Check the page heading, toolbar buttons and table/cards</t>
  </si>
  <si>
    <t>Page loads without login redirect, 404 or app error; heading "Salary Structures" shown; structure list (e.g. "Sample Structure") and the "New Structure" button render</t>
  </si>
  <si>
    <t>Linear 064 Salary Structures — page check</t>
  </si>
  <si>
    <t>TC-PAY-036</t>
  </si>
  <si>
    <t>Create structure</t>
  </si>
  <si>
    <t>Create a structure with Basic, HRA, Special Allowance and statutory components</t>
  </si>
  <si>
    <t>Components Basic (40% CTC), HRA (50% of Basic), Special Allowance (Balancing), PF and ESI exist</t>
  </si>
  <si>
    <t>Name: QA Standard Structure (Auto DD-Mon HH.MM.SS)</t>
  </si>
  <si>
    <t xml:space="preserve">1. Click "New Structure"
2. Enter the name
3. Add Basic, HRA, Special Allowance, Employee PF, Employer PF
4. Save</t>
  </si>
  <si>
    <t>Components Basic (40% CTC), HRA (50% of Basic), Special Allowance (Balancing), PF and ESI exist → Click "New Structure" → Enter the name → Add Basic, HRA, Special Allowance, Employee PF, Employer PF → Save</t>
  </si>
  <si>
    <t>Structure saved and listed with its component count; preview for CTC 6,00,000 shows Basic 20,000, HRA 10,000, balancing Special Allowance, PF 1,800 (12% of 15,000 ceiling)</t>
  </si>
  <si>
    <t>TC-PAY-037</t>
  </si>
  <si>
    <t>Structure name is mandatory</t>
  </si>
  <si>
    <t xml:space="preserve">1. Click "New Structure"
2. Leave the name empty
3. Save</t>
  </si>
  <si>
    <t>Logged in as HRMS admin (amit) → Click "New Structure" → Leave the name empty → Save</t>
  </si>
  <si>
    <t>TC-PAY-038</t>
  </si>
  <si>
    <t>Structure without any component is rejected</t>
  </si>
  <si>
    <t xml:space="preserve">1. Click "New Structure"
2. Enter a name
3. Save without adding components</t>
  </si>
  <si>
    <t>Logged in as HRMS admin (amit) → Click "New Structure" → Enter a name → Save without adding components</t>
  </si>
  <si>
    <t>Validation: at least one earning component required</t>
  </si>
  <si>
    <t>TC-PAY-039</t>
  </si>
  <si>
    <t>Duplicate structure name is rejected</t>
  </si>
  <si>
    <t>Structure "Sample Structure" exists</t>
  </si>
  <si>
    <t>Sample Structure</t>
  </si>
  <si>
    <t xml:space="preserve">1. Click "New Structure"
2. Enter name "Sample Structure"
3. Add a component and save</t>
  </si>
  <si>
    <t>Structure "Sample Structure" exists → Click "New Structure" → Enter name "Sample Structure" → Add a component and save</t>
  </si>
  <si>
    <t>Duplicate name message; no second structure</t>
  </si>
  <si>
    <t>TC-PAY-040</t>
  </si>
  <si>
    <t>Structure with two Balancing components is rejected</t>
  </si>
  <si>
    <t xml:space="preserve">1. Create a structure
2. Add two Balancing components
3. Save</t>
  </si>
  <si>
    <t>Logged in as HRMS admin (amit) → Create a structure → Add two Balancing components → Save</t>
  </si>
  <si>
    <t>Validation: only one balancing component allowed</t>
  </si>
  <si>
    <t>TC-PAY-041</t>
  </si>
  <si>
    <t>Calculation</t>
  </si>
  <si>
    <t>Components exceeding CTC make balancing negative</t>
  </si>
  <si>
    <t>Fixed components total more than the test CTC</t>
  </si>
  <si>
    <t>CTC 1,20,000; fixed components 1,50,000/yr</t>
  </si>
  <si>
    <t xml:space="preserve">1. Open the structure preview
2. Enter a CTC lower than the fixed components
3. Preview</t>
  </si>
  <si>
    <t>Fixed components total more than the test CTC → Open the structure preview → Enter a CTC lower than the fixed components → Preview</t>
  </si>
  <si>
    <t>Clear error/warning that components exceed CTC; no negative balancing amount accepted</t>
  </si>
  <si>
    <t>TC-PAY-042</t>
  </si>
  <si>
    <t>ESI is applied only when monthly gross is within the ESI ceiling</t>
  </si>
  <si>
    <t>Structure includes Employee ESI (0.75%) and Employer ESI (3.25%)</t>
  </si>
  <si>
    <t>20,000 / 25,000</t>
  </si>
  <si>
    <t xml:space="preserve">1. Open Payroll &gt; Salary Structures
2. Preview for monthly gross 20,000
3. Preview for monthly gross 25,000</t>
  </si>
  <si>
    <t>Structure includes Employee ESI (0.75%) and Employer ESI (3.25%) → Open Payroll &gt; Salary Structures → Preview for monthly gross 20,000 → Preview for monthly gross 25,000</t>
  </si>
  <si>
    <t>At 20,000: employee ESI 150, employer ESI 650; at 25,000 (above ₹21,000 ceiling) ESI is not deducted</t>
  </si>
  <si>
    <t>TC-PAY-043</t>
  </si>
  <si>
    <t>PF capped at the statutory wage ceiling</t>
  </si>
  <si>
    <t>Statutory Configuration PF wage ceiling 15,000; PF restricted to ceiling</t>
  </si>
  <si>
    <t>Basic 30,000</t>
  </si>
  <si>
    <t xml:space="preserve">1. Open Payroll &gt; Salary Structures
2. Preview a structure with Basic 30,000
3. Read Employee PF and Employer PF</t>
  </si>
  <si>
    <t>Statutory Configuration PF wage ceiling 15,000; PF restricted to ceiling → Open Payroll &gt; Salary Structures → Preview a structure with Basic 30,000 → Read Employee PF and Employer PF</t>
  </si>
  <si>
    <t>Employee PF 1,800 (12% of 15,000); employer split EPS 1,250 / EPF 550 — or 12% of actual Basic if the tenant opts for full wages</t>
  </si>
  <si>
    <t>TC-PAY-044</t>
  </si>
  <si>
    <t>Maintain structure</t>
  </si>
  <si>
    <t>Edit a structure used by employees</t>
  </si>
  <si>
    <t>Structure assigned to at least one employee</t>
  </si>
  <si>
    <t xml:space="preserve">1. Open the structure
2. Change a component amount
3. Save</t>
  </si>
  <si>
    <t>Structure assigned to at least one employee → Open the structure → Change a component amount → Save</t>
  </si>
  <si>
    <t>Change saved as a new version or applies to future periods only; finalised payslips unchanged; user is warned of affected employees</t>
  </si>
  <si>
    <t>TC-PAY-045</t>
  </si>
  <si>
    <t>Delete a structure in use is blocked</t>
  </si>
  <si>
    <t>Structure assigned to an employee</t>
  </si>
  <si>
    <t xml:space="preserve">1. Open Payroll &gt; Salary Structures
2. Try to delete the structure
3. Confirm</t>
  </si>
  <si>
    <t>Structure assigned to an employee → Open Payroll &gt; Salary Structures → Try to delete the structure → Confirm</t>
  </si>
  <si>
    <t>Deletion refused with an "in use" message; structure remains</t>
  </si>
  <si>
    <t>TC-PAY-046</t>
  </si>
  <si>
    <t>Inactive components are not offered when building a structure</t>
  </si>
  <si>
    <t>An inactive component exists</t>
  </si>
  <si>
    <t xml:space="preserve">1. Open Payroll &gt; Salary Structures
2. Click "New Structure"
3. Open the component picker</t>
  </si>
  <si>
    <t>An inactive component exists → Open Payroll &gt; Salary Structures → Click "New Structure" → Open the component picker</t>
  </si>
  <si>
    <t>Inactive component is not listed</t>
  </si>
  <si>
    <t>TC-PAY-047</t>
  </si>
  <si>
    <t>Staff user cannot open /payroll/structures via direct URL</t>
  </si>
  <si>
    <t xml:space="preserve">1. Log in as the Staff employee
2. Paste the URL of /payroll/structures into the address bar
3. Observe the result</t>
  </si>
  <si>
    <t>A Staff-role employee login exists (initial password = employee code) → Log in as the Staff employee → Paste the URL of /payroll/structures into the address bar → Observe the result</t>
  </si>
  <si>
    <t>TC-PAY-048</t>
  </si>
  <si>
    <t>Employee Salary page opens and renders correctly</t>
  </si>
  <si>
    <t>Route /payroll/employee-salary</t>
  </si>
  <si>
    <t xml:space="preserve">1. Open Payroll &gt; Employee Salary from the sidebar
2. Wait for the loading indicator to clear
3. Check the page heading, toolbar buttons and table/cards</t>
  </si>
  <si>
    <t>Logged in as HRMS admin (amit) → Open Payroll &gt; Employee Salary from the sidebar → Wait for the loading indicator to clear → Check the page heading, toolbar buttons and table/cards</t>
  </si>
  <si>
    <t>Page loads without login redirect, 404 or app error; heading "Employee Salary" shown; search "Search name or code…", branch filter (All branches / Main Branch / Kannur), structure filter (All employees / On a structure / No structure yet), page size 10/25/50/100, pagination and "Assign salary" render</t>
  </si>
  <si>
    <t>Linear 065 Employee Salary — page check</t>
  </si>
  <si>
    <t>TC-PAY-049</t>
  </si>
  <si>
    <t>Search employee by name and by code</t>
  </si>
  <si>
    <t xml:space="preserve">1. Open Payroll &gt; Employee Salary
2. Type an employee name in "Search name or code…"
3. Clear and type an employee code (e.g. pbhrms0310)</t>
  </si>
  <si>
    <t>Logged in as HRMS admin (amit) → Open Payroll &gt; Employee Salary → Type an employee name in "Search name or code…" → Clear and type an employee code (e.g. pbhrms0310)</t>
  </si>
  <si>
    <t>Grid filters to the matching employee each time</t>
  </si>
  <si>
    <t>TC-PAY-050</t>
  </si>
  <si>
    <t>Filter by branch</t>
  </si>
  <si>
    <t xml:space="preserve">1. Open Payroll &gt; Employee Salary
2. Select "Kannur" in the branch filter
3. Select "All branches"</t>
  </si>
  <si>
    <t>Logged in as HRMS admin (amit) → Open Payroll &gt; Employee Salary → Select "Kannur" in the branch filter → Select "All branches"</t>
  </si>
  <si>
    <t>Only Kannur employees then all employees are shown</t>
  </si>
  <si>
    <t>TC-PAY-051</t>
  </si>
  <si>
    <t>Filter employees without a structure</t>
  </si>
  <si>
    <t xml:space="preserve">1. Open Payroll &gt; Employee Salary
2. Select "No structure yet"
3. Select "On a structure"</t>
  </si>
  <si>
    <t>Logged in as HRMS admin (amit) → Open Payroll &gt; Employee Salary → Select "No structure yet" → Select "On a structure"</t>
  </si>
  <si>
    <t>Lists respectively only employees with no salary assignment and only employees with one; counts add up to "All employees"</t>
  </si>
  <si>
    <t>TC-PAY-052</t>
  </si>
  <si>
    <t>More than 10 employees</t>
  </si>
  <si>
    <t xml:space="preserve">1. Open Payroll &gt; Employee Salary
2. Set page size 10, click page 2
3. Set page size 50</t>
  </si>
  <si>
    <t>More than 10 employees → Open Payroll &gt; Employee Salary → Set page size 10, click page 2 → Set page size 50</t>
  </si>
  <si>
    <t>Rows per page follow the selection; page buttons 1..n navigate correctly without duplicates</t>
  </si>
  <si>
    <t>TC-PAY-053</t>
  </si>
  <si>
    <t>Assign salary</t>
  </si>
  <si>
    <t>Assign a salary structure with annual CTC</t>
  </si>
  <si>
    <t>Employee without structure; Sample Structure exists</t>
  </si>
  <si>
    <t>Sample Structure; CTC 2,40,000; effective = joining date</t>
  </si>
  <si>
    <t xml:space="preserve">1. Click "Assign salary"
2. Select the employee
3. Select the structure and enter annual CTC
4. Enter effective date ≥ joining date
5. Preview the breakdown
6. Save</t>
  </si>
  <si>
    <t>Employee without structure; Sample Structure exists → Click "Assign salary" → Select the employee → Select the structure and enter annual CTC → Enter effective date ≥ joining date → Preview the breakdown → Save</t>
  </si>
  <si>
    <t>Assignment saved; employee moves to "On a structure"; monthly breakdown matches the preview (₹20,000/month)</t>
  </si>
  <si>
    <t>TC-PAY-054</t>
  </si>
  <si>
    <t>Preview is required before saving</t>
  </si>
  <si>
    <t xml:space="preserve">1. Click "Assign salary"
2. Fill the fields
3. Try Save without Preview</t>
  </si>
  <si>
    <t>Logged in as HRMS admin (amit) → Click "Assign salary" → Fill the fields → Try Save without Preview</t>
  </si>
  <si>
    <t>Save disabled or refused until the breakdown is previewed</t>
  </si>
  <si>
    <t>Module automation owned by teammates (base page checks in linear run). Observed on F&amp;F test 06-Oct: preview required</t>
  </si>
  <si>
    <t>TC-PAY-055</t>
  </si>
  <si>
    <t>Effective date before joining date is rejected</t>
  </si>
  <si>
    <t xml:space="preserve">1. Click "Assign salary"
2. Choose an effective date earlier than the joining date
3. Preview / Save</t>
  </si>
  <si>
    <t>Logged in as HRMS admin (amit) → Click "Assign salary" → Choose an effective date earlier than the joining date → Preview / Save</t>
  </si>
  <si>
    <t>Validation: effective date must be on or after the joining date (min = joining date)</t>
  </si>
  <si>
    <t>TC-PAY-056</t>
  </si>
  <si>
    <t>CTC zero, negative or non-numeric is rejected</t>
  </si>
  <si>
    <t xml:space="preserve">1. Open Payroll &gt; Employee Salary
2. Enter CTC 0, then -5000, then "abc"
3. Preview / Save</t>
  </si>
  <si>
    <t>Logged in as HRMS admin (amit) → Open Payroll &gt; Employee Salary → Enter CTC 0, then -5000, then "abc" → Preview / Save</t>
  </si>
  <si>
    <t>Validation message each time; nothing saved</t>
  </si>
  <si>
    <t>TC-PAY-057</t>
  </si>
  <si>
    <t>Mandatory fields for salary assignment</t>
  </si>
  <si>
    <t xml:space="preserve">1. Click "Assign salary"
2. Leave employee, structure, CTC or effective date empty one at a time
3. Save</t>
  </si>
  <si>
    <t>Logged in as HRMS admin (amit) → Click "Assign salary" → Leave employee, structure, CTC or effective date empty one at a time → Save</t>
  </si>
  <si>
    <t>Each missing field is reported; nothing saved</t>
  </si>
  <si>
    <t>TC-PAY-058</t>
  </si>
  <si>
    <t>Overlapping second assignment for the same dates is prevented</t>
  </si>
  <si>
    <t>Employee already on a structure</t>
  </si>
  <si>
    <t xml:space="preserve">1. Open Payroll &gt; Employee Salary
2. Assign another structure with the same effective date
3. Save</t>
  </si>
  <si>
    <t>Employee already on a structure → Open Payroll &gt; Employee Salary → Assign another structure with the same effective date → Save</t>
  </si>
  <si>
    <t>Refused or the old assignment is end-dated the day before the new one (no overlap); history shows both</t>
  </si>
  <si>
    <t>TC-PAY-059</t>
  </si>
  <si>
    <t>Professional Tax applied per state slab</t>
  </si>
  <si>
    <t>PT configured for the employee branch state</t>
  </si>
  <si>
    <t xml:space="preserve">1. Open Payroll &gt; Employee Salary
2. Assign a CTC in a taxable PT slab
3. Preview monthly deductions</t>
  </si>
  <si>
    <t>PT configured for the employee branch state → Open Payroll &gt; Employee Salary → Assign a CTC in a taxable PT slab → Preview monthly deductions</t>
  </si>
  <si>
    <t>PT amount equals the configured slab for the monthly gross (e.g. Karnataka ₹200 above ₹25,000); none below the threshold</t>
  </si>
  <si>
    <t>TC-PAY-060</t>
  </si>
  <si>
    <t>View salary</t>
  </si>
  <si>
    <t>View the employee salary breakdown and history</t>
  </si>
  <si>
    <t>Employee on a structure</t>
  </si>
  <si>
    <t xml:space="preserve">1. Open Payroll &gt; Employee Salary
2. Open the employee row
3. Observe the result and compare with the expected outcome</t>
  </si>
  <si>
    <t>Employee on a structure → Open Payroll &gt; Employee Salary → Open the employee row → Observe the result and compare with the expected outcome</t>
  </si>
  <si>
    <t>Shows structure, CTC, effective date, monthly earnings/deductions/employer contributions and revision history</t>
  </si>
  <si>
    <t>TC-PAY-061</t>
  </si>
  <si>
    <t>Employee without a structure is excluded from payroll and F&amp;F</t>
  </si>
  <si>
    <t>Employee with "No structure yet"</t>
  </si>
  <si>
    <t xml:space="preserve">1. Open Payroll &gt; Employee Salary
2. Preview a payroll run including the employee
3. Open their F&amp;F</t>
  </si>
  <si>
    <t>Employee with "No structure yet" → Open Payroll &gt; Employee Salary → Preview a payroll run including the employee → Open their F&amp;F</t>
  </si>
  <si>
    <t>Run flags the employee as missing salary; F&amp;F shows the clear "no salary structure" message</t>
  </si>
  <si>
    <t>TC-PAY-062</t>
  </si>
  <si>
    <t>Staff user cannot open /payroll/employee-salary via direct URL</t>
  </si>
  <si>
    <t xml:space="preserve">1. Log in as the Staff employee
2. Paste the URL of /payroll/employee-salary into the address bar
3. Observe the result</t>
  </si>
  <si>
    <t>A Staff-role employee login exists (initial password = employee code) → Log in as the Staff employee → Paste the URL of /payroll/employee-salary into the address bar → Observe the result</t>
  </si>
  <si>
    <t>TC-PAY-063</t>
  </si>
  <si>
    <t>Salary Revisions page opens and renders correctly</t>
  </si>
  <si>
    <t>Route /payroll/salary-revisions</t>
  </si>
  <si>
    <t xml:space="preserve">1. Open Payroll &gt; Salary Revisions from the sidebar
2. Wait for the loading indicator to clear
3. Check the page heading, toolbar buttons and table/cards</t>
  </si>
  <si>
    <t>Logged in as HRMS admin (amit) → Open Payroll &gt; Salary Revisions from the sidebar → Wait for the loading indicator to clear → Check the page heading, toolbar buttons and table/cards</t>
  </si>
  <si>
    <t>Page loads without login redirect, 404 or app error; heading "Salary Revisions" shown; left card "Raise a Revision" (Branch, Employee, New Gross, Effective Date, Reason, Raise Revision) and right card "Revision History" (Employee, Branch, Effective, Old, New, %, Status) render</t>
  </si>
  <si>
    <t>Linear 066 Salary Revisions — page check</t>
  </si>
  <si>
    <t>TC-PAY-064</t>
  </si>
  <si>
    <t>Raise revision</t>
  </si>
  <si>
    <t>Current package is looked up on employee select</t>
  </si>
  <si>
    <t>Employee with an active salary package</t>
  </si>
  <si>
    <t xml:space="preserve">1. Select Branch
2. Select Employee
3. Read the blue info box</t>
  </si>
  <si>
    <t>Employee with an active salary package → Select Branch → Select Employee → Read the blue info box</t>
  </si>
  <si>
    <t>Current gross is shown; no open-revision warning; employee list only contains the chosen branch</t>
  </si>
  <si>
    <t>FR-SR-01</t>
  </si>
  <si>
    <t>TC-PAY-065</t>
  </si>
  <si>
    <t>Employee with no package still loads</t>
  </si>
  <si>
    <t>Employee without a package</t>
  </si>
  <si>
    <t xml:space="preserve">1. Open Payroll &gt; Salary Revisions
2. Select Branch
3. Select that Employee</t>
  </si>
  <si>
    <t>Employee without a package → Open Payroll &gt; Salary Revisions → Select Branch → Select that Employee</t>
  </si>
  <si>
    <t>Name/branch load; current gross 0 / no package; % helper shows no percentage</t>
  </si>
  <si>
    <t>FR-SR-01, FR-SR-06</t>
  </si>
  <si>
    <t>TC-PAY-066</t>
  </si>
  <si>
    <t>Raise an increase with live % preview</t>
  </si>
  <si>
    <t>Employee current gross 20,000; zero-level (Direct) Salary Revision workflow</t>
  </si>
  <si>
    <t>New Gross 22,000; Reason: Annual increment</t>
  </si>
  <si>
    <t xml:space="preserve">1. Select Branch and Employee
2. Enter New Gross 22,000
3. Check "Change: X%"
4. Set Effective Date and Reason
5. Click "Raise Revision"</t>
  </si>
  <si>
    <t>Employee current gross 20,000; zero-level (Direct) Salary Revision workflow → Select Branch and Employee → Enter New Gross 22,000 → Check "Change: X%" → Set Effective Date and Reason → Click "Raise Revision"</t>
  </si>
  <si>
    <t>Helper shows Change: 10%; message "Salary revision applied"; history row Old 20,000 New 22,000 % 10.00 Status Approved; form resets</t>
  </si>
  <si>
    <t>FR-SR-02, FR-SR-08</t>
  </si>
  <si>
    <t>TC-PAY-067</t>
  </si>
  <si>
    <t>Raise with an approval workflow configured</t>
  </si>
  <si>
    <t>Salary Revision workflow with ≥1 level in /approval/config</t>
  </si>
  <si>
    <t xml:space="preserve">1. Raise a revision
2. Read the message
3. Open /approvals as the approver</t>
  </si>
  <si>
    <t>Salary Revision workflow with ≥1 level in /approval/config → Raise a revision → Read the message → Open /approvals as the approver</t>
  </si>
  <si>
    <t>Message "Salary revision raised and sent for approval"; status Pending; approver sees employee, current gross, proposed gross, increase %, effective date, reason in Details</t>
  </si>
  <si>
    <t>FR-SR-07, FR-AP-30</t>
  </si>
  <si>
    <t>TC-PAY-068</t>
  </si>
  <si>
    <t>Mandatory fields Employee, New Gross, Effective Date, Reason</t>
  </si>
  <si>
    <t xml:space="preserve">1. Open Payroll &gt; Salary Revisions
2. Leave each mandatory field empty in turn
3. Click "Raise Revision"</t>
  </si>
  <si>
    <t>Logged in as HRMS admin (amit) → Open Payroll &gt; Salary Revisions → Leave each mandatory field empty in turn → Click "Raise Revision"</t>
  </si>
  <si>
    <t>Inline validation for each missing field before any round trip; nothing saved</t>
  </si>
  <si>
    <t>FR-SR-03</t>
  </si>
  <si>
    <t>TC-PAY-069</t>
  </si>
  <si>
    <t>New Gross must be greater than zero</t>
  </si>
  <si>
    <t xml:space="preserve">1. Open Payroll &gt; Salary Revisions
2. Enter New Gross 0, then -1000
3. Click "Raise Revision"</t>
  </si>
  <si>
    <t>Logged in as HRMS admin (amit) → Open Payroll &gt; Salary Revisions → Enter New Gross 0, then -1000 → Click "Raise Revision"</t>
  </si>
  <si>
    <t>Rejected: New Gross must be greater than zero</t>
  </si>
  <si>
    <t>TC-PAY-070</t>
  </si>
  <si>
    <t>New Gross equal to current gross is rejected</t>
  </si>
  <si>
    <t>Current gross 20,000</t>
  </si>
  <si>
    <t xml:space="preserve">1. Open Payroll &gt; Salary Revisions
2. Enter New Gross 20,000
3. Click "Raise Revision"</t>
  </si>
  <si>
    <t>Current gross 20,000 → Open Payroll &gt; Salary Revisions → Enter New Gross 20,000 → Click "Raise Revision"</t>
  </si>
  <si>
    <t>Message "New gross must differ from the current gross"</t>
  </si>
  <si>
    <t>FR-SR-05</t>
  </si>
  <si>
    <t>TC-PAY-071</t>
  </si>
  <si>
    <t>Decrease in gross is allowed</t>
  </si>
  <si>
    <t>Current gross 22,000</t>
  </si>
  <si>
    <t xml:space="preserve">1. Open Payroll &gt; Salary Revisions
2. Enter New Gross 21,000 with reason
3. Click "Raise Revision"</t>
  </si>
  <si>
    <t>Current gross 22,000 → Open Payroll &gt; Salary Revisions → Enter New Gross 21,000 with reason → Click "Raise Revision"</t>
  </si>
  <si>
    <t>Accepted; % shows −4.55</t>
  </si>
  <si>
    <t>TC-PAY-072</t>
  </si>
  <si>
    <t>Only one open revision per employee</t>
  </si>
  <si>
    <t>Employee has a Pending revision</t>
  </si>
  <si>
    <t xml:space="preserve">1. Open Payroll &gt; Salary Revisions
2. Select the employee
3. Observe the result and compare with the expected outcome</t>
  </si>
  <si>
    <t>Employee has a Pending revision → Open Payroll &gt; Salary Revisions → Select the employee → Observe the result and compare with the expected outcome</t>
  </si>
  <si>
    <t>Info box shows open-revision warning; "Raise Revision" disabled; server also refuses: "An open salary revision already exists for this employee"</t>
  </si>
  <si>
    <t>FR-SR-04</t>
  </si>
  <si>
    <t>TC-PAY-073</t>
  </si>
  <si>
    <t>Approval scales components and continues package</t>
  </si>
  <si>
    <t>Pending revision old 20,000 → new 22,000; package Basic 10,000, HRA 5,000</t>
  </si>
  <si>
    <t xml:space="preserve">1. Approve the final level in /approvals
2. Open Employee Salary for the employee
3. Open employee profile &gt; Employment History</t>
  </si>
  <si>
    <t>Pending revision old 20,000 → new 22,000; package Basic 10,000, HRA 5,000 → Approve the final level in /approvals → Open Employee Salary for the employee → Open employee profile &gt; Employment History</t>
  </si>
  <si>
    <t>Old package end-dated to effective date − 1 and inactive; new package from effective date with Basic 11,000, HRA 5,500 (×1.1, 2 dp), gross = net = 22,000; timeline "Salary Revised 20,000 → 22,000" with reason</t>
  </si>
  <si>
    <t>FR-SR-09, 12, 13, 14</t>
  </si>
  <si>
    <t>TC-PAY-074</t>
  </si>
  <si>
    <t>Rejection changes no pay</t>
  </si>
  <si>
    <t>Pending revision</t>
  </si>
  <si>
    <t xml:space="preserve">1. Open Payroll &gt; Salary Revisions
2. Reject it in /approvals with a reason
3. Check history and Employee Salary</t>
  </si>
  <si>
    <t>Pending revision → Open Payroll &gt; Salary Revisions → Reject it in /approvals with a reason → Check history and Employee Salary</t>
  </si>
  <si>
    <t>Status Rejected; no new package; requester notified "Your Salary Revision was rejected. Reason: …"</t>
  </si>
  <si>
    <t>FR-SR-11</t>
  </si>
  <si>
    <t>TC-PAY-075</t>
  </si>
  <si>
    <t>Arrears</t>
  </si>
  <si>
    <t>Back-dated revision produces arrears in the next payroll run</t>
  </si>
  <si>
    <t>Revision effective two months back, approved after those months were paid</t>
  </si>
  <si>
    <t>Effective 01-Aug; approved 05-Oct; +2,000/month</t>
  </si>
  <si>
    <t xml:space="preserve">1. Open Payroll &gt; Salary Revisions
2. Create/preview the next payroll run
3. Open the employee payslip preview</t>
  </si>
  <si>
    <t>Revision effective two months back, approved after those months were paid → Open Payroll &gt; Salary Revisions → Create/preview the next payroll run → Open the employee payslip preview</t>
  </si>
  <si>
    <t>Arrears earning = difference × elapsed months (₹4,000 for Aug–Sep), shown separately, taxed in the month paid; ArrearsPaid flag prevents paying twice</t>
  </si>
  <si>
    <t>Module automation owned by teammates (base page checks in linear run). SRS notes arrears calculation is Payroll's job; verify Payroll implements it</t>
  </si>
  <si>
    <t>FR-SR scope note</t>
  </si>
  <si>
    <t>TC-PAY-076</t>
  </si>
  <si>
    <t>History</t>
  </si>
  <si>
    <t>Revision History lists newest first with right-aligned money</t>
  </si>
  <si>
    <t>Several revisions exist</t>
  </si>
  <si>
    <t xml:space="preserve">1. Open Payroll &gt; Salary Revisions
2. Open the page
3. Read the grid</t>
  </si>
  <si>
    <t>Several revisions exist → Open Payroll &gt; Salary Revisions → Open the page → Read the grid</t>
  </si>
  <si>
    <t>Newest raised first; Old/New/% right aligned; status badges coloured; empty tenant shows "No revisions yet."; latest 50 shown</t>
  </si>
  <si>
    <t>FR-SR-15</t>
  </si>
  <si>
    <t>TC-PAY-077</t>
  </si>
  <si>
    <t>Edit/delete</t>
  </si>
  <si>
    <t>No edit, cancel or delete actions on a revision</t>
  </si>
  <si>
    <t>A revision exists</t>
  </si>
  <si>
    <t xml:space="preserve">1. Open Payroll &gt; Salary Revisions
2. Look for row actions on the history grid
3. Observe the result and compare with the expected outcome</t>
  </si>
  <si>
    <t>A revision exists → Open Payroll &gt; Salary Revisions → Look for row actions on the history grid → Observe the result and compare with the expected outcome</t>
  </si>
  <si>
    <t>No edit/cancel/delete/approve controls (by design); approvals only in /approvals</t>
  </si>
  <si>
    <t>SRS §3.2</t>
  </si>
  <si>
    <t>TC-PAY-078</t>
  </si>
  <si>
    <t>Employee sees only own approved revisions</t>
  </si>
  <si>
    <t>Employee with one approved and one rejected revision</t>
  </si>
  <si>
    <t xml:space="preserve">1. Log in as the employee
2. Open the salary history in ESS profile / My Workspace &gt; Pay
3. Observe the result and compare with the expected outcome</t>
  </si>
  <si>
    <t>Employee with one approved and one rejected revision → Log in as the employee → Open the salary history in ESS profile / My Workspace &gt; Pay → Observe the result and compare with the expected outcome</t>
  </si>
  <si>
    <t>Only the approved revision is listed; other employees not visible</t>
  </si>
  <si>
    <t>FR-SR-16</t>
  </si>
  <si>
    <t>TC-PAY-079</t>
  </si>
  <si>
    <t>Branch scope limits the employee list</t>
  </si>
  <si>
    <t>User with access to Main Branch only</t>
  </si>
  <si>
    <t xml:space="preserve">1. Open Payroll &gt; Salary Revisions
2. Open the page
3. Open the Branch dropdown</t>
  </si>
  <si>
    <t>User with access to Main Branch only → Open Payroll &gt; Salary Revisions → Open the page → Open the Branch dropdown</t>
  </si>
  <si>
    <t>Only accessible branches offered; employees outside branch access cannot be selected</t>
  </si>
  <si>
    <t>TC-PAY-080</t>
  </si>
  <si>
    <t>Salary Advances page opens and renders correctly</t>
  </si>
  <si>
    <t>Route /payroll/salary-advance</t>
  </si>
  <si>
    <t xml:space="preserve">1. Open Payroll &gt; Salary Advances from the sidebar
2. Wait for the loading indicator to clear
3. Check the page heading, toolbar buttons and table/cards</t>
  </si>
  <si>
    <t>Logged in as HRMS admin (amit) → Open Payroll &gt; Salary Advances from the sidebar → Wait for the loading indicator to clear → Check the page heading, toolbar buttons and table/cards</t>
  </si>
  <si>
    <t>Page loads without login redirect, 404 or app error; heading "Salary Advances" shown; advance list with status and the add/request action render</t>
  </si>
  <si>
    <t>Linear 067 Salary Advances — page check</t>
  </si>
  <si>
    <t>TC-PAY-081</t>
  </si>
  <si>
    <t>Create advance</t>
  </si>
  <si>
    <t>Record a salary advance with monthly recovery</t>
  </si>
  <si>
    <t>Amount 30,000; 3 instalments from next month</t>
  </si>
  <si>
    <t xml:space="preserve">1. Click the add action
2. Select the employee
3. Enter amount, recovery start month and number of instalments
4. Enter reason
5. Save</t>
  </si>
  <si>
    <t>Employee on a structure → Click the add action → Select the employee → Enter amount, recovery start month and number of instalments → Enter reason → Save</t>
  </si>
  <si>
    <t>Advance saved (Pending if Salary Advance approval is configured); schedule shows 3 × 10,000</t>
  </si>
  <si>
    <t>TC-PAY-082</t>
  </si>
  <si>
    <t>Advance amount zero/negative or missing employee is rejected</t>
  </si>
  <si>
    <t xml:space="preserve">1. Open Payroll &gt; Salary Advances
2. Leave employee empty / enter amount 0 / -500
3. Save</t>
  </si>
  <si>
    <t>Logged in as HRMS admin (amit) → Open Payroll &gt; Salary Advances → Leave employee empty / enter amount 0 / -500 → Save</t>
  </si>
  <si>
    <t>TC-PAY-083</t>
  </si>
  <si>
    <t>Instalment count of zero or recovery start in a finalised month is rejected</t>
  </si>
  <si>
    <t xml:space="preserve">1. Enter 0 instalments
2. Then a start month already finalised
3. Save</t>
  </si>
  <si>
    <t>Logged in as HRMS admin (amit) → Enter 0 instalments → Then a start month already finalised → Save</t>
  </si>
  <si>
    <t>Rejected with clear message</t>
  </si>
  <si>
    <t>TC-PAY-084</t>
  </si>
  <si>
    <t>Advance exceeding the allowed limit is refused</t>
  </si>
  <si>
    <t>Limit (e.g. multiple of monthly net) configured</t>
  </si>
  <si>
    <t xml:space="preserve">1. Open Payroll &gt; Salary Advances
2. Enter an amount above the limit
3. Save</t>
  </si>
  <si>
    <t>Limit (e.g. multiple of monthly net) configured → Open Payroll &gt; Salary Advances → Enter an amount above the limit → Save</t>
  </si>
  <si>
    <t>Refused with the limit shown</t>
  </si>
  <si>
    <t>TC-PAY-085</t>
  </si>
  <si>
    <t>Salary Advance routes through the Approval Engine</t>
  </si>
  <si>
    <t>Salary Advance workflow with one level</t>
  </si>
  <si>
    <t xml:space="preserve">1. Open Payroll &gt; Salary Advances
2. Create an advance
3. Approve it in /approvals</t>
  </si>
  <si>
    <t>Salary Advance workflow with one level → Open Payroll &gt; Salary Advances → Create an advance → Approve it in /approvals</t>
  </si>
  <si>
    <t>Pending → Approved; only approved advances are disbursed/recovered</t>
  </si>
  <si>
    <t>TC-PAY-086</t>
  </si>
  <si>
    <t>Recovery</t>
  </si>
  <si>
    <t>Instalment is deducted in the payroll run</t>
  </si>
  <si>
    <t>Approved advance recovering 10,000 this month</t>
  </si>
  <si>
    <t xml:space="preserve">1. Open Payroll &gt; Salary Advances
2. Preview the payroll run
3. Open the payslip preview</t>
  </si>
  <si>
    <t>Approved advance recovering 10,000 this month → Open Payroll &gt; Salary Advances → Preview the payroll run → Open the payslip preview</t>
  </si>
  <si>
    <t>Deduction "Salary Advance Recovery 10,000"; outstanding balance reduces to 20,000 after finalisation</t>
  </si>
  <si>
    <t>TC-PAY-087</t>
  </si>
  <si>
    <t>Outstanding advance flows to F&amp;F on exit</t>
  </si>
  <si>
    <t>Employee with an outstanding advance initiates exit</t>
  </si>
  <si>
    <t xml:space="preserve">1. Open Payroll &gt; Salary Advances
2. Open the employee F&amp;F
3. Check recoveries</t>
  </si>
  <si>
    <t>Employee with an outstanding advance initiates exit → Open Payroll &gt; Salary Advances → Open the employee F&amp;F → Check recoveries</t>
  </si>
  <si>
    <t>Outstanding balance listed as a recovery in F&amp;F / Settlement Recoveries</t>
  </si>
  <si>
    <t>TC-PAY-088</t>
  </si>
  <si>
    <t>Maintain</t>
  </si>
  <si>
    <t>Edit or cancel an advance before recovery starts</t>
  </si>
  <si>
    <t>Pending advance</t>
  </si>
  <si>
    <t xml:space="preserve">1. Open Payroll &gt; Salary Advances
2. Edit the amount
3. Then cancel the advance with confirmation</t>
  </si>
  <si>
    <t>Pending advance → Open Payroll &gt; Salary Advances → Edit the amount → Then cancel the advance with confirmation</t>
  </si>
  <si>
    <t>Changes saved; cancel asks for confirmation and status becomes Cancelled</t>
  </si>
  <si>
    <t>TC-PAY-089</t>
  </si>
  <si>
    <t>Staff user cannot open /payroll/salary-advance via direct URL</t>
  </si>
  <si>
    <t xml:space="preserve">1. Log in as the Staff employee
2. Paste the URL of /payroll/salary-advance into the address bar
3. Observe the result</t>
  </si>
  <si>
    <t>A Staff-role employee login exists (initial password = employee code) → Log in as the Staff employee → Paste the URL of /payroll/salary-advance into the address bar → Observe the result</t>
  </si>
  <si>
    <t>TC-PAY-090</t>
  </si>
  <si>
    <t>Reimbursements page opens and renders correctly</t>
  </si>
  <si>
    <t>Route /payroll/adhoc</t>
  </si>
  <si>
    <t xml:space="preserve">1. Open Payroll &gt; Reimbursements from the sidebar
2. Wait for the loading indicator to clear
3. Check the page heading, toolbar buttons and table/cards</t>
  </si>
  <si>
    <t>Logged in as HRMS admin (amit) → Open Payroll &gt; Reimbursements from the sidebar → Wait for the loading indicator to clear → Check the page heading, toolbar buttons and table/cards</t>
  </si>
  <si>
    <t>Page loads without login redirect, 404 or app error; heading "Reimbursements" shown; ad-hoc payment/reimbursement list and add action render</t>
  </si>
  <si>
    <t>Linear 068 Reimbursements — page check</t>
  </si>
  <si>
    <t>TC-PAY-091</t>
  </si>
  <si>
    <t>Add a reimbursement for an employee in a payroll month</t>
  </si>
  <si>
    <t>Amount 2,500; Remarks: Fuel bills Sep (Auto DD-Mon HH.MM.SS)</t>
  </si>
  <si>
    <t xml:space="preserve">1. Click the add action
2. Select employee, month, component (e.g. Medical / Fuel reimbursement)
3. Enter amount and remarks
4. Save</t>
  </si>
  <si>
    <t>Employee on a structure → Click the add action → Select employee, month, component (e.g. Medical / Fuel reimbursement) → Enter amount and remarks → Save</t>
  </si>
  <si>
    <t>Record saved (Pending if Payroll Adhoc approval configured); listed with month and amount</t>
  </si>
  <si>
    <t>TC-PAY-092</t>
  </si>
  <si>
    <t>Add an ad-hoc one-time deduction</t>
  </si>
  <si>
    <t>Amount 750</t>
  </si>
  <si>
    <t xml:space="preserve">1. Open Payroll &gt; Reimbursements
2. Add a record with a Deduction component
3. Save</t>
  </si>
  <si>
    <t>Logged in as HRMS admin (amit) → Open Payroll &gt; Reimbursements → Add a record with a Deduction component → Save</t>
  </si>
  <si>
    <t>Saved; appears under deductions in that month payroll preview</t>
  </si>
  <si>
    <t>TC-PAY-093</t>
  </si>
  <si>
    <t>Mandatory employee, month, component and amount</t>
  </si>
  <si>
    <t xml:space="preserve">1. Open Payroll &gt; Reimbursements
2. Leave each field empty in turn
3. Save</t>
  </si>
  <si>
    <t>Logged in as HRMS admin (amit) → Open Payroll &gt; Reimbursements → Leave each field empty in turn → Save</t>
  </si>
  <si>
    <t>Validation message per field</t>
  </si>
  <si>
    <t>TC-PAY-094</t>
  </si>
  <si>
    <t>Negative / zero amount rejected</t>
  </si>
  <si>
    <t xml:space="preserve">1. Open Payroll &gt; Reimbursements
2. Enter -100 and 0
3. Save</t>
  </si>
  <si>
    <t>Logged in as HRMS admin (amit) → Open Payroll &gt; Reimbursements → Enter -100 and 0 → Save</t>
  </si>
  <si>
    <t>TC-PAY-095</t>
  </si>
  <si>
    <t>Month already finalised is not accepted</t>
  </si>
  <si>
    <t>A finalised payroll month</t>
  </si>
  <si>
    <t xml:space="preserve">1. Open Payroll &gt; Reimbursements
2. Choose that month
3. Save</t>
  </si>
  <si>
    <t>A finalised payroll month → Open Payroll &gt; Reimbursements → Choose that month → Save</t>
  </si>
  <si>
    <t>Refused; must use Off-Cycle Payments or next month</t>
  </si>
  <si>
    <t>TC-PAY-096</t>
  </si>
  <si>
    <t>Payroll Adhoc approval</t>
  </si>
  <si>
    <t>Payroll Adhoc workflow configured</t>
  </si>
  <si>
    <t xml:space="preserve">1. Open Payroll &gt; Reimbursements
2. Create a reimbursement
3. Approve in /approvals</t>
  </si>
  <si>
    <t>Payroll Adhoc workflow configured → Open Payroll &gt; Reimbursements → Create a reimbursement → Approve in /approvals</t>
  </si>
  <si>
    <t>Only approved items are picked into the payroll run</t>
  </si>
  <si>
    <t>TC-PAY-097</t>
  </si>
  <si>
    <t>Taxable reimbursement adds to taxable income</t>
  </si>
  <si>
    <t>Component flagged Taxable</t>
  </si>
  <si>
    <t xml:space="preserve">1. Open Payroll &gt; Reimbursements
2. Add the reimbursement
3. Preview TDS in the run</t>
  </si>
  <si>
    <t>Component flagged Taxable → Open Payroll &gt; Reimbursements → Add the reimbursement → Preview TDS in the run</t>
  </si>
  <si>
    <t>TDS projection increases accordingly; non-taxable reimbursement does not change TDS</t>
  </si>
  <si>
    <t>TC-PAY-098</t>
  </si>
  <si>
    <t>Delete a reimbursement before the run with confirmation</t>
  </si>
  <si>
    <t>Unprocessed item</t>
  </si>
  <si>
    <t xml:space="preserve">1. Open Payroll &gt; Reimbursements
2. Click delete
3. Confirm</t>
  </si>
  <si>
    <t>Unprocessed item → Open Payroll &gt; Reimbursements → Click delete → Confirm</t>
  </si>
  <si>
    <t>Confirmation shown; item removed and not in the run</t>
  </si>
  <si>
    <t>TC-PAY-099</t>
  </si>
  <si>
    <t>Opening Balances page opens and renders correctly</t>
  </si>
  <si>
    <t>Route /payroll/opening-balances</t>
  </si>
  <si>
    <t xml:space="preserve">1. Open Payroll &gt; Opening Balances from the sidebar
2. Wait for the loading indicator to clear
3. Check the page heading, toolbar buttons and table/cards</t>
  </si>
  <si>
    <t>Logged in as HRMS admin (amit) → Open Payroll &gt; Opening Balances from the sidebar → Wait for the loading indicator to clear → Check the page heading, toolbar buttons and table/cards</t>
  </si>
  <si>
    <t>Page loads without login redirect, 404 or app error; heading "Opening Balances" shown; opening balance list (employee, financial year, YTD figures) and add/import action render</t>
  </si>
  <si>
    <t>Linear 069 Opening Balances — page check</t>
  </si>
  <si>
    <t>TC-PAY-100</t>
  </si>
  <si>
    <t>Enter YTD opening balances for a mid-year go-live</t>
  </si>
  <si>
    <t>Payroll go-live mid financial year</t>
  </si>
  <si>
    <t>Gross 3,00,000; TDS 12,000; PF 10,800</t>
  </si>
  <si>
    <t xml:space="preserve">1. Click add
2. Select employee and financial year
3. Enter YTD gross, PF, PT and TDS deducted
4. Save</t>
  </si>
  <si>
    <t>Payroll go-live mid financial year → Click add → Select employee and financial year → Enter YTD gross, PF, PT and TDS deducted → Save</t>
  </si>
  <si>
    <t>Saved; balances listed and used in TDS projection and Form 16</t>
  </si>
  <si>
    <t>TC-PAY-101</t>
  </si>
  <si>
    <t>Negative YTD values rejected</t>
  </si>
  <si>
    <t xml:space="preserve">1. Open Payroll &gt; Opening Balances
2. Enter -1 in YTD gross / TDS
3. Save</t>
  </si>
  <si>
    <t>Logged in as HRMS admin (amit) → Open Payroll &gt; Opening Balances → Enter -1 in YTD gross / TDS → Save</t>
  </si>
  <si>
    <t>TC-PAY-102</t>
  </si>
  <si>
    <t>Duplicate opening balance for same employee and year</t>
  </si>
  <si>
    <t>Balance exists</t>
  </si>
  <si>
    <t xml:space="preserve">1. Open Payroll &gt; Opening Balances
2. Add another for same employee/year
3. Save</t>
  </si>
  <si>
    <t>Balance exists → Open Payroll &gt; Opening Balances → Add another for same employee/year → Save</t>
  </si>
  <si>
    <t>Refused or prompts to edit the existing record</t>
  </si>
  <si>
    <t>TC-PAY-103</t>
  </si>
  <si>
    <t>Opening TDS reduces remaining monthly TDS</t>
  </si>
  <si>
    <t>Opening TDS 12,000 entered</t>
  </si>
  <si>
    <t xml:space="preserve">1. Open Payroll &gt; Opening Balances
2. Preview the next payroll run
3. Compare TDS with/without opening balance</t>
  </si>
  <si>
    <t>Opening TDS 12,000 entered → Open Payroll &gt; Opening Balances → Preview the next payroll run → Compare TDS with/without opening balance</t>
  </si>
  <si>
    <t>Monthly TDS = (annual tax − TDS already deducted) ÷ remaining months</t>
  </si>
  <si>
    <t>TC-PAY-104</t>
  </si>
  <si>
    <t>Opening balances locked after the first run of the year is finalised</t>
  </si>
  <si>
    <t>First run finalised</t>
  </si>
  <si>
    <t xml:space="preserve">1. Open Payroll &gt; Opening Balances
2. Try to edit an opening balance
3. Observe the result and compare with the expected outcome</t>
  </si>
  <si>
    <t>First run finalised → Open Payroll &gt; Opening Balances → Try to edit an opening balance → Observe the result and compare with the expected outcome</t>
  </si>
  <si>
    <t>Edit blocked or warned (affects finalised figures)</t>
  </si>
  <si>
    <t>TC-PAY-105</t>
  </si>
  <si>
    <t>Bulk import opening balances from a template</t>
  </si>
  <si>
    <t>Import option present</t>
  </si>
  <si>
    <t xml:space="preserve">1. Download template
2. Fill 2 rows, one invalid
3. Upload</t>
  </si>
  <si>
    <t>Import option present → Download template → Fill 2 rows, one invalid → Upload</t>
  </si>
  <si>
    <t>Valid row imported; invalid row reported with reason</t>
  </si>
  <si>
    <t>TC-PAY-106</t>
  </si>
  <si>
    <t>Consultant Invoices page opens and renders correctly</t>
  </si>
  <si>
    <t>Route /payroll/consultant-invoices</t>
  </si>
  <si>
    <t xml:space="preserve">1. Open Payroll &gt; Consultant Invoices from the sidebar
2. Wait for the loading indicator to clear
3. Check the page heading, toolbar buttons and table/cards</t>
  </si>
  <si>
    <t>Logged in as HRMS admin (amit) → Open Payroll &gt; Consultant Invoices from the sidebar → Wait for the loading indicator to clear → Check the page heading, toolbar buttons and table/cards</t>
  </si>
  <si>
    <t>Page loads without login redirect, 404 or app error; heading "Consultant Invoices" shown; consultant invoice list and add action render</t>
  </si>
  <si>
    <t>Linear 070 Consultant Invoices — page check</t>
  </si>
  <si>
    <t>TC-PAY-107</t>
  </si>
  <si>
    <t>Record a consultant invoice with TDS 194J</t>
  </si>
  <si>
    <t>Consultant (non-employee) and TDS section 194J exist</t>
  </si>
  <si>
    <t>Invoice INV-QA-001; amount 50,000</t>
  </si>
  <si>
    <t xml:space="preserve">1. Click add
2. Select consultant, invoice number, date, period and amount
3. Select TDS section 194J
4. Save</t>
  </si>
  <si>
    <t>Consultant (non-employee) and TDS section 194J exist → Click add → Select consultant, invoice number, date, period and amount → Select TDS section 194J → Save</t>
  </si>
  <si>
    <t>Saved; TDS computed at the section rate (10% = 5,000) and net payable 45,000</t>
  </si>
  <si>
    <t>TC-PAY-108</t>
  </si>
  <si>
    <t>Mandatory consultant, invoice no, date, amount</t>
  </si>
  <si>
    <t xml:space="preserve">1. Open Payroll &gt; Consultant Invoices
2. Leave each empty
3. Save</t>
  </si>
  <si>
    <t>Logged in as HRMS admin (amit) → Open Payroll &gt; Consultant Invoices → Leave each empty → Save</t>
  </si>
  <si>
    <t>TC-PAY-109</t>
  </si>
  <si>
    <t>Duplicate invoice number for the same consultant</t>
  </si>
  <si>
    <t>INV-QA-001 exists</t>
  </si>
  <si>
    <t xml:space="preserve">1. Open Payroll &gt; Consultant Invoices
2. Add again with same number
3. Save</t>
  </si>
  <si>
    <t>INV-QA-001 exists → Open Payroll &gt; Consultant Invoices → Add again with same number → Save</t>
  </si>
  <si>
    <t>Refused as duplicate</t>
  </si>
  <si>
    <t>TC-PAY-110</t>
  </si>
  <si>
    <t>Future invoice date / zero amount</t>
  </si>
  <si>
    <t xml:space="preserve">1. Open Payroll &gt; Consultant Invoices
2. Enter a future date and amount 0
3. Save</t>
  </si>
  <si>
    <t>Logged in as HRMS admin (amit) → Open Payroll &gt; Consultant Invoices → Enter a future date and amount 0 → Save</t>
  </si>
  <si>
    <t>Rejected or warned</t>
  </si>
  <si>
    <t>TC-PAY-111</t>
  </si>
  <si>
    <t>TDS threshold</t>
  </si>
  <si>
    <t>TDS not deducted below section threshold</t>
  </si>
  <si>
    <t>194J threshold configured</t>
  </si>
  <si>
    <t xml:space="preserve">1. Open Payroll &gt; Consultant Invoices
2. Record small invoices totalling below the annual threshold
3. Observe the result and compare with the expected outcome</t>
  </si>
  <si>
    <t>194J threshold configured → Open Payroll &gt; Consultant Invoices → Record small invoices totalling below the annual threshold → Observe the result and compare with the expected outcome</t>
  </si>
  <si>
    <t>TDS 0 until cumulative crosses the threshold, then applied as configured</t>
  </si>
  <si>
    <t>TC-PAY-112</t>
  </si>
  <si>
    <t>Invoice approve and move to payout advice</t>
  </si>
  <si>
    <t>Saved invoice</t>
  </si>
  <si>
    <t xml:space="preserve">1. Open Payroll &gt; Consultant Invoices
2. Approve the invoice
3. Open Consultant Payout Advice</t>
  </si>
  <si>
    <t>Saved invoice → Open Payroll &gt; Consultant Invoices → Approve the invoice → Open Consultant Payout Advice</t>
  </si>
  <si>
    <t>Approved invoice appears for payout; edit locked afterwards</t>
  </si>
  <si>
    <t>TC-PAY-113</t>
  </si>
  <si>
    <t>Consultant Payout Advice page opens and renders correctly</t>
  </si>
  <si>
    <t>Route /payroll/consultant-payout-advice</t>
  </si>
  <si>
    <t xml:space="preserve">1. Open Payroll &gt; Consultant Payout Advice from the sidebar
2. Wait for the loading indicator to clear
3. Check the page heading, toolbar buttons and table/cards</t>
  </si>
  <si>
    <t>Logged in as HRMS admin (amit) → Open Payroll &gt; Consultant Payout Advice from the sidebar → Wait for the loading indicator to clear → Check the page heading, toolbar buttons and table/cards</t>
  </si>
  <si>
    <t>Page loads without login redirect, 404 or app error; heading "Consultant Payout Advice" shown; payout advice list and generate action render</t>
  </si>
  <si>
    <t>Linear 071 Consultant Payout Advice — page check</t>
  </si>
  <si>
    <t>TC-PAY-114</t>
  </si>
  <si>
    <t>Generate payout advice for approved invoices</t>
  </si>
  <si>
    <t>Approved consultant invoices</t>
  </si>
  <si>
    <t xml:space="preserve">1. Click generate
2. Select period / invoices
3. Generate</t>
  </si>
  <si>
    <t>Approved consultant invoices → Click generate → Select period / invoices → Generate</t>
  </si>
  <si>
    <t>Advice lists consultant, gross, TDS, net and bank details; totals correct</t>
  </si>
  <si>
    <t>TC-PAY-115</t>
  </si>
  <si>
    <t>No approved invoices shows empty state</t>
  </si>
  <si>
    <t>No approved invoices for the period</t>
  </si>
  <si>
    <t xml:space="preserve">1. Open Payroll &gt; Consultant Payout Advice
2. Generate for that period
3. Observe the result and compare with the expected outcome</t>
  </si>
  <si>
    <t>No approved invoices for the period → Open Payroll &gt; Consultant Payout Advice → Generate for that period → Observe the result and compare with the expected outcome</t>
  </si>
  <si>
    <t>Clear "nothing to pay" message; no empty advice created</t>
  </si>
  <si>
    <t>TC-PAY-116</t>
  </si>
  <si>
    <t>Download</t>
  </si>
  <si>
    <t>Download payout advice</t>
  </si>
  <si>
    <t>Advice exists</t>
  </si>
  <si>
    <t xml:space="preserve">1. Open Payroll &gt; Consultant Payout Advice
2. Click download
3. Observe the result and compare with the expected outcome</t>
  </si>
  <si>
    <t>Advice exists → Open Payroll &gt; Consultant Payout Advice → Click download → Observe the result and compare with the expected outcome</t>
  </si>
  <si>
    <t>File downloads with correct amounts; no other consultants included</t>
  </si>
  <si>
    <t>TC-PAY-117</t>
  </si>
  <si>
    <t>Payment</t>
  </si>
  <si>
    <t>Mark payout advice paid</t>
  </si>
  <si>
    <t>Advice generated</t>
  </si>
  <si>
    <t xml:space="preserve">1. Open Payroll &gt; Consultant Payout Advice
2. Mark as paid with date/reference
3. Confirm</t>
  </si>
  <si>
    <t>Advice generated → Open Payroll &gt; Consultant Payout Advice → Mark as paid with date/reference → Confirm</t>
  </si>
  <si>
    <t>Status Paid; invoices locked</t>
  </si>
  <si>
    <t>Paying out is never automated (irreversible)</t>
  </si>
  <si>
    <t>TC-PAY-118</t>
  </si>
  <si>
    <t>TDS Sections page opens and renders correctly</t>
  </si>
  <si>
    <t>Route /payroll/tds-sections</t>
  </si>
  <si>
    <t xml:space="preserve">1. Open Payroll &gt; TDS Sections from the sidebar
2. Wait for the loading indicator to clear
3. Check the page heading, toolbar buttons and table/cards</t>
  </si>
  <si>
    <t>Logged in as HRMS admin (amit) → Open Payroll &gt; TDS Sections from the sidebar → Wait for the loading indicator to clear → Check the page heading, toolbar buttons and table/cards</t>
  </si>
  <si>
    <t>Page loads without login redirect, 404 or app error; heading "TDS Sections" shown; list of TDS sections (e.g. 192 salary, 194J professional fees) and add action render</t>
  </si>
  <si>
    <t>Linear 072 TDS Sections — page check</t>
  </si>
  <si>
    <t>TC-PAY-119</t>
  </si>
  <si>
    <t>Add a TDS section with rate and threshold</t>
  </si>
  <si>
    <t>Section 194C; 1%; threshold 30,000</t>
  </si>
  <si>
    <t xml:space="preserve">1. Click add
2. Enter section code, description, rate %, threshold
3. Save</t>
  </si>
  <si>
    <t>Logged in as HRMS admin (amit) → Click add → Enter section code, description, rate %, threshold → Save</t>
  </si>
  <si>
    <t>Saved and selectable on Consultant Invoices</t>
  </si>
  <si>
    <t>TC-PAY-120</t>
  </si>
  <si>
    <t>Section code and rate mandatory</t>
  </si>
  <si>
    <t xml:space="preserve">1. Open Payroll &gt; TDS Sections
2. Leave code / rate empty
3. Save</t>
  </si>
  <si>
    <t>Logged in as HRMS admin (amit) → Open Payroll &gt; TDS Sections → Leave code / rate empty → Save</t>
  </si>
  <si>
    <t>TC-PAY-121</t>
  </si>
  <si>
    <t>Rate above 100 or negative rejected</t>
  </si>
  <si>
    <t xml:space="preserve">1. Open Payroll &gt; TDS Sections
2. Enter rate 120, then -1
3. Save</t>
  </si>
  <si>
    <t>Logged in as HRMS admin (amit) → Open Payroll &gt; TDS Sections → Enter rate 120, then -1 → Save</t>
  </si>
  <si>
    <t>TC-PAY-122</t>
  </si>
  <si>
    <t>Duplicate section code rejected</t>
  </si>
  <si>
    <t>194J exists</t>
  </si>
  <si>
    <t xml:space="preserve">1. Open Payroll &gt; TDS Sections
2. Add 194J again
3. Save</t>
  </si>
  <si>
    <t>194J exists → Open Payroll &gt; TDS Sections → Add 194J again → Save</t>
  </si>
  <si>
    <t>Duplicate message</t>
  </si>
  <si>
    <t>TC-PAY-123</t>
  </si>
  <si>
    <t>Edit rate affects only future invoices</t>
  </si>
  <si>
    <t>Section in use</t>
  </si>
  <si>
    <t xml:space="preserve">1. Change the rate
2. Save
3. Open an old invoice</t>
  </si>
  <si>
    <t>Section in use → Change the rate → Save → Open an old invoice</t>
  </si>
  <si>
    <t>Old invoices keep the original TDS; new invoices use the new rate</t>
  </si>
  <si>
    <t>TC-PAY-124</t>
  </si>
  <si>
    <t>Deactivate/delete a section in use</t>
  </si>
  <si>
    <t>Section used by invoices</t>
  </si>
  <si>
    <t xml:space="preserve">1. Open Payroll &gt; TDS Sections
2. Delete it
3. Confirm</t>
  </si>
  <si>
    <t>Section used by invoices → Open Payroll &gt; TDS Sections → Delete it → Confirm</t>
  </si>
  <si>
    <t>Blocked or only deactivation allowed</t>
  </si>
  <si>
    <t>TC-PAY-125</t>
  </si>
  <si>
    <t>Payroll Checklist page opens and renders correctly</t>
  </si>
  <si>
    <t>Route /payroll/checklist</t>
  </si>
  <si>
    <t xml:space="preserve">1. Open Payroll &gt; Payroll Checklist from the sidebar
2. Wait for the loading indicator to clear
3. Check the page heading, toolbar buttons and table/cards</t>
  </si>
  <si>
    <t>Logged in as HRMS admin (amit) → Open Payroll &gt; Payroll Checklist from the sidebar → Wait for the loading indicator to clear → Check the page heading, toolbar buttons and table/cards</t>
  </si>
  <si>
    <t>Page loads without login redirect, 404 or app error; heading "Payroll Checklist" shown; pre-payroll checklist items with status (e.g. attendance locked, new joiners, exits, salary revisions, pending approvals) render</t>
  </si>
  <si>
    <t>Linear 073 Payroll Checklist — page check</t>
  </si>
  <si>
    <t>TC-PAY-126</t>
  </si>
  <si>
    <t>Checklist</t>
  </si>
  <si>
    <t>Checklist reflects pending attendance finalisation</t>
  </si>
  <si>
    <t>Attendance for the period not finalised</t>
  </si>
  <si>
    <t xml:space="preserve">1. Open Payroll &gt; Payroll Checklist
2. Open the checklist for the period
3. Observe the result and compare with the expected outcome</t>
  </si>
  <si>
    <t>Attendance for the period not finalised → Open Payroll &gt; Payroll Checklist → Open the checklist for the period → Observe the result and compare with the expected outcome</t>
  </si>
  <si>
    <t>Attendance item shows Pending/Blocked with a link to Attendance Finalization</t>
  </si>
  <si>
    <t>TC-PAY-127</t>
  </si>
  <si>
    <t>Checklist lists employees without salary structure</t>
  </si>
  <si>
    <t>An active employee with no structure</t>
  </si>
  <si>
    <t xml:space="preserve">1. Open Payroll &gt; Payroll Checklist
2. Open the checklist
3. Observe the result and compare with the expected outcome</t>
  </si>
  <si>
    <t>An active employee with no structure → Open Payroll &gt; Payroll Checklist → Open the checklist → Observe the result and compare with the expected outcome</t>
  </si>
  <si>
    <t>Item lists that employee with a link to Employee Salary</t>
  </si>
  <si>
    <t>TC-PAY-128</t>
  </si>
  <si>
    <t>Checklist lists pending approvals (leave, revisions, reimbursements)</t>
  </si>
  <si>
    <t>Pending leave and a pending salary revision</t>
  </si>
  <si>
    <t>Pending leave and a pending salary revision → Open Payroll &gt; Payroll Checklist → Open the checklist → Observe the result and compare with the expected outcome</t>
  </si>
  <si>
    <t>Pending items counted with links; counts match the approval inbox</t>
  </si>
  <si>
    <t>TC-PAY-129</t>
  </si>
  <si>
    <t>All items complete enables processing</t>
  </si>
  <si>
    <t>All prerequisites done</t>
  </si>
  <si>
    <t xml:space="preserve">1. Open Payroll &gt; Payroll Checklist
2. Open the checklist
3. Refresh</t>
  </si>
  <si>
    <t>All prerequisites done → Open Payroll &gt; Payroll Checklist → Open the checklist → Refresh</t>
  </si>
  <si>
    <t>All items green; run can be processed</t>
  </si>
  <si>
    <t>TC-PAY-130</t>
  </si>
  <si>
    <t>Manual checklist item can be ticked with remarks</t>
  </si>
  <si>
    <t>Manual item exists</t>
  </si>
  <si>
    <t xml:space="preserve">1. Open Payroll &gt; Payroll Checklist
2. Tick the item
3. Add remarks</t>
  </si>
  <si>
    <t>Manual item exists → Open Payroll &gt; Payroll Checklist → Tick the item → Add remarks</t>
  </si>
  <si>
    <t>Item marked done with user and timestamp</t>
  </si>
  <si>
    <t>TC-PAY-131</t>
  </si>
  <si>
    <t>Off-Cycle Payments page opens and renders correctly</t>
  </si>
  <si>
    <t>Route /payroll/off-cycle</t>
  </si>
  <si>
    <t xml:space="preserve">1. Open Payroll &gt; Off-Cycle Payments from the sidebar
2. Wait for the loading indicator to clear
3. Check the page heading, toolbar buttons and table/cards</t>
  </si>
  <si>
    <t>Logged in as HRMS admin (amit) → Open Payroll &gt; Off-Cycle Payments from the sidebar → Wait for the loading indicator to clear → Check the page heading, toolbar buttons and table/cards</t>
  </si>
  <si>
    <t>Page loads without login redirect, 404 or app error; heading "Off-Cycle Payments" shown; off-cycle payment list and add action render</t>
  </si>
  <si>
    <t>Linear 074 Off-Cycle Payments — page check</t>
  </si>
  <si>
    <t>TC-PAY-132</t>
  </si>
  <si>
    <t>Create an off-cycle bonus payment</t>
  </si>
  <si>
    <t>Amount 10,000</t>
  </si>
  <si>
    <t xml:space="preserve">1. Click add
2. Select employee, component (Bonus), amount, pay date, reason
3. Save</t>
  </si>
  <si>
    <t>Employee on a structure → Click add → Select employee, component (Bonus), amount, pay date, reason → Save</t>
  </si>
  <si>
    <t>Saved as Draft/Pending; TDS computed on the off-cycle amount</t>
  </si>
  <si>
    <t>TC-PAY-133</t>
  </si>
  <si>
    <t>Mandatory fields and non-positive amount</t>
  </si>
  <si>
    <t xml:space="preserve">1. Leave employee/amount empty
2. Enter amount 0
3. Save</t>
  </si>
  <si>
    <t>Logged in as HRMS admin (amit) → Leave employee/amount empty → Enter amount 0 → Save</t>
  </si>
  <si>
    <t>Validation messages; not saved</t>
  </si>
  <si>
    <t>TC-PAY-134</t>
  </si>
  <si>
    <t>Off-cycle for an exited (closed) employee</t>
  </si>
  <si>
    <t>Employee exit closed</t>
  </si>
  <si>
    <t xml:space="preserve">1. Open Payroll &gt; Off-Cycle Payments
2. Select the exited employee
3. Observe the result and compare with the expected outcome</t>
  </si>
  <si>
    <t>Employee exit closed → Open Payroll &gt; Off-Cycle Payments → Select the exited employee → Observe the result and compare with the expected outcome</t>
  </si>
  <si>
    <t>Either not selectable or routed through F&amp;F with warning</t>
  </si>
  <si>
    <t>TC-PAY-135</t>
  </si>
  <si>
    <t>Off-cycle payment included in annual TDS projection</t>
  </si>
  <si>
    <t>Off-cycle bonus paid</t>
  </si>
  <si>
    <t xml:space="preserve">1. Open Payroll &gt; Off-Cycle Payments
2. Preview the next regular run TDS
3. Observe the result and compare with the expected outcome</t>
  </si>
  <si>
    <t>Off-cycle bonus paid → Open Payroll &gt; Off-Cycle Payments → Preview the next regular run TDS → Observe the result and compare with the expected outcome</t>
  </si>
  <si>
    <t>Annual taxable income includes the bonus; TDS recalculated</t>
  </si>
  <si>
    <t>TC-PAY-136</t>
  </si>
  <si>
    <t>Finalise and pay an off-cycle payment</t>
  </si>
  <si>
    <t>Approved off-cycle record</t>
  </si>
  <si>
    <t xml:space="preserve">1. Open Payroll &gt; Off-Cycle Payments
2. Finalise
3. Confirm</t>
  </si>
  <si>
    <t>Approved off-cycle record → Open Payroll &gt; Off-Cycle Payments → Finalise → Confirm</t>
  </si>
  <si>
    <t>Status Paid; payslip generated</t>
  </si>
  <si>
    <t>Finalising / paying payroll runs is never automated (irreversible)</t>
  </si>
  <si>
    <t>TC-PAY-137</t>
  </si>
  <si>
    <t>Delete a draft off-cycle payment with confirmation</t>
  </si>
  <si>
    <t>Draft record</t>
  </si>
  <si>
    <t xml:space="preserve">1. Open Payroll &gt; Off-Cycle Payments
2. Delete
3. Confirm</t>
  </si>
  <si>
    <t>Draft record → Open Payroll &gt; Off-Cycle Payments → Delete → Confirm</t>
  </si>
  <si>
    <t>TC-PAY-138</t>
  </si>
  <si>
    <t>Payroll Runs page opens and renders correctly</t>
  </si>
  <si>
    <t>Route /payroll/runs</t>
  </si>
  <si>
    <t xml:space="preserve">1. Open Payroll &gt; Payroll Runs from the sidebar
2. Wait for the loading indicator to clear
3. Check the page heading, toolbar buttons and table/cards</t>
  </si>
  <si>
    <t>Logged in as HRMS admin (amit) → Open Payroll &gt; Payroll Runs from the sidebar → Wait for the loading indicator to clear → Check the page heading, toolbar buttons and table/cards</t>
  </si>
  <si>
    <t>Page loads without login redirect, 404 or app error; heading "Payroll Runs" shown; run list with "Search run name..." and "New Run" button render</t>
  </si>
  <si>
    <t>Linear 075 Payroll Runs — page check</t>
  </si>
  <si>
    <t>TC-PAY-139</t>
  </si>
  <si>
    <t>Create a new draft payroll run for a period</t>
  </si>
  <si>
    <t>Period not yet run; employees on structures</t>
  </si>
  <si>
    <t>Name: QA Run Oct (Auto DD-Mon HH.MM.SS)</t>
  </si>
  <si>
    <t xml:space="preserve">1. Click "New Run"
2. Enter run name and select the period
3. Save / Create</t>
  </si>
  <si>
    <t>Period not yet run; employees on structures → Click "New Run" → Enter run name and select the period → Save / Create</t>
  </si>
  <si>
    <t>Run created in Draft; lists the period dates per the pay calendar and employee count</t>
  </si>
  <si>
    <t>TC-PAY-140</t>
  </si>
  <si>
    <t>Run name and period are mandatory</t>
  </si>
  <si>
    <t xml:space="preserve">1. Click "New Run"
2. Leave name or period empty
3. Create</t>
  </si>
  <si>
    <t>Logged in as HRMS admin (amit) → Click "New Run" → Leave name or period empty → Create</t>
  </si>
  <si>
    <t>Validation message; nothing created</t>
  </si>
  <si>
    <t>TC-PAY-141</t>
  </si>
  <si>
    <t>Duplicate regular run for the same period is refused</t>
  </si>
  <si>
    <t>A regular run exists for the period</t>
  </si>
  <si>
    <t xml:space="preserve">1. Click "New Run"
2. Select the same period
3. Create</t>
  </si>
  <si>
    <t>A regular run exists for the period → Click "New Run" → Select the same period → Create</t>
  </si>
  <si>
    <t>Refused: run already exists for the period</t>
  </si>
  <si>
    <t>TC-PAY-142</t>
  </si>
  <si>
    <t>Search run by name</t>
  </si>
  <si>
    <t>Runs exist</t>
  </si>
  <si>
    <t xml:space="preserve">1. Open Payroll &gt; Payroll Runs
2. Type part of a run name in "Search run name..."
3. Observe the result and compare with the expected outcome</t>
  </si>
  <si>
    <t>Runs exist → Open Payroll &gt; Payroll Runs → Type part of a run name in "Search run name..." → Observe the result and compare with the expected outcome</t>
  </si>
  <si>
    <t>TC-PAY-143</t>
  </si>
  <si>
    <t>Pre-conditions</t>
  </si>
  <si>
    <t>Run is blocked when attendance is not locked</t>
  </si>
  <si>
    <t xml:space="preserve">1. Open Payroll &gt; Payroll Runs
2. Open the draft run
3. Click process / calculate</t>
  </si>
  <si>
    <t>Attendance for the period not finalised → Open Payroll &gt; Payroll Runs → Open the draft run → Click process / calculate</t>
  </si>
  <si>
    <t>Run status Blocked with reason "attendance not locked" and link to finalisation</t>
  </si>
  <si>
    <t>Module automation owned by teammates (base page checks in linear run). Observed 06-Oct: F&amp;F run blocked because attendance could not be finalised before 15-Oct cut-off (RX-16)</t>
  </si>
  <si>
    <t>TC-PAY-144</t>
  </si>
  <si>
    <t>Gross, deductions and net per employee</t>
  </si>
  <si>
    <t>Draft run calculated</t>
  </si>
  <si>
    <t>CTC 2,40,000</t>
  </si>
  <si>
    <t xml:space="preserve">1. Open Payroll &gt; Payroll Runs
2. Open the run
3. Open an employee line</t>
  </si>
  <si>
    <t>Draft run calculated → Open Payroll &gt; Payroll Runs → Open the run → Open an employee line</t>
  </si>
  <si>
    <t>Gross = sum of earnings; deductions = PF + ESI + PT + TDS + others; net = gross − deductions; employer contributions shown separately</t>
  </si>
  <si>
    <t>TC-PAY-145</t>
  </si>
  <si>
    <t>Unpaid leave becomes LOP days</t>
  </si>
  <si>
    <t>Employee had 2 days approved Leave Without Pay in the period</t>
  </si>
  <si>
    <t>Gross 31,000; 31-day month</t>
  </si>
  <si>
    <t xml:space="preserve">1. Open Payroll &gt; Payroll Runs
2. Calculate the run
3. Open the employee line</t>
  </si>
  <si>
    <t>Employee had 2 days approved Leave Without Pay in the period → Open Payroll &gt; Payroll Runs → Calculate the run → Open the employee line</t>
  </si>
  <si>
    <t>LOP days = 2; prorated components reduced by 2/31 (≈2,000); paid days 29</t>
  </si>
  <si>
    <t>TC-PAY-146</t>
  </si>
  <si>
    <t>Unmarked absence from attendance becomes LOP</t>
  </si>
  <si>
    <t>Employee absent 1 working day without leave; attendance finalised</t>
  </si>
  <si>
    <t>Employee absent 1 working day without leave; attendance finalised → Open Payroll &gt; Payroll Runs → Calculate the run → Open the employee line</t>
  </si>
  <si>
    <t>LOP 1 day from attendance; leave balances unchanged</t>
  </si>
  <si>
    <t>TC-PAY-147</t>
  </si>
  <si>
    <t>Paid leave does not create LOP</t>
  </si>
  <si>
    <t>Employee on approved Casual Leave 2 days</t>
  </si>
  <si>
    <t xml:space="preserve">1. Open Payroll &gt; Payroll Runs
2. Calculate the run
3. Observe the result and compare with the expected outcome</t>
  </si>
  <si>
    <t>Employee on approved Casual Leave 2 days → Open Payroll &gt; Payroll Runs → Calculate the run → Observe the result and compare with the expected outcome</t>
  </si>
  <si>
    <t>LOP 0; full salary paid</t>
  </si>
  <si>
    <t>TC-PAY-148</t>
  </si>
  <si>
    <t>Proration</t>
  </si>
  <si>
    <t>Mid-month joiner is prorated</t>
  </si>
  <si>
    <t>Employee joined on the 16th of a 30-day month</t>
  </si>
  <si>
    <t>Employee joined on the 16th of a 30-day month → Open Payroll &gt; Payroll Runs → Calculate the run → Observe the result and compare with the expected outcome</t>
  </si>
  <si>
    <t>Paid days 15; components ×15/30</t>
  </si>
  <si>
    <t>TC-PAY-149</t>
  </si>
  <si>
    <t>Leaver with LWD inside period is prorated / moved to F&amp;F</t>
  </si>
  <si>
    <t>Employee LWD on 10th</t>
  </si>
  <si>
    <t>Employee LWD on 10th → Open Payroll &gt; Payroll Runs → Calculate the run → Observe the result and compare with the expected outcome</t>
  </si>
  <si>
    <t>Salary up to LWD only or excluded and settled through F&amp;F (no double payment)</t>
  </si>
  <si>
    <t>TC-PAY-150</t>
  </si>
  <si>
    <t>Back-dated salary revision arrears included</t>
  </si>
  <si>
    <t>Approved revision effective in a past paid month</t>
  </si>
  <si>
    <t>Approved revision effective in a past paid month → Open Payroll &gt; Payroll Runs → Calculate the run → Open the employee line</t>
  </si>
  <si>
    <t>Separate arrears line for the difference; TDS includes it</t>
  </si>
  <si>
    <t>TC-PAY-151</t>
  </si>
  <si>
    <t>Statutory</t>
  </si>
  <si>
    <t>PF 12% on PF wages capped at ceiling</t>
  </si>
  <si>
    <t>Basic 25,000, PF capped</t>
  </si>
  <si>
    <t xml:space="preserve">1. Open Payroll &gt; Payroll Runs
2. Calculate
3. Read PF</t>
  </si>
  <si>
    <t>Basic 25,000, PF capped → Open Payroll &gt; Payroll Runs → Calculate → Read PF</t>
  </si>
  <si>
    <t>Employee PF 1,800; employer EPS 1,250 + EPF 550; reflected in PF report/ECR</t>
  </si>
  <si>
    <t>TC-PAY-152</t>
  </si>
  <si>
    <t>ESI 0.75% / 3.25% for eligible gross</t>
  </si>
  <si>
    <t>Gross 18,000</t>
  </si>
  <si>
    <t xml:space="preserve">1. Open Payroll &gt; Payroll Runs
2. Calculate
3. Read ESI</t>
  </si>
  <si>
    <t>Gross 18,000 → Open Payroll &gt; Payroll Runs → Calculate → Read ESI</t>
  </si>
  <si>
    <t>Employee ESI 135; employer ESI 585 (rounded up per rules)</t>
  </si>
  <si>
    <t>TC-PAY-153</t>
  </si>
  <si>
    <t>Professional Tax deducted per state slab</t>
  </si>
  <si>
    <t>PT state slab configured</t>
  </si>
  <si>
    <t xml:space="preserve">1. Open Payroll &gt; Payroll Runs
2. Calculate
3. Read PT</t>
  </si>
  <si>
    <t>PT state slab configured → Open Payroll &gt; Payroll Runs → Calculate → Read PT</t>
  </si>
  <si>
    <t>PT equals the slab for the gross; zero for exempt slab</t>
  </si>
  <si>
    <t>TC-PAY-154</t>
  </si>
  <si>
    <t>TDS computed per the employee regime</t>
  </si>
  <si>
    <t>Employee on new regime, annual taxable 15,00,000</t>
  </si>
  <si>
    <t xml:space="preserve">1. Open Payroll &gt; Payroll Runs
2. Calculate
3. Read TDS</t>
  </si>
  <si>
    <t>Employee on new regime, annual taxable 15,00,000 → Open Payroll &gt; Payroll Runs → Calculate → Read TDS</t>
  </si>
  <si>
    <t>TDS = annual tax per new-regime slabs (after ₹75,000 standard deduction, + 4% cess) ÷ remaining months</t>
  </si>
  <si>
    <t>TC-PAY-155</t>
  </si>
  <si>
    <t>Held salary</t>
  </si>
  <si>
    <t>Employee on hold is excluded from payment</t>
  </si>
  <si>
    <t>Employee salary held</t>
  </si>
  <si>
    <t>Employee salary held → Open Payroll &gt; Payroll Runs → Calculate the run → Observe the result and compare with the expected outcome</t>
  </si>
  <si>
    <t>Employee calculated but marked Held; not in bank transfer file</t>
  </si>
  <si>
    <t>TC-PAY-156</t>
  </si>
  <si>
    <t>Outliers</t>
  </si>
  <si>
    <t>Large variances flagged before finalisation</t>
  </si>
  <si>
    <t>Employee net differs &gt;X% from last month</t>
  </si>
  <si>
    <t xml:space="preserve">1. Open Payroll &gt; Payroll Runs
2. Calculate
3. Open Outlier Alerts</t>
  </si>
  <si>
    <t>Employee net differs &gt;X% from last month → Open Payroll &gt; Payroll Runs → Calculate → Open Outlier Alerts</t>
  </si>
  <si>
    <t>Variance listed as outlier for review</t>
  </si>
  <si>
    <t>TC-PAY-157</t>
  </si>
  <si>
    <t>Payroll Run approval through Approval Engine</t>
  </si>
  <si>
    <t>Payroll Run workflow configured</t>
  </si>
  <si>
    <t xml:space="preserve">1. Open Payroll &gt; Payroll Runs
2. Submit the run for approval
3. Approve as approver</t>
  </si>
  <si>
    <t>Payroll Run workflow configured → Open Payroll &gt; Payroll Runs → Submit the run for approval → Approve as approver</t>
  </si>
  <si>
    <t>Run moves to Approved; history in Track</t>
  </si>
  <si>
    <t>TC-PAY-158</t>
  </si>
  <si>
    <t>Finalise</t>
  </si>
  <si>
    <t>Finalise a payroll run</t>
  </si>
  <si>
    <t>Approved run</t>
  </si>
  <si>
    <t xml:space="preserve">1. Open Payroll &gt; Payroll Runs
2. Click Finalise
3. Confirm</t>
  </si>
  <si>
    <t>Approved run → Open Payroll &gt; Payroll Runs → Click Finalise → Confirm</t>
  </si>
  <si>
    <t>Run locked; payslips published; statutory and bank files available</t>
  </si>
  <si>
    <t>TC-PAY-159</t>
  </si>
  <si>
    <t>Finalised run cannot be edited or recalculated</t>
  </si>
  <si>
    <t>Finalised run</t>
  </si>
  <si>
    <t xml:space="preserve">1. Open Payroll &gt; Payroll Runs
2. Try recalculation / editing an employee line
3. Observe the result and compare with the expected outcome</t>
  </si>
  <si>
    <t>Finalised run → Open Payroll &gt; Payroll Runs → Try recalculation / editing an employee line → Observe the result and compare with the expected outcome</t>
  </si>
  <si>
    <t>Blocked; only off-cycle or next-month adjustments possible</t>
  </si>
  <si>
    <t>TC-PAY-160</t>
  </si>
  <si>
    <t>Delete a draft run with confirmation</t>
  </si>
  <si>
    <t>Draft run</t>
  </si>
  <si>
    <t xml:space="preserve">1. Open Payroll &gt; Payroll Runs
2. Delete the run
3. Confirm</t>
  </si>
  <si>
    <t>Draft run → Open Payroll &gt; Payroll Runs → Delete the run → Confirm</t>
  </si>
  <si>
    <t>Confirmation shown; run removed</t>
  </si>
  <si>
    <t>TC-PAY-161</t>
  </si>
  <si>
    <t>F&amp;F</t>
  </si>
  <si>
    <t>Settlement run for an exiting employee</t>
  </si>
  <si>
    <t>F&amp;F reviewed for the employee</t>
  </si>
  <si>
    <t xml:space="preserve">1. Open Payroll &gt; Payroll Runs
2. Create settlement run from the F&amp;F
3. Open Payroll Runs</t>
  </si>
  <si>
    <t>F&amp;F reviewed for the employee → Open Payroll &gt; Payroll Runs → Create settlement run from the F&amp;F → Open Payroll Runs</t>
  </si>
  <si>
    <t>A settlement run (e.g. "QA TEST FnF …") appears in Draft for that employee only</t>
  </si>
  <si>
    <t>TC-PAY-162</t>
  </si>
  <si>
    <t>Staff user cannot open /payroll/runs via direct URL</t>
  </si>
  <si>
    <t xml:space="preserve">1. Log in as the Staff employee
2. Paste the URL of /payroll/runs into the address bar
3. Observe the result</t>
  </si>
  <si>
    <t>A Staff-role employee login exists (initial password = employee code) → Log in as the Staff employee → Paste the URL of /payroll/runs into the address bar → Observe the result</t>
  </si>
  <si>
    <t>TC-PAY-163</t>
  </si>
  <si>
    <t>Payslips page opens and renders correctly</t>
  </si>
  <si>
    <t>Route /payroll/payslips</t>
  </si>
  <si>
    <t xml:space="preserve">1. Open Payroll &gt; Payslips from the sidebar
2. Wait for the loading indicator to clear
3. Check the page heading, toolbar buttons and table/cards</t>
  </si>
  <si>
    <t>Logged in as HRMS admin (amit) → Open Payroll &gt; Payslips from the sidebar → Wait for the loading indicator to clear → Check the page heading, toolbar buttons and table/cards</t>
  </si>
  <si>
    <t>Page loads without login redirect, 404 or app error; heading "Payslips" shown; payroll run selector "Payroll run" and the payslip list render</t>
  </si>
  <si>
    <t>Linear 076 Payslips — page check</t>
  </si>
  <si>
    <t>TC-PAY-164</t>
  </si>
  <si>
    <t>Select a payroll run to list payslips</t>
  </si>
  <si>
    <t>At least one processed run</t>
  </si>
  <si>
    <t xml:space="preserve">1. Open Payroll &gt; Payslips
2. Type/select a run in "Payroll run"
3. Observe the result and compare with the expected outcome</t>
  </si>
  <si>
    <t>At least one processed run → Open Payroll &gt; Payslips → Type/select a run in "Payroll run" → Observe the result and compare with the expected outcome</t>
  </si>
  <si>
    <t>Payslips of that run are listed with employee, gross, deductions, net</t>
  </si>
  <si>
    <t>TC-PAY-165</t>
  </si>
  <si>
    <t>No run selected shows empty state</t>
  </si>
  <si>
    <t xml:space="preserve">1. Open Payroll &gt; Payslips
2. Open the page without selecting a run
3. Observe the result and compare with the expected outcome</t>
  </si>
  <si>
    <t>Logged in as HRMS admin (amit) → Open Payroll &gt; Payslips → Open the page without selecting a run → Observe the result and compare with the expected outcome</t>
  </si>
  <si>
    <t>Helpful empty-state text; no error</t>
  </si>
  <si>
    <t>TC-PAY-166</t>
  </si>
  <si>
    <t>View</t>
  </si>
  <si>
    <t>Payslip shows earnings, deductions, net and YTD</t>
  </si>
  <si>
    <t>Processed run</t>
  </si>
  <si>
    <t xml:space="preserve">1. Open Payroll &gt; Payslips
2. Open one payslip
3. Observe the result and compare with the expected outcome</t>
  </si>
  <si>
    <t>Processed run → Open Payroll &gt; Payslips → Open one payslip → Observe the result and compare with the expected outcome</t>
  </si>
  <si>
    <t>Company, employee code, PAN/UAN, paid days/LOP, earnings and deductions (only "Show on payslip" components), net in figures and words, YTD</t>
  </si>
  <si>
    <t>TC-PAY-167</t>
  </si>
  <si>
    <t>Component display order follows Display order</t>
  </si>
  <si>
    <t>Components with display order set</t>
  </si>
  <si>
    <t xml:space="preserve">1. Open Payroll &gt; Payslips
2. Open a payslip
3. Observe the result and compare with the expected outcome</t>
  </si>
  <si>
    <t>Components with display order set → Open Payroll &gt; Payslips → Open a payslip → Observe the result and compare with the expected outcome</t>
  </si>
  <si>
    <t>Lines ordered by Display order</t>
  </si>
  <si>
    <t>TC-PAY-168</t>
  </si>
  <si>
    <t>Download payslip as PDF</t>
  </si>
  <si>
    <t xml:space="preserve">1. Open Payroll &gt; Payslips
2. Click download on a payslip
3. Observe the result and compare with the expected outcome</t>
  </si>
  <si>
    <t>Processed run → Open Payroll &gt; Payslips → Click download on a payslip → Observe the result and compare with the expected outcome</t>
  </si>
  <si>
    <t>PDF downloads with the same figures</t>
  </si>
  <si>
    <t>TC-PAY-169</t>
  </si>
  <si>
    <t>Publish</t>
  </si>
  <si>
    <t>Payslips not visible to employees until run finalised</t>
  </si>
  <si>
    <t xml:space="preserve">1. Log in as an employee in the run
2. Open My Workspace &gt; Pay
3. Observe the result and compare with the expected outcome</t>
  </si>
  <si>
    <t>Draft run → Log in as an employee in the run → Open My Workspace &gt; Pay → Observe the result and compare with the expected outcome</t>
  </si>
  <si>
    <t>Draft payslip not visible</t>
  </si>
  <si>
    <t>TC-PAY-170</t>
  </si>
  <si>
    <t>Employee sees only own payslips</t>
  </si>
  <si>
    <t>Finalised run; Staff employee</t>
  </si>
  <si>
    <t xml:space="preserve">1. Log in as the employee
2. Open My Workspace &gt; Pay (/ess/payslips)
3. Observe the result and compare with the expected outcome</t>
  </si>
  <si>
    <t>Finalised run; Staff employee → Log in as the employee → Open My Workspace &gt; Pay (/ess/payslips) → Observe the result and compare with the expected outcome</t>
  </si>
  <si>
    <t>Only own payslips listed and downloadable; changing the URL/id to another payslip is refused</t>
  </si>
  <si>
    <t>TC-PAY-171</t>
  </si>
  <si>
    <t>Net pay equals gross minus deductions</t>
  </si>
  <si>
    <t xml:space="preserve">1. Open Payroll &gt; Payslips
2. Open a payslip
3. Add up the lines</t>
  </si>
  <si>
    <t>Processed run → Open Payroll &gt; Payslips → Open a payslip → Add up the lines</t>
  </si>
  <si>
    <t>Totals reconcile exactly (rounding per policy)</t>
  </si>
  <si>
    <t>TC-PAY-172</t>
  </si>
  <si>
    <t>Payslip e-mail distribution</t>
  </si>
  <si>
    <t>Finalised run; e-mail enabled</t>
  </si>
  <si>
    <t xml:space="preserve">1. Open Payroll &gt; Payslips
2. Send payslips
3. Observe the result and compare with the expected outcome</t>
  </si>
  <si>
    <t>Finalised run; e-mail enabled → Open Payroll &gt; Payslips → Send payslips → Observe the result and compare with the expected outcome</t>
  </si>
  <si>
    <t>Each employee receives only own payslip</t>
  </si>
  <si>
    <t>TC-PAY-173</t>
  </si>
  <si>
    <t>Bank Transfers page opens and renders correctly</t>
  </si>
  <si>
    <t>Route /payroll/bank-files</t>
  </si>
  <si>
    <t xml:space="preserve">1. Open Payroll &gt; Bank Transfers from the sidebar
2. Wait for the loading indicator to clear
3. Check the page heading, toolbar buttons and table/cards</t>
  </si>
  <si>
    <t>Logged in as HRMS admin (amit) → Open Payroll &gt; Bank Transfers from the sidebar → Wait for the loading indicator to clear → Check the page heading, toolbar buttons and table/cards</t>
  </si>
  <si>
    <t>Page loads without login redirect, 404 or app error; heading "Bank Transfers" shown; bank file list and generate action render</t>
  </si>
  <si>
    <t>Linear 077 Bank Transfers — page check</t>
  </si>
  <si>
    <t>TC-PAY-174</t>
  </si>
  <si>
    <t>Generate a bank transfer file for a finalised run</t>
  </si>
  <si>
    <t>Finalised run; employees with bank details</t>
  </si>
  <si>
    <t xml:space="preserve">1. Select the run
2. Choose bank format
3. Generate</t>
  </si>
  <si>
    <t>Finalised run; employees with bank details → Select the run → Choose bank format → Generate</t>
  </si>
  <si>
    <t>File contains one line per paid employee with account no, IFSC and net; total equals run net pay</t>
  </si>
  <si>
    <t>TC-PAY-175</t>
  </si>
  <si>
    <t>Draft run cannot generate a bank file</t>
  </si>
  <si>
    <t xml:space="preserve">1. Open Payroll &gt; Bank Transfers
2. Try to generate for the draft run
3. Observe the result and compare with the expected outcome</t>
  </si>
  <si>
    <t>Draft run → Open Payroll &gt; Bank Transfers → Try to generate for the draft run → Observe the result and compare with the expected outcome</t>
  </si>
  <si>
    <t>Refused: run not finalised</t>
  </si>
  <si>
    <t>TC-PAY-176</t>
  </si>
  <si>
    <t>Data</t>
  </si>
  <si>
    <t>Employees missing bank details are reported</t>
  </si>
  <si>
    <t>Employee without IFSC/account</t>
  </si>
  <si>
    <t xml:space="preserve">1. Open Payroll &gt; Bank Transfers
2. Generate
3. Observe the result and compare with the expected outcome</t>
  </si>
  <si>
    <t>Employee without IFSC/account → Open Payroll &gt; Bank Transfers → Generate → Observe the result and compare with the expected outcome</t>
  </si>
  <si>
    <t>Listed as exceptions; not silently dropped</t>
  </si>
  <si>
    <t>TC-PAY-177</t>
  </si>
  <si>
    <t>Held salaries excluded from the bank file</t>
  </si>
  <si>
    <t>Held employee in run</t>
  </si>
  <si>
    <t>Held employee in run → Open Payroll &gt; Bank Transfers → Generate → Observe the result and compare with the expected outcome</t>
  </si>
  <si>
    <t>Held employee not in file; total excludes them</t>
  </si>
  <si>
    <t>TC-PAY-178</t>
  </si>
  <si>
    <t>Regenerate</t>
  </si>
  <si>
    <t>Regenerating keeps history</t>
  </si>
  <si>
    <t>File already generated</t>
  </si>
  <si>
    <t xml:space="preserve">1. Open Payroll &gt; Bank Transfers
2. Regenerate
3. Observe the result and compare with the expected outcome</t>
  </si>
  <si>
    <t>File already generated → Open Payroll &gt; Bank Transfers → Regenerate → Observe the result and compare with the expected outcome</t>
  </si>
  <si>
    <t>New version recorded; previous file still downloadable or marked superseded</t>
  </si>
  <si>
    <t>TC-PAY-179</t>
  </si>
  <si>
    <t>Bank file contains sensitive data restricted to payroll admins</t>
  </si>
  <si>
    <t xml:space="preserve">1. Log in as Staff
2. Open /payroll/bank-files
3. Observe the result and compare with the expected outcome</t>
  </si>
  <si>
    <t>A Staff-role employee login exists (initial password = employee code) → Log in as Staff → Open /payroll/bank-files → Observe the result and compare with the expected outcome</t>
  </si>
  <si>
    <t>TC-PAY-180</t>
  </si>
  <si>
    <t>Bank Reconciliation page opens and renders correctly</t>
  </si>
  <si>
    <t>Route /payroll/bank-recon</t>
  </si>
  <si>
    <t xml:space="preserve">1. Open Payroll &gt; Bank Reconciliation from the sidebar
2. Wait for the loading indicator to clear
3. Check the page heading, toolbar buttons and table/cards</t>
  </si>
  <si>
    <t>Logged in as HRMS admin (amit) → Open Payroll &gt; Bank Reconciliation from the sidebar → Wait for the loading indicator to clear → Check the page heading, toolbar buttons and table/cards</t>
  </si>
  <si>
    <t>Page loads without login redirect, 404 or app error; heading "Bank Reconciliation" shown; reconciliation list/upload area render</t>
  </si>
  <si>
    <t>Linear 078 Bank Reconciliation — page check</t>
  </si>
  <si>
    <t>TC-PAY-181</t>
  </si>
  <si>
    <t>Upload bank statement and match payments</t>
  </si>
  <si>
    <t>Bank file generated and paid</t>
  </si>
  <si>
    <t xml:space="preserve">1. Open Payroll &gt; Bank Reconciliation
2. Upload the bank response/statement
3. Run match</t>
  </si>
  <si>
    <t>Bank file generated and paid → Open Payroll &gt; Bank Reconciliation → Upload the bank response/statement → Run match</t>
  </si>
  <si>
    <t>Matched lines marked Paid; unmatched listed</t>
  </si>
  <si>
    <t>TC-PAY-182</t>
  </si>
  <si>
    <t>Failed transfer is flagged for re-payment</t>
  </si>
  <si>
    <t>Statement with a rejected line</t>
  </si>
  <si>
    <t xml:space="preserve">1. Open Payroll &gt; Bank Reconciliation
2. Upload
3. Open exceptions</t>
  </si>
  <si>
    <t>Statement with a rejected line → Open Payroll &gt; Bank Reconciliation → Upload → Open exceptions</t>
  </si>
  <si>
    <t>Employee marked Failed with reason; can be moved to Held/re-pay</t>
  </si>
  <si>
    <t>TC-PAY-183</t>
  </si>
  <si>
    <t>Invalid file format is rejected</t>
  </si>
  <si>
    <t xml:space="preserve">1. Open Payroll &gt; Bank Reconciliation
2. Upload a .txt with wrong columns
3. Observe the result and compare with the expected outcome</t>
  </si>
  <si>
    <t>Logged in as HRMS admin (amit) → Open Payroll &gt; Bank Reconciliation → Upload a .txt with wrong columns → Observe the result and compare with the expected outcome</t>
  </si>
  <si>
    <t>Clear error; nothing matched</t>
  </si>
  <si>
    <t>TC-PAY-184</t>
  </si>
  <si>
    <t>Manual mark as paid with reference</t>
  </si>
  <si>
    <t>Unmatched line</t>
  </si>
  <si>
    <t xml:space="preserve">1. Open Payroll &gt; Bank Reconciliation
2. Mark manually with UTR
3. Observe the result and compare with the expected outcome</t>
  </si>
  <si>
    <t>Unmatched line → Open Payroll &gt; Bank Reconciliation → Mark manually with UTR → Observe the result and compare with the expected outcome</t>
  </si>
  <si>
    <t>Status Paid with reference; audit entry</t>
  </si>
  <si>
    <t>Marking payments paid is never automated</t>
  </si>
  <si>
    <t>TC-PAY-185</t>
  </si>
  <si>
    <t>Settlement Recoveries page opens and renders correctly</t>
  </si>
  <si>
    <t>Route /payroll/settlement-recoveries</t>
  </si>
  <si>
    <t xml:space="preserve">1. Open Payroll &gt; Settlement Recoveries from the sidebar
2. Wait for the loading indicator to clear
3. Check the page heading, toolbar buttons and table/cards</t>
  </si>
  <si>
    <t>Logged in as HRMS admin (amit) → Open Payroll &gt; Settlement Recoveries from the sidebar → Wait for the loading indicator to clear → Check the page heading, toolbar buttons and table/cards</t>
  </si>
  <si>
    <t>Page loads without login redirect, 404 or app error; heading "Settlement Recoveries" shown; recoveries list (employee, source, amount, status) render</t>
  </si>
  <si>
    <t>Linear 079 Settlement Recoveries — page check</t>
  </si>
  <si>
    <t>TC-PAY-186</t>
  </si>
  <si>
    <t>Notice-shortfall recovery from F&amp;F appears</t>
  </si>
  <si>
    <t>Exit with unserved notice and recovery not waived</t>
  </si>
  <si>
    <t xml:space="preserve">1. Open Payroll &gt; Settlement Recoveries
2. Open Settlement Recoveries
3. Observe the result and compare with the expected outcome</t>
  </si>
  <si>
    <t>Exit with unserved notice and recovery not waived → Open Payroll &gt; Settlement Recoveries → Open Settlement Recoveries → Observe the result and compare with the expected outcome</t>
  </si>
  <si>
    <t>Recovery = shortfall days × day rate listed against the employee</t>
  </si>
  <si>
    <t>TC-PAY-187</t>
  </si>
  <si>
    <t>Outstanding salary advance appears as recovery</t>
  </si>
  <si>
    <t>Leaver with advance balance</t>
  </si>
  <si>
    <t xml:space="preserve">1. Open Payroll &gt; Settlement Recoveries
2. Open the page
3. Observe the result and compare with the expected outcome</t>
  </si>
  <si>
    <t>Leaver with advance balance → Open Payroll &gt; Settlement Recoveries → Open the page → Observe the result and compare with the expected outcome</t>
  </si>
  <si>
    <t>Advance balance listed</t>
  </si>
  <si>
    <t>TC-PAY-188</t>
  </si>
  <si>
    <t>Action</t>
  </si>
  <si>
    <t>Record a recovery received</t>
  </si>
  <si>
    <t>Open recovery</t>
  </si>
  <si>
    <t xml:space="preserve">1. Open Payroll &gt; Settlement Recoveries
2. Record receipt with amount/date
3. Save</t>
  </si>
  <si>
    <t>Open recovery → Open Payroll &gt; Settlement Recoveries → Record receipt with amount/date → Save</t>
  </si>
  <si>
    <t>Status Recovered / Partially recovered; balance updated</t>
  </si>
  <si>
    <t>Settlement actions are never automated</t>
  </si>
  <si>
    <t>TC-PAY-189</t>
  </si>
  <si>
    <t>Waive a recovery requires a reason</t>
  </si>
  <si>
    <t xml:space="preserve">1. Open Payroll &gt; Settlement Recoveries
2. Click waive without reason
3. Observe the result and compare with the expected outcome</t>
  </si>
  <si>
    <t>Open recovery → Open Payroll &gt; Settlement Recoveries → Click waive without reason → Observe the result and compare with the expected outcome</t>
  </si>
  <si>
    <t>Reason required</t>
  </si>
  <si>
    <t>TC-PAY-190</t>
  </si>
  <si>
    <t>Recovery received greater than due is rejected</t>
  </si>
  <si>
    <t>Open recovery 5,000</t>
  </si>
  <si>
    <t xml:space="preserve">1. Open Payroll &gt; Settlement Recoveries
2. Enter 6,000
3. Observe the result and compare with the expected outcome</t>
  </si>
  <si>
    <t>Open recovery 5,000 → Open Payroll &gt; Settlement Recoveries → Enter 6,000 → Observe the result and compare with the expected outcome</t>
  </si>
  <si>
    <t>TC-PAY-191</t>
  </si>
  <si>
    <t>Held Salary Payments page opens and renders correctly</t>
  </si>
  <si>
    <t>Route /payroll/held-salary</t>
  </si>
  <si>
    <t xml:space="preserve">1. Open Payroll &gt; Held Salary Payments from the sidebar
2. Wait for the loading indicator to clear
3. Check the page heading, toolbar buttons and table/cards</t>
  </si>
  <si>
    <t>Logged in as HRMS admin (amit) → Open Payroll &gt; Held Salary Payments from the sidebar → Wait for the loading indicator to clear → Check the page heading, toolbar buttons and table/cards</t>
  </si>
  <si>
    <t>Page loads without login redirect, 404 or app error; heading "Held Salary Payments" shown; held salary list and hold/release actions render</t>
  </si>
  <si>
    <t>Linear 080 Held Salary Payments — page check</t>
  </si>
  <si>
    <t>TC-PAY-192</t>
  </si>
  <si>
    <t>Hold</t>
  </si>
  <si>
    <t>Hold an employee salary with reason</t>
  </si>
  <si>
    <t>Employee in current run</t>
  </si>
  <si>
    <t>Reason: Absconding – pending exit</t>
  </si>
  <si>
    <t xml:space="preserve">1. Add hold
2. Select employee and month
3. Enter reason
4. Save</t>
  </si>
  <si>
    <t>Employee in current run → Add hold → Select employee and month → Enter reason → Save</t>
  </si>
  <si>
    <t>Hold saved; employee shows Held in run and excluded from bank file</t>
  </si>
  <si>
    <t>TC-PAY-193</t>
  </si>
  <si>
    <t>Reason is mandatory for hold</t>
  </si>
  <si>
    <t xml:space="preserve">1. Open Payroll &gt; Held Salary Payments
2. Add hold without reason
3. Save</t>
  </si>
  <si>
    <t>Logged in as HRMS admin (amit) → Open Payroll &gt; Held Salary Payments → Add hold without reason → Save</t>
  </si>
  <si>
    <t>TC-PAY-194</t>
  </si>
  <si>
    <t>Duplicate hold for same employee/month</t>
  </si>
  <si>
    <t>Hold exists</t>
  </si>
  <si>
    <t xml:space="preserve">1. Open Payroll &gt; Held Salary Payments
2. Add another
3. Save</t>
  </si>
  <si>
    <t>Hold exists → Open Payroll &gt; Held Salary Payments → Add another → Save</t>
  </si>
  <si>
    <t>TC-PAY-195</t>
  </si>
  <si>
    <t>Release</t>
  </si>
  <si>
    <t>Release held salary in a later run</t>
  </si>
  <si>
    <t xml:space="preserve">1. Open Payroll &gt; Held Salary Payments
2. Release with remarks
3. Open next bank file</t>
  </si>
  <si>
    <t>Held salary → Open Payroll &gt; Held Salary Payments → Release with remarks → Open next bank file</t>
  </si>
  <si>
    <t>Released amount paid in next run/off-cycle; audit entry</t>
  </si>
  <si>
    <t>TC-PAY-196</t>
  </si>
  <si>
    <t>Absconding exit auto-holds salary</t>
  </si>
  <si>
    <t>Absconding exit initiated</t>
  </si>
  <si>
    <t xml:space="preserve">1. Open Payroll &gt; Held Salary Payments
2. Open Held Salary Payments
3. Observe the result and compare with the expected outcome</t>
  </si>
  <si>
    <t>Absconding exit initiated → Open Payroll &gt; Held Salary Payments → Open Held Salary Payments → Observe the result and compare with the expected outcome</t>
  </si>
  <si>
    <t>Employee listed as held (if configured)</t>
  </si>
  <si>
    <t>TC-PAY-197</t>
  </si>
  <si>
    <t>Statutory Configuration page opens and renders correctly</t>
  </si>
  <si>
    <t>Route /payroll/statutory-config</t>
  </si>
  <si>
    <t xml:space="preserve">1. Open Payroll &gt; Statutory Configuration from the sidebar
2. Wait for the loading indicator to clear
3. Check the page heading, toolbar buttons and table/cards</t>
  </si>
  <si>
    <t>Logged in as HRMS admin (amit) → Open Payroll &gt; Statutory Configuration from the sidebar → Wait for the loading indicator to clear → Check the page heading, toolbar buttons and table/cards</t>
  </si>
  <si>
    <t>Page loads without login redirect, 404 or app error; heading "Statutory Configuration" shown; PF, ESI, Professional Tax, LWF and TDS settings sections render</t>
  </si>
  <si>
    <t>Linear 081 Statutory Configuration — page check</t>
  </si>
  <si>
    <t>TC-PAY-198</t>
  </si>
  <si>
    <t>PF</t>
  </si>
  <si>
    <t>PF settings: establishment code, rates and wage ceiling</t>
  </si>
  <si>
    <t xml:space="preserve">1. Open Payroll &gt; Statutory Configuration
2. Open the PF section
3. Observe the result and compare with the expected outcome</t>
  </si>
  <si>
    <t>Logged in as HRMS admin (amit) → Open Payroll &gt; Statutory Configuration → Open the PF section → Observe the result and compare with the expected outcome</t>
  </si>
  <si>
    <t>Shows establishment code, employee 12%, employer 12% (EPS 8.33% / EPF 3.67%), wage ceiling 15,000, restrict-to-ceiling option</t>
  </si>
  <si>
    <t>TC-PAY-199</t>
  </si>
  <si>
    <t>Invalid PF establishment code format rejected</t>
  </si>
  <si>
    <t>Logged in as HRMS admin (amit); isolated tenant</t>
  </si>
  <si>
    <t>ABC</t>
  </si>
  <si>
    <t xml:space="preserve">1. Open Payroll &gt; Statutory Configuration
2. Enter an establishment code with wrong format
3. Save</t>
  </si>
  <si>
    <t>Logged in as HRMS admin (amit); isolated tenant → Open Payroll &gt; Statutory Configuration → Enter an establishment code with wrong format → Save</t>
  </si>
  <si>
    <t>Module automation owned by teammates (base page checks in linear run). Statutory settings are tenant-wide; test only in an isolated tenant and restore values</t>
  </si>
  <si>
    <t>TC-PAY-200</t>
  </si>
  <si>
    <t>PF rate outside 0–100 rejected</t>
  </si>
  <si>
    <t xml:space="preserve">1. Open Payroll &gt; Statutory Configuration
2. Enter rate 120
3. Save</t>
  </si>
  <si>
    <t>Logged in as HRMS admin (amit); isolated tenant → Open Payroll &gt; Statutory Configuration → Enter rate 120 → Save</t>
  </si>
  <si>
    <t>TC-PAY-201</t>
  </si>
  <si>
    <t>ESI</t>
  </si>
  <si>
    <t>ESI settings: code, rates 0.75% / 3.25%, gross ceiling 21,000</t>
  </si>
  <si>
    <t xml:space="preserve">1. Open Payroll &gt; Statutory Configuration
2. Open the ESI section
3. Observe the result and compare with the expected outcome</t>
  </si>
  <si>
    <t>Logged in as HRMS admin (amit) → Open Payroll &gt; Statutory Configuration → Open the ESI section → Observe the result and compare with the expected outcome</t>
  </si>
  <si>
    <t>Values shown and used in calculation</t>
  </si>
  <si>
    <t>TC-PAY-202</t>
  </si>
  <si>
    <t>ESI code must be 17 digits</t>
  </si>
  <si>
    <t xml:space="preserve">1. Open Payroll &gt; Statutory Configuration
2. Enter 10-digit ESI code
3. Save</t>
  </si>
  <si>
    <t>Logged in as HRMS admin (amit); isolated tenant → Open Payroll &gt; Statutory Configuration → Enter 10-digit ESI code → Save</t>
  </si>
  <si>
    <t>TC-PAY-203</t>
  </si>
  <si>
    <t>PT</t>
  </si>
  <si>
    <t>Professional Tax slab per state</t>
  </si>
  <si>
    <t>Kerala half-yearly slabs</t>
  </si>
  <si>
    <t xml:space="preserve">1. Open PT
2. Add slab rows for a state (range, amount)
3. Save</t>
  </si>
  <si>
    <t>Logged in as HRMS admin (amit); isolated tenant → Open PT → Add slab rows for a state (range, amount) → Save</t>
  </si>
  <si>
    <t>Saved; payroll uses the branch state slab</t>
  </si>
  <si>
    <t>TC-PAY-204</t>
  </si>
  <si>
    <t>Overlapping PT slabs rejected</t>
  </si>
  <si>
    <t xml:space="preserve">1. Open Payroll &gt; Statutory Configuration
2. Add slabs 0–15,000 and 10,000–25,000
3. Save</t>
  </si>
  <si>
    <t>Logged in as HRMS admin (amit); isolated tenant → Open Payroll &gt; Statutory Configuration → Add slabs 0–15,000 and 10,000–25,000 → Save</t>
  </si>
  <si>
    <t>Overlap error</t>
  </si>
  <si>
    <t>TC-PAY-205</t>
  </si>
  <si>
    <t>LWF</t>
  </si>
  <si>
    <t>Labour Welfare Fund contribution config</t>
  </si>
  <si>
    <t xml:space="preserve">1. Open LWF
2. Set employee/employer amount and frequency
3. Save</t>
  </si>
  <si>
    <t>Logged in as HRMS admin (amit); isolated tenant → Open LWF → Set employee/employer amount and frequency → Save</t>
  </si>
  <si>
    <t>Saved; LWF deducted in the configured months</t>
  </si>
  <si>
    <t>TC-PAY-206</t>
  </si>
  <si>
    <t>TDS</t>
  </si>
  <si>
    <t>Employer TAN and default regime</t>
  </si>
  <si>
    <t>ABCD1234</t>
  </si>
  <si>
    <t xml:space="preserve">1. Open Payroll &gt; Statutory Configuration
2. Enter TAN in wrong format (not 4 letters+5 digits+1 letter)
3. Save</t>
  </si>
  <si>
    <t>Logged in as HRMS admin (amit); isolated tenant → Open Payroll &gt; Statutory Configuration → Enter TAN in wrong format (not 4 letters+5 digits+1 letter) → Save</t>
  </si>
  <si>
    <t>Rejected; valid TAN saved</t>
  </si>
  <si>
    <t>TC-PAY-207</t>
  </si>
  <si>
    <t>Only payroll admins can change statutory settings</t>
  </si>
  <si>
    <t xml:space="preserve">1. Log in as Staff
2. Open /payroll/statutory-config
3. Observe the result and compare with the expected outcome</t>
  </si>
  <si>
    <t>A Staff-role employee login exists (initial password = employee code) → Log in as Staff → Open /payroll/statutory-config → Observe the result and compare with the expected outcome</t>
  </si>
  <si>
    <t>TC-PAY-208</t>
  </si>
  <si>
    <t>Statutory Returns page opens and renders correctly</t>
  </si>
  <si>
    <t>Route /payroll/statutory-returns</t>
  </si>
  <si>
    <t xml:space="preserve">1. Open Payroll &gt; Statutory Returns from the sidebar
2. Wait for the loading indicator to clear
3. Check the page heading, toolbar buttons and table/cards</t>
  </si>
  <si>
    <t>Logged in as HRMS admin (amit) → Open Payroll &gt; Statutory Returns from the sidebar → Wait for the loading indicator to clear → Check the page heading, toolbar buttons and table/cards</t>
  </si>
  <si>
    <t>Page loads without login redirect, 404 or app error; heading "Statutory Returns" shown; return types (PF ECR, ESI, PT, TDS 24Q) and period selector render</t>
  </si>
  <si>
    <t>Linear 082 Statutory Returns — page check</t>
  </si>
  <si>
    <t>TC-PAY-209</t>
  </si>
  <si>
    <t>Generate PF ECR file for a finalised month</t>
  </si>
  <si>
    <t xml:space="preserve">1. Open Payroll &gt; Statutory Returns
2. Select PF ECR and the month
3. Generate</t>
  </si>
  <si>
    <t>Finalised run → Open Payroll &gt; Statutory Returns → Select PF ECR and the month → Generate</t>
  </si>
  <si>
    <t>ECR text with UAN, gross wages, EPF/EPS/EDLI wages and contributions; totals match the PF report</t>
  </si>
  <si>
    <t>TC-PAY-210</t>
  </si>
  <si>
    <t>Employees without UAN reported as exceptions</t>
  </si>
  <si>
    <t>PF member without UAN</t>
  </si>
  <si>
    <t xml:space="preserve">1. Open Payroll &gt; Statutory Returns
2. Generate ECR
3. Observe the result and compare with the expected outcome</t>
  </si>
  <si>
    <t>PF member without UAN → Open Payroll &gt; Statutory Returns → Generate ECR → Observe the result and compare with the expected outcome</t>
  </si>
  <si>
    <t>Exception list names the employee</t>
  </si>
  <si>
    <t>TC-PAY-211</t>
  </si>
  <si>
    <t>ESI monthly contribution file</t>
  </si>
  <si>
    <t>ESI-eligible employees</t>
  </si>
  <si>
    <t xml:space="preserve">1. Open Payroll &gt; Statutory Returns
2. Select ESI and month
3. Generate</t>
  </si>
  <si>
    <t>ESI-eligible employees → Open Payroll &gt; Statutory Returns → Select ESI and month → Generate</t>
  </si>
  <si>
    <t>IP number, days, wages, contribution; zero-day rows with reason code</t>
  </si>
  <si>
    <t>TC-PAY-212</t>
  </si>
  <si>
    <t>Return for a draft (unfinalised) month refused</t>
  </si>
  <si>
    <t>Draft run only</t>
  </si>
  <si>
    <t xml:space="preserve">1. Open Payroll &gt; Statutory Returns
2. Generate any return
3. Observe the result and compare with the expected outcome</t>
  </si>
  <si>
    <t>Draft run only → Open Payroll &gt; Statutory Returns → Generate any return → Observe the result and compare with the expected outcome</t>
  </si>
  <si>
    <t>Refused: month not finalised</t>
  </si>
  <si>
    <t>TC-PAY-213</t>
  </si>
  <si>
    <t>Quarterly TDS 24Q data</t>
  </si>
  <si>
    <t>Quarter finalised</t>
  </si>
  <si>
    <t xml:space="preserve">1. Open Payroll &gt; Statutory Returns
2. Select 24Q
3. Generate</t>
  </si>
  <si>
    <t>Quarter finalised → Open Payroll &gt; Statutory Returns → Select 24Q → Generate</t>
  </si>
  <si>
    <t>Deductee rows with PAN, amount paid, TDS, challan mapping</t>
  </si>
  <si>
    <t>TC-PAY-214</t>
  </si>
  <si>
    <t>Submit</t>
  </si>
  <si>
    <t>Mark a statutory return as filed</t>
  </si>
  <si>
    <t>Generated return</t>
  </si>
  <si>
    <t xml:space="preserve">1. Open Payroll &gt; Statutory Returns
2. Mark filed with acknowledgement no
3. Confirm</t>
  </si>
  <si>
    <t>Generated return → Open Payroll &gt; Statutory Returns → Mark filed with acknowledgement no → Confirm</t>
  </si>
  <si>
    <t>Status Filed; locked</t>
  </si>
  <si>
    <t>Statutory submissions are never automated (irreversible, external filing)</t>
  </si>
  <si>
    <t>TC-PAY-215</t>
  </si>
  <si>
    <t>TDS Challans page opens and renders correctly</t>
  </si>
  <si>
    <t>Route /payroll/tds-challans</t>
  </si>
  <si>
    <t xml:space="preserve">1. Open Payroll &gt; TDS Challans from the sidebar
2. Wait for the loading indicator to clear
3. Check the page heading, toolbar buttons and table/cards</t>
  </si>
  <si>
    <t>Logged in as HRMS admin (amit) → Open Payroll &gt; TDS Challans from the sidebar → Wait for the loading indicator to clear → Check the page heading, toolbar buttons and table/cards</t>
  </si>
  <si>
    <t>Page loads without login redirect, 404 or app error; heading "TDS Challans" shown; challan list and add action render</t>
  </si>
  <si>
    <t>Linear 083 TDS Challans — page check</t>
  </si>
  <si>
    <t>TC-PAY-216</t>
  </si>
  <si>
    <t>Record a TDS challan</t>
  </si>
  <si>
    <t>Month TDS known</t>
  </si>
  <si>
    <t>BSR 0510308; Serial 00123</t>
  </si>
  <si>
    <t xml:space="preserve">1. Click add
2. Enter month, BSR code, challan serial, date, amount
3. Save</t>
  </si>
  <si>
    <t>Month TDS known → Click add → Enter month, BSR code, challan serial, date, amount → Save</t>
  </si>
  <si>
    <t>Saved; challan available for 24Q mapping</t>
  </si>
  <si>
    <t>TC-PAY-217</t>
  </si>
  <si>
    <t>BSR code must be 7 digits and challan serial 5 digits</t>
  </si>
  <si>
    <t xml:space="preserve">1. Open Payroll &gt; TDS Challans
2. Enter BSR 12345 and serial 12
3. Save</t>
  </si>
  <si>
    <t>Logged in as HRMS admin (amit) → Open Payroll &gt; TDS Challans → Enter BSR 12345 and serial 12 → Save</t>
  </si>
  <si>
    <t>Format errors shown</t>
  </si>
  <si>
    <t>TC-PAY-218</t>
  </si>
  <si>
    <t>Challan amount less than TDS deducted is warned</t>
  </si>
  <si>
    <t>Month TDS 50,000</t>
  </si>
  <si>
    <t xml:space="preserve">1. Open Payroll &gt; TDS Challans
2. Enter challan amount 40,000
3. Save</t>
  </si>
  <si>
    <t>Month TDS 50,000 → Open Payroll &gt; TDS Challans → Enter challan amount 40,000 → Save</t>
  </si>
  <si>
    <t>Short-payment warning shown</t>
  </si>
  <si>
    <t>TC-PAY-219</t>
  </si>
  <si>
    <t>Duplicate challan serial for same date/BSR rejected</t>
  </si>
  <si>
    <t>Challan exists</t>
  </si>
  <si>
    <t xml:space="preserve">1. Open Payroll &gt; TDS Challans
2. Add same BSR/serial/date
3. Save</t>
  </si>
  <si>
    <t>Challan exists → Open Payroll &gt; TDS Challans → Add same BSR/serial/date → Save</t>
  </si>
  <si>
    <t>Duplicate refused</t>
  </si>
  <si>
    <t>TC-PAY-220</t>
  </si>
  <si>
    <t>Future deposit date rejected</t>
  </si>
  <si>
    <t xml:space="preserve">1. Open Payroll &gt; TDS Challans
2. Enter tomorrow as deposit date
3. Save</t>
  </si>
  <si>
    <t>Logged in as HRMS admin (amit) → Open Payroll &gt; TDS Challans → Enter tomorrow as deposit date → Save</t>
  </si>
  <si>
    <t>TC-PAY-221</t>
  </si>
  <si>
    <t>Tax Declarations page opens and renders correctly</t>
  </si>
  <si>
    <t>Route /payroll/tax-declarations</t>
  </si>
  <si>
    <t xml:space="preserve">1. Open Payroll &gt; Tax Declarations from the sidebar
2. Wait for the loading indicator to clear
3. Check the page heading, toolbar buttons and table/cards</t>
  </si>
  <si>
    <t>Logged in as HRMS admin (amit) → Open Payroll &gt; Tax Declarations from the sidebar → Wait for the loading indicator to clear → Check the page heading, toolbar buttons and table/cards</t>
  </si>
  <si>
    <t>Page loads without login redirect, 404 or app error; heading "Tax Declarations" shown; declaration list with employee, regime, status, proof status and filters render</t>
  </si>
  <si>
    <t>Linear 084 Tax Declarations — page check</t>
  </si>
  <si>
    <t>TC-PAY-222</t>
  </si>
  <si>
    <t>ESS declare</t>
  </si>
  <si>
    <t>Employee submits investment declaration (old regime)</t>
  </si>
  <si>
    <t>Declaration window open; employee on old regime</t>
  </si>
  <si>
    <t xml:space="preserve">1. Log in as employee
2. Open My Workspace &gt; Tax
3. Enter 80C 1,50,000, 80D 25,000, HRA rent 15,000/month with landlord details
4. Submit</t>
  </si>
  <si>
    <t>Declaration window open; employee on old regime → Log in as employee → Open My Workspace &gt; Tax → Enter 80C 1,50,000, 80D 25,000, HRA rent 15,000/month with landlord details → Submit</t>
  </si>
  <si>
    <t>Declaration Submitted; HR list shows it; TDS projection reduces</t>
  </si>
  <si>
    <t>TC-PAY-223</t>
  </si>
  <si>
    <t>Limits</t>
  </si>
  <si>
    <t>80C above 1,50,000 is capped/rejected</t>
  </si>
  <si>
    <t>Old regime</t>
  </si>
  <si>
    <t xml:space="preserve">1. Open Payroll &gt; Tax Declarations
2. Enter 80C 2,00,000
3. Submit</t>
  </si>
  <si>
    <t>Old regime → Open Payroll &gt; Tax Declarations → Enter 80C 2,00,000 → Submit</t>
  </si>
  <si>
    <t>Capped at 1,50,000 or validation message</t>
  </si>
  <si>
    <t>TC-PAY-224</t>
  </si>
  <si>
    <t>80D above limit is capped</t>
  </si>
  <si>
    <t xml:space="preserve">1. Open Payroll &gt; Tax Declarations
2. Enter 80D self 40,000 (non-senior)
3. Submit</t>
  </si>
  <si>
    <t>Logged in as HRMS admin (amit) → Open Payroll &gt; Tax Declarations → Enter 80D self 40,000 (non-senior) → Submit</t>
  </si>
  <si>
    <t>Capped at 25,000 per rules</t>
  </si>
  <si>
    <t>TC-PAY-225</t>
  </si>
  <si>
    <t>HRA</t>
  </si>
  <si>
    <t>Landlord PAN mandatory when annual rent exceeds 1,00,000</t>
  </si>
  <si>
    <t xml:space="preserve">1. Open Payroll &gt; Tax Declarations
2. Enter rent 10,000/month without landlord PAN
3. Submit</t>
  </si>
  <si>
    <t>Logged in as HRMS admin (amit) → Open Payroll &gt; Tax Declarations → Enter rent 10,000/month without landlord PAN → Submit</t>
  </si>
  <si>
    <t>Validation requires landlord PAN</t>
  </si>
  <si>
    <t>TC-PAY-226</t>
  </si>
  <si>
    <t>HRA exemption computed as least of three</t>
  </si>
  <si>
    <t>Basic 20,000, HRA 10,000, rent 12,000, metro</t>
  </si>
  <si>
    <t xml:space="preserve">1. Open Payroll &gt; Tax Declarations
2. Submit declaration
3. Open TDS projection</t>
  </si>
  <si>
    <t>Basic 20,000, HRA 10,000, rent 12,000, metro → Open Payroll &gt; Tax Declarations → Submit declaration → Open TDS projection</t>
  </si>
  <si>
    <t>Exemption = min(HRA received, rent − 10% basic, 50% basic) = 10,000/month</t>
  </si>
  <si>
    <t>TC-PAY-227</t>
  </si>
  <si>
    <t>Regime</t>
  </si>
  <si>
    <t>New regime ignores old-regime deductions</t>
  </si>
  <si>
    <t>Employee on new regime</t>
  </si>
  <si>
    <t xml:space="preserve">1. Open Payroll &gt; Tax Declarations
2. Open the declaration form
3. Observe the result and compare with the expected outcome</t>
  </si>
  <si>
    <t>Employee on new regime → Open Payroll &gt; Tax Declarations → Open the declaration form → Observe the result and compare with the expected outcome</t>
  </si>
  <si>
    <t>Chapter VI-A fields disabled/ignored; only allowed items (e.g. employer NPS 80CCD(2)) apply</t>
  </si>
  <si>
    <t>TC-PAY-228</t>
  </si>
  <si>
    <t>Employee switches regime within the window</t>
  </si>
  <si>
    <t>Window open</t>
  </si>
  <si>
    <t xml:space="preserve">1. Open Payroll &gt; Tax Declarations
2. Change regime
3. Save</t>
  </si>
  <si>
    <t>Window open → Open Payroll &gt; Tax Declarations → Change regime → Save</t>
  </si>
  <si>
    <t>Regime updated; TDS recalculated in next run</t>
  </si>
  <si>
    <t>TC-PAY-229</t>
  </si>
  <si>
    <t>Proofs</t>
  </si>
  <si>
    <t>Upload proof documents</t>
  </si>
  <si>
    <t>Proof window open</t>
  </si>
  <si>
    <t xml:space="preserve">1. Open Payroll &gt; Tax Declarations
2. Upload PDF proof for 80C
3. Submit</t>
  </si>
  <si>
    <t>Proof window open → Open Payroll &gt; Tax Declarations → Upload PDF proof for 80C → Submit</t>
  </si>
  <si>
    <t>Proof status Submitted</t>
  </si>
  <si>
    <t>TC-PAY-230</t>
  </si>
  <si>
    <t>HR verifies/rejects a proof with reason</t>
  </si>
  <si>
    <t>Submitted proof</t>
  </si>
  <si>
    <t xml:space="preserve">1. Open the declaration
2. Reject one proof with reason
3. Approve another</t>
  </si>
  <si>
    <t>Submitted proof → Open the declaration → Reject one proof with reason → Approve another</t>
  </si>
  <si>
    <t>Rejected amount excluded from TDS; employee sees reason</t>
  </si>
  <si>
    <t>TC-PAY-231</t>
  </si>
  <si>
    <t>Invalid proof file type rejected</t>
  </si>
  <si>
    <t xml:space="preserve">1. Open Payroll &gt; Tax Declarations
2. Upload .exe
3. Observe the result and compare with the expected outcome</t>
  </si>
  <si>
    <t>Logged in as HRMS admin (amit) → Open Payroll &gt; Tax Declarations → Upload .exe → Observe the result and compare with the expected outcome</t>
  </si>
  <si>
    <t>Rejected with allowed types</t>
  </si>
  <si>
    <t>TC-PAY-232</t>
  </si>
  <si>
    <t>Window</t>
  </si>
  <si>
    <t>Declaration locked after the window closes</t>
  </si>
  <si>
    <t>Window closed</t>
  </si>
  <si>
    <t xml:space="preserve">1. Open Payroll &gt; Tax Declarations
2. Try to edit as employee
3. Observe the result and compare with the expected outcome</t>
  </si>
  <si>
    <t>Window closed → Open Payroll &gt; Tax Declarations → Try to edit as employee → Observe the result and compare with the expected outcome</t>
  </si>
  <si>
    <t>Read-only with message</t>
  </si>
  <si>
    <t>TC-PAY-233</t>
  </si>
  <si>
    <t>Filter declarations by status and regime</t>
  </si>
  <si>
    <t xml:space="preserve">1. Open Payroll &gt; Tax Declarations
2. Filter Submitted / Old regime
3. Observe the result and compare with the expected outcome</t>
  </si>
  <si>
    <t>Logged in as HRMS admin (amit) → Open Payroll &gt; Tax Declarations → Filter Submitted / Old regime → Observe the result and compare with the expected outcome</t>
  </si>
  <si>
    <t>List filters correctly</t>
  </si>
  <si>
    <t>TC-PAY-234</t>
  </si>
  <si>
    <t>Employee sees only own declaration</t>
  </si>
  <si>
    <t xml:space="preserve">1. Log in as Staff
2. Open /payroll/tax-declarations by URL
3. Observe the result and compare with the expected outcome</t>
  </si>
  <si>
    <t>A Staff-role employee login exists (initial password = employee code) → Log in as Staff → Open /payroll/tax-declarations by URL → Observe the result and compare with the expected outcome</t>
  </si>
  <si>
    <t>Denied; own declaration only via My Workspace &gt; Tax</t>
  </si>
  <si>
    <t>TC-PAY-235</t>
  </si>
  <si>
    <t>Previous Employer (12B) page opens and renders correctly</t>
  </si>
  <si>
    <t>Route /payroll/previous-employer</t>
  </si>
  <si>
    <t xml:space="preserve">1. Open Payroll &gt; Previous Employer (12B) from the sidebar
2. Wait for the loading indicator to clear
3. Check the page heading, toolbar buttons and table/cards</t>
  </si>
  <si>
    <t>Logged in as HRMS admin (amit) → Open Payroll &gt; Previous Employer (12B) from the sidebar → Wait for the loading indicator to clear → Check the page heading, toolbar buttons and table/cards</t>
  </si>
  <si>
    <t>Page loads without login redirect, 404 or app error; heading "Previous Employer (12B)" shown; previous employer declarations list render</t>
  </si>
  <si>
    <t>Linear 085 Previous Employer (12B) — page check</t>
  </si>
  <si>
    <t>TC-PAY-236</t>
  </si>
  <si>
    <t>Joiner declares previous employer income and TDS (Form 12B)</t>
  </si>
  <si>
    <t>Employee joined mid-year</t>
  </si>
  <si>
    <t xml:space="preserve">1. Log in as employee
2. Open My Workspace &gt; Previous Employer (12B)
3. Enter employer name, TAN, period, gross, PF, PT, TDS
4. Attach Form 16/12B
5. Submit</t>
  </si>
  <si>
    <t>Employee joined mid-year → Log in as employee → Open My Workspace &gt; Previous Employer (12B) → Enter employer name, TAN, period, gross, PF, PT, TDS → Attach Form 16/12B → Submit</t>
  </si>
  <si>
    <t>Declaration Pending (Previous Employer Declaration approval)</t>
  </si>
  <si>
    <t>TC-PAY-237</t>
  </si>
  <si>
    <t>TAN format and mandatory amounts</t>
  </si>
  <si>
    <t xml:space="preserve">1. Open Payroll &gt; Previous Employer (12B)
2. Enter invalid TAN / leave gross empty
3. Submit</t>
  </si>
  <si>
    <t>Logged in as HRMS admin (amit) → Open Payroll &gt; Previous Employer (12B) → Enter invalid TAN / leave gross empty → Submit</t>
  </si>
  <si>
    <t>Validation messages</t>
  </si>
  <si>
    <t>TC-PAY-238</t>
  </si>
  <si>
    <t>Period overlapping current employment rejected</t>
  </si>
  <si>
    <t xml:space="preserve">1. Open Payroll &gt; Previous Employer (12B)
2. Enter period ending after joining date
3. Submit</t>
  </si>
  <si>
    <t>Logged in as HRMS admin (amit) → Open Payroll &gt; Previous Employer (12B) → Enter period ending after joining date → Submit</t>
  </si>
  <si>
    <t>TC-PAY-239</t>
  </si>
  <si>
    <t>HR approves the 12B declaration</t>
  </si>
  <si>
    <t>Pending declaration</t>
  </si>
  <si>
    <t xml:space="preserve">1. Open Payroll &gt; Previous Employer (12B)
2. Approve in /approvals
3. Observe the result and compare with the expected outcome</t>
  </si>
  <si>
    <t>Pending declaration → Open Payroll &gt; Previous Employer (12B) → Approve in /approvals → Observe the result and compare with the expected outcome</t>
  </si>
  <si>
    <t>Status Approved; amounts included in TDS projection</t>
  </si>
  <si>
    <t>TC-PAY-240</t>
  </si>
  <si>
    <t>Approved previous TDS reduces current TDS</t>
  </si>
  <si>
    <t>Approved 12B with TDS</t>
  </si>
  <si>
    <t xml:space="preserve">1. Open Payroll &gt; Previous Employer (12B)
2. Preview next run TDS
3. Observe the result and compare with the expected outcome</t>
  </si>
  <si>
    <t>Approved 12B with TDS → Open Payroll &gt; Previous Employer (12B) → Preview next run TDS → Observe the result and compare with the expected outcome</t>
  </si>
  <si>
    <t>Annual tax computed on combined income; current TDS reduced by previous TDS</t>
  </si>
  <si>
    <t>TC-PAY-241</t>
  </si>
  <si>
    <t>Employee sees only own 12B</t>
  </si>
  <si>
    <t xml:space="preserve">1. Log in as Staff
2. Open /payroll/previous-employer
3. Observe the result and compare with the expected outcome</t>
  </si>
  <si>
    <t>A Staff-role employee login exists (initial password = employee code) → Log in as Staff → Open /payroll/previous-employer → Observe the result and compare with the expected outcome</t>
  </si>
  <si>
    <t>Denied; own via ESS only</t>
  </si>
  <si>
    <t>TC-PAY-242</t>
  </si>
  <si>
    <t>Regime Comparison page opens and renders correctly</t>
  </si>
  <si>
    <t>Route /payroll/regime-comparison</t>
  </si>
  <si>
    <t xml:space="preserve">1. Open Payroll &gt; Regime Comparison from the sidebar
2. Wait for the loading indicator to clear
3. Check the page heading, toolbar buttons and table/cards</t>
  </si>
  <si>
    <t>Logged in as HRMS admin (amit) → Open Payroll &gt; Regime Comparison from the sidebar → Wait for the loading indicator to clear → Check the page heading, toolbar buttons and table/cards</t>
  </si>
  <si>
    <t>Page loads without login redirect, 404 or app error; heading "Regime Comparison" shown; employee selector and old vs new regime comparison table render</t>
  </si>
  <si>
    <t>Linear 086 Regime Comparison — page check</t>
  </si>
  <si>
    <t>TC-PAY-243</t>
  </si>
  <si>
    <t>Compare</t>
  </si>
  <si>
    <t>Compare tax under old and new regime</t>
  </si>
  <si>
    <t>Employee with salary and declarations</t>
  </si>
  <si>
    <t>Gross 12,00,000; 80C 1,50,000</t>
  </si>
  <si>
    <t xml:space="preserve">1. Open Payroll &gt; Regime Comparison
2. Select the employee
3. Read both columns</t>
  </si>
  <si>
    <t>Employee with salary and declarations → Open Payroll &gt; Regime Comparison → Select the employee → Read both columns</t>
  </si>
  <si>
    <t>Each column shows gross, standard deduction (old 50,000 / new 75,000), deductions, taxable, tax, cess 4%, total; lower option highlighted</t>
  </si>
  <si>
    <t>TC-PAY-244</t>
  </si>
  <si>
    <t>New regime rebate u/s 87A up to 12 lakh taxable</t>
  </si>
  <si>
    <t xml:space="preserve">1. Open Payroll &gt; Regime Comparison
2. Compare an employee with new-regime taxable income 12,00,000 and 12,10,000
3. Observe the result and compare with the expected outcome</t>
  </si>
  <si>
    <t>Logged in as HRMS admin (amit) → Open Payroll &gt; Regime Comparison → Compare an employee with new-regime taxable income 12,00,000 and 12,10,000 → Observe the result and compare with the expected outcome</t>
  </si>
  <si>
    <t>Tax nil at 12,00,000 (rebate); tax payable above (with marginal relief)</t>
  </si>
  <si>
    <t>TC-PAY-245</t>
  </si>
  <si>
    <t>Old regime rebate up to 5 lakh taxable</t>
  </si>
  <si>
    <t xml:space="preserve">1. Open Payroll &gt; Regime Comparison
2. Compare an employee with old-regime taxable 5,00,000
3. Observe the result and compare with the expected outcome</t>
  </si>
  <si>
    <t>Logged in as HRMS admin (amit) → Open Payroll &gt; Regime Comparison → Compare an employee with old-regime taxable 5,00,000 → Observe the result and compare with the expected outcome</t>
  </si>
  <si>
    <t>Tax nil after 87A rebate</t>
  </si>
  <si>
    <t>TC-PAY-246</t>
  </si>
  <si>
    <t>Employee without salary structure</t>
  </si>
  <si>
    <t xml:space="preserve">1. Open Payroll &gt; Regime Comparison
2. Select an employee with no structure
3. Observe the result and compare with the expected outcome</t>
  </si>
  <si>
    <t>Logged in as HRMS admin (amit) → Open Payroll &gt; Regime Comparison → Select an employee with no structure → Observe the result and compare with the expected outcome</t>
  </si>
  <si>
    <t>Friendly message; no NaN/0 confusion</t>
  </si>
  <si>
    <t>TC-PAY-247</t>
  </si>
  <si>
    <t>Employee views own regime comparison</t>
  </si>
  <si>
    <t xml:space="preserve">1. Log in as Staff
2. Open My Workspace &gt; Tax
3. Observe the result and compare with the expected outcome</t>
  </si>
  <si>
    <t>A Staff-role employee login exists (initial password = employee code) → Log in as Staff → Open My Workspace &gt; Tax → Observe the result and compare with the expected outcome</t>
  </si>
  <si>
    <t>Own comparison only</t>
  </si>
  <si>
    <t>TC-PAY-248</t>
  </si>
  <si>
    <t>Payroll Dashboard page opens and renders correctly</t>
  </si>
  <si>
    <t>Route /payroll/dashboard</t>
  </si>
  <si>
    <t xml:space="preserve">1. Open Payroll &gt; Dashboard from the sidebar
2. Wait for the loading indicator to clear
3. Check the page heading, toolbar buttons and table/cards</t>
  </si>
  <si>
    <t>Logged in as HRMS admin (amit) → Open Payroll &gt; Dashboard from the sidebar → Wait for the loading indicator to clear → Check the page heading, toolbar buttons and table/cards</t>
  </si>
  <si>
    <t>Page loads without login redirect, 404 or app error; heading "Payroll Dashboard" shown; KPI tiles (headcount paid, gross, net, statutory dues) and charts render</t>
  </si>
  <si>
    <t>Linear 087 Payroll Dashboard — page check</t>
  </si>
  <si>
    <t>TC-PAY-249</t>
  </si>
  <si>
    <t>KPIs</t>
  </si>
  <si>
    <t>Dashboard totals reconcile with the latest run</t>
  </si>
  <si>
    <t xml:space="preserve">1. Open Payroll &gt; Dashboard
2. Open the dashboard
3. Compare gross/net/headcount with Payroll Runs</t>
  </si>
  <si>
    <t>Processed run → Open Payroll &gt; Dashboard → Open the dashboard → Compare gross/net/headcount with Payroll Runs</t>
  </si>
  <si>
    <t>Figures match the run</t>
  </si>
  <si>
    <t>TC-PAY-250</t>
  </si>
  <si>
    <t>Empty tenant shows zero state</t>
  </si>
  <si>
    <t>No runs</t>
  </si>
  <si>
    <t xml:space="preserve">1. Open Payroll &gt; Dashboard
2. Open the dashboard
3. Observe the result and compare with the expected outcome</t>
  </si>
  <si>
    <t>No runs → Open Payroll &gt; Dashboard → Open the dashboard → Observe the result and compare with the expected outcome</t>
  </si>
  <si>
    <t>Zero/empty-state cards; no errors</t>
  </si>
  <si>
    <t>TC-PAY-251</t>
  </si>
  <si>
    <t>Tiles deep-link to underlying pages</t>
  </si>
  <si>
    <t xml:space="preserve">1. Open Payroll &gt; Dashboard
2. Click each clickable tile
3. Observe the result and compare with the expected outcome</t>
  </si>
  <si>
    <t>Logged in as HRMS admin (amit) → Open Payroll &gt; Dashboard → Click each clickable tile → Observe the result and compare with the expected outcome</t>
  </si>
  <si>
    <t>Opens the filtered page (runs, pending declarations, outliers)</t>
  </si>
  <si>
    <t>TC-PAY-252</t>
  </si>
  <si>
    <t>Period</t>
  </si>
  <si>
    <t>Switch month/financial year</t>
  </si>
  <si>
    <t xml:space="preserve">1. Open Payroll &gt; Dashboard
2. Change the period selector
3. Observe the result and compare with the expected outcome</t>
  </si>
  <si>
    <t>Logged in as HRMS admin (amit) → Open Payroll &gt; Dashboard → Change the period selector → Observe the result and compare with the expected outcome</t>
  </si>
  <si>
    <t>Figures update for the selected period</t>
  </si>
  <si>
    <t>TC-PAY-253</t>
  </si>
  <si>
    <t>Staff user cannot open /payroll/dashboard via direct URL</t>
  </si>
  <si>
    <t xml:space="preserve">1. Log in as the Staff employee
2. Paste the URL of /payroll/dashboard into the address bar
3. Observe the result</t>
  </si>
  <si>
    <t>A Staff-role employee login exists (initial password = employee code) → Log in as the Staff employee → Paste the URL of /payroll/dashboard into the address bar → Observe the result</t>
  </si>
  <si>
    <t>TC-PAY-254</t>
  </si>
  <si>
    <t>Payroll Report Pack page opens and renders correctly</t>
  </si>
  <si>
    <t>Route /payroll/reports</t>
  </si>
  <si>
    <t xml:space="preserve">1. Open Payroll &gt; Payroll Report Pack from the sidebar
2. Wait for the loading indicator to clear
3. Check the page heading, toolbar buttons and table/cards</t>
  </si>
  <si>
    <t>Logged in as HRMS admin (amit) → Open Payroll &gt; Payroll Report Pack from the sidebar → Wait for the loading indicator to clear → Check the page heading, toolbar buttons and table/cards</t>
  </si>
  <si>
    <t>Page loads without login redirect, 404 or app error; heading "Payroll Report Pack" shown; report list (salary register, PF, ESI, PT, TDS, variance, bank) with period filters render</t>
  </si>
  <si>
    <t>Linear 088 Payroll Report Pack — page check</t>
  </si>
  <si>
    <t>TC-PAY-255</t>
  </si>
  <si>
    <t>Reports</t>
  </si>
  <si>
    <t>Salary register for a month</t>
  </si>
  <si>
    <t xml:space="preserve">1. Open Payroll &gt; Payroll Report Pack
2. Select Salary Register and month
3. Generate</t>
  </si>
  <si>
    <t>Processed run → Open Payroll &gt; Payroll Report Pack → Select Salary Register and month → Generate</t>
  </si>
  <si>
    <t>One row per employee with all components; totals equal run totals</t>
  </si>
  <si>
    <t>TC-PAY-256</t>
  </si>
  <si>
    <t>PF report</t>
  </si>
  <si>
    <t xml:space="preserve">1. Open Payroll &gt; Payroll Report Pack
2. Generate PF report
3. Observe the result and compare with the expected outcome</t>
  </si>
  <si>
    <t>Processed run → Open Payroll &gt; Payroll Report Pack → Generate PF report → Observe the result and compare with the expected outcome</t>
  </si>
  <si>
    <t>UAN, PF wages, EE/ER shares; totals match ECR</t>
  </si>
  <si>
    <t>TC-PAY-257</t>
  </si>
  <si>
    <t>ESI report</t>
  </si>
  <si>
    <t xml:space="preserve">1. Open Payroll &gt; Payroll Report Pack
2. Generate ESI report
3. Observe the result and compare with the expected outcome</t>
  </si>
  <si>
    <t>Logged in as HRMS admin (amit) → Open Payroll &gt; Payroll Report Pack → Generate ESI report → Observe the result and compare with the expected outcome</t>
  </si>
  <si>
    <t>Only ESI-eligible employees; totals correct</t>
  </si>
  <si>
    <t>TC-PAY-258</t>
  </si>
  <si>
    <t>PT and TDS reports</t>
  </si>
  <si>
    <t xml:space="preserve">1. Open Payroll &gt; Payroll Report Pack
2. Generate PT report and TDS report
3. Observe the result and compare with the expected outcome</t>
  </si>
  <si>
    <t>Logged in as HRMS admin (amit) → Open Payroll &gt; Payroll Report Pack → Generate PT report and TDS report → Observe the result and compare with the expected outcome</t>
  </si>
  <si>
    <t>Per-employee PT/TDS matches payslips</t>
  </si>
  <si>
    <t>TC-PAY-259</t>
  </si>
  <si>
    <t>Month-on-month variance report</t>
  </si>
  <si>
    <t>Two runs</t>
  </si>
  <si>
    <t xml:space="preserve">1. Open Payroll &gt; Payroll Report Pack
2. Generate variance
3. Observe the result and compare with the expected outcome</t>
  </si>
  <si>
    <t>Two runs → Open Payroll &gt; Payroll Report Pack → Generate variance → Observe the result and compare with the expected outcome</t>
  </si>
  <si>
    <t>Differences per employee with reason columns (LOP, revision, new joiner, leaver)</t>
  </si>
  <si>
    <t>TC-PAY-260</t>
  </si>
  <si>
    <t>Export report to Excel/PDF</t>
  </si>
  <si>
    <t xml:space="preserve">1. Open Payroll &gt; Payroll Report Pack
2. Click export
3. Observe the result and compare with the expected outcome</t>
  </si>
  <si>
    <t>Logged in as HRMS admin (amit) → Open Payroll &gt; Payroll Report Pack → Click export → Observe the result and compare with the expected outcome</t>
  </si>
  <si>
    <t>File downloads with same data</t>
  </si>
  <si>
    <t>TC-PAY-261</t>
  </si>
  <si>
    <t>Report with no data / invalid date range</t>
  </si>
  <si>
    <t xml:space="preserve">1. Open Payroll &gt; Payroll Report Pack
2. Choose end before start
3. Generate</t>
  </si>
  <si>
    <t>Logged in as HRMS admin (amit) → Open Payroll &gt; Payroll Report Pack → Choose end before start → Generate</t>
  </si>
  <si>
    <t>Validation or "no data" message</t>
  </si>
  <si>
    <t>TC-PAY-262</t>
  </si>
  <si>
    <t>Audit Trail page opens and renders correctly</t>
  </si>
  <si>
    <t>Route /payroll/audit-trail</t>
  </si>
  <si>
    <t xml:space="preserve">1. Open Payroll &gt; Audit Trail from the sidebar
2. Wait for the loading indicator to clear
3. Check the page heading, toolbar buttons and table/cards</t>
  </si>
  <si>
    <t>Logged in as HRMS admin (amit) → Open Payroll &gt; Audit Trail from the sidebar → Wait for the loading indicator to clear → Check the page heading, toolbar buttons and table/cards</t>
  </si>
  <si>
    <t>Page loads without login redirect, 404 or app error; heading "Audit Trail" shown; audit log table with date, user, entity, action and filters render</t>
  </si>
  <si>
    <t>Linear 089 Audit Trail — page check</t>
  </si>
  <si>
    <t>TC-PAY-263</t>
  </si>
  <si>
    <t>Audit</t>
  </si>
  <si>
    <t>Component change is logged</t>
  </si>
  <si>
    <t>Edit a salary component</t>
  </si>
  <si>
    <t xml:space="preserve">1. Open Payroll &gt; Audit Trail
2. Open Audit Trail
3. Filter by entity</t>
  </si>
  <si>
    <t>Edit a salary component → Open Payroll &gt; Audit Trail → Open Audit Trail → Filter by entity</t>
  </si>
  <si>
    <t>Entry shows user, timestamp, old → new values</t>
  </si>
  <si>
    <t>TC-PAY-264</t>
  </si>
  <si>
    <t>Salary assignment and revision logged</t>
  </si>
  <si>
    <t>Assign salary / apply revision</t>
  </si>
  <si>
    <t xml:space="preserve">1. Open Payroll &gt; Audit Trail
2. Open Audit Trail
3. Observe the result and compare with the expected outcome</t>
  </si>
  <si>
    <t>Assign salary / apply revision → Open Payroll &gt; Audit Trail → Open Audit Trail → Observe the result and compare with the expected outcome</t>
  </si>
  <si>
    <t>Entries present with employee and values</t>
  </si>
  <si>
    <t>TC-PAY-265</t>
  </si>
  <si>
    <t>Filter by user, date range and entity</t>
  </si>
  <si>
    <t xml:space="preserve">1. Open Payroll &gt; Audit Trail
2. Apply each filter
3. Observe the result and compare with the expected outcome</t>
  </si>
  <si>
    <t>Logged in as HRMS admin (amit) → Open Payroll &gt; Audit Trail → Apply each filter → Observe the result and compare with the expected outcome</t>
  </si>
  <si>
    <t>Results narrowed correctly</t>
  </si>
  <si>
    <t>TC-PAY-266</t>
  </si>
  <si>
    <t>Integrity</t>
  </si>
  <si>
    <t>Audit entries are read-only</t>
  </si>
  <si>
    <t xml:space="preserve">1. Open Payroll &gt; Audit Trail
2. Look for edit/delete actions
3. Observe the result and compare with the expected outcome</t>
  </si>
  <si>
    <t>Logged in as HRMS admin (amit) → Open Payroll &gt; Audit Trail → Look for edit/delete actions → Observe the result and compare with the expected outcome</t>
  </si>
  <si>
    <t>None available</t>
  </si>
  <si>
    <t>TC-PAY-267</t>
  </si>
  <si>
    <t>Staff user cannot open /payroll/audit-trail via direct URL</t>
  </si>
  <si>
    <t xml:space="preserve">1. Log in as the Staff employee
2. Paste the URL of /payroll/audit-trail into the address bar
3. Observe the result</t>
  </si>
  <si>
    <t>A Staff-role employee login exists (initial password = employee code) → Log in as the Staff employee → Paste the URL of /payroll/audit-trail into the address bar → Observe the result</t>
  </si>
  <si>
    <t>TC-PAY-268</t>
  </si>
  <si>
    <t>Outlier Alerts page opens and renders correctly</t>
  </si>
  <si>
    <t>Route /payroll/outliers</t>
  </si>
  <si>
    <t xml:space="preserve">1. Open Payroll &gt; Outlier Alerts from the sidebar
2. Wait for the loading indicator to clear
3. Check the page heading, toolbar buttons and table/cards</t>
  </si>
  <si>
    <t>Logged in as HRMS admin (amit) → Open Payroll &gt; Outlier Alerts from the sidebar → Wait for the loading indicator to clear → Check the page heading, toolbar buttons and table/cards</t>
  </si>
  <si>
    <t>Page loads without login redirect, 404 or app error; heading "Outlier Alerts" shown; outlier list (employee, metric, previous, current, variance) render</t>
  </si>
  <si>
    <t>Linear 090 Outlier Alerts — page check</t>
  </si>
  <si>
    <t>TC-PAY-269</t>
  </si>
  <si>
    <t>Net pay variance above threshold flagged</t>
  </si>
  <si>
    <t>Employee net up 40% vs last month</t>
  </si>
  <si>
    <t xml:space="preserve">1. Open Payroll &gt; Outlier Alerts
2. Calculate the run
3. Open Outlier Alerts</t>
  </si>
  <si>
    <t>Employee net up 40% vs last month → Open Payroll &gt; Outlier Alerts → Calculate the run → Open Outlier Alerts</t>
  </si>
  <si>
    <t>Employee listed with % variance and reason hint</t>
  </si>
  <si>
    <t>TC-PAY-270</t>
  </si>
  <si>
    <t>Zero or negative net pay flagged</t>
  </si>
  <si>
    <t>Deductions exceed gross</t>
  </si>
  <si>
    <t xml:space="preserve">1. Open Payroll &gt; Outlier Alerts
2. Calculate
3. Open alerts</t>
  </si>
  <si>
    <t>Deductions exceed gross → Open Payroll &gt; Outlier Alerts → Calculate → Open alerts</t>
  </si>
  <si>
    <t>Flagged; run cannot be finalised without review</t>
  </si>
  <si>
    <t>TC-PAY-271</t>
  </si>
  <si>
    <t>Acknowledge an alert with comment</t>
  </si>
  <si>
    <t>Alert exists</t>
  </si>
  <si>
    <t xml:space="preserve">1. Open Payroll &gt; Outlier Alerts
2. Acknowledge with comment
3. Observe the result and compare with the expected outcome</t>
  </si>
  <si>
    <t>Alert exists → Open Payroll &gt; Outlier Alerts → Acknowledge with comment → Observe the result and compare with the expected outcome</t>
  </si>
  <si>
    <t>Alert marked reviewed with user/time</t>
  </si>
  <si>
    <t>TC-PAY-272</t>
  </si>
  <si>
    <t>No outliers shows empty state</t>
  </si>
  <si>
    <t xml:space="preserve">1. Open Payroll &gt; Outlier Alerts
2. Open for a clean run
3. Observe the result and compare with the expected outcome</t>
  </si>
  <si>
    <t>Logged in as HRMS admin (amit) → Open Payroll &gt; Outlier Alerts → Open for a clean run → Observe the result and compare with the expected outcome</t>
  </si>
  <si>
    <t>Empty state message</t>
  </si>
  <si>
    <t>TC-PAY-273</t>
  </si>
  <si>
    <t>Form 16 &amp; Certificates page opens and renders correctly</t>
  </si>
  <si>
    <t>Route /payroll/statements</t>
  </si>
  <si>
    <t xml:space="preserve">1. Open Payroll &gt; Form 16 &amp; Certificates from the sidebar
2. Wait for the loading indicator to clear
3. Check the page heading, toolbar buttons and table/cards</t>
  </si>
  <si>
    <t>Logged in as HRMS admin (amit) → Open Payroll &gt; Form 16 &amp; Certificates from the sidebar → Wait for the loading indicator to clear → Check the page heading, toolbar buttons and table/cards</t>
  </si>
  <si>
    <t>Page loads without login redirect, 404 or app error; heading "Form 16 &amp; Certificates" shown; financial-year selector and employee statement list render</t>
  </si>
  <si>
    <t>Linear 091 Form 16 &amp; Certificates — page check</t>
  </si>
  <si>
    <t>TC-PAY-274</t>
  </si>
  <si>
    <t>Form 16</t>
  </si>
  <si>
    <t>Generate Form 16 Part B for a financial year</t>
  </si>
  <si>
    <t>Year finalised</t>
  </si>
  <si>
    <t xml:space="preserve">1. Open Payroll &gt; Form 16 &amp; Certificates
2. Select year
3. Generate Part B for an employee</t>
  </si>
  <si>
    <t>Year finalised → Open Payroll &gt; Form 16 &amp; Certificates → Select year → Generate Part B for an employee</t>
  </si>
  <si>
    <t>Salary, exemptions, deductions, tax and TDS match the year payroll + opening balances + 12B</t>
  </si>
  <si>
    <t>TC-PAY-275</t>
  </si>
  <si>
    <t>Upload/merge Part A from TRACES</t>
  </si>
  <si>
    <t>Part A PDF</t>
  </si>
  <si>
    <t xml:space="preserve">1. Open Payroll &gt; Form 16 &amp; Certificates
2. Upload Part A
3. Observe the result and compare with the expected outcome</t>
  </si>
  <si>
    <t>Part A PDF → Open Payroll &gt; Form 16 &amp; Certificates → Upload Part A → Observe the result and compare with the expected outcome</t>
  </si>
  <si>
    <t>Merged Form 16 available</t>
  </si>
  <si>
    <t>TC-PAY-276</t>
  </si>
  <si>
    <t>Generation blocked for unfinished year</t>
  </si>
  <si>
    <t>Current FY</t>
  </si>
  <si>
    <t xml:space="preserve">1. Open Payroll &gt; Form 16 &amp; Certificates
2. Try generating final Form 16
3. Observe the result and compare with the expected outcome</t>
  </si>
  <si>
    <t>Current FY → Open Payroll &gt; Form 16 &amp; Certificates → Try generating final Form 16 → Observe the result and compare with the expected outcome</t>
  </si>
  <si>
    <t>Refused or marked provisional</t>
  </si>
  <si>
    <t>TC-PAY-277</t>
  </si>
  <si>
    <t>Certificates</t>
  </si>
  <si>
    <t>Salary certificate / tax computation sheet</t>
  </si>
  <si>
    <t xml:space="preserve">1. Open Payroll &gt; Form 16 &amp; Certificates
2. Generate a salary certificate for an employee
3. Observe the result and compare with the expected outcome</t>
  </si>
  <si>
    <t>Logged in as HRMS admin (amit) → Open Payroll &gt; Form 16 &amp; Certificates → Generate a salary certificate for an employee → Observe the result and compare with the expected outcome</t>
  </si>
  <si>
    <t>Document with correct figures</t>
  </si>
  <si>
    <t>TC-PAY-278</t>
  </si>
  <si>
    <t>Employee downloads own Form 16</t>
  </si>
  <si>
    <t>Own Form 16 only; others not accessible</t>
  </si>
  <si>
    <t>TC-PAY-279</t>
  </si>
  <si>
    <t>Bulk generate and publish to employees</t>
  </si>
  <si>
    <t xml:space="preserve">1. Open Payroll &gt; Form 16 &amp; Certificates
2. Select all
3. Generate and publish</t>
  </si>
  <si>
    <t>Logged in as HRMS admin (amit) → Open Payroll &gt; Form 16 &amp; Certificates → Select all → Generate and publish</t>
  </si>
  <si>
    <t>All employees receive their documents</t>
  </si>
  <si>
    <t>TC-PAY-280</t>
  </si>
  <si>
    <t>Payroll (End-to-End)</t>
  </si>
  <si>
    <t>Hire to first payslip</t>
  </si>
  <si>
    <t>Fresh employee created in Core HR</t>
  </si>
  <si>
    <t xml:space="preserve">1. Assign salary structure in Employee Salary
2. Apply approved leave and finalise attendance
3. Create payroll run and calculate
4. Review payslip preview</t>
  </si>
  <si>
    <t>Fresh employee created in Core HR → Assign salary structure in Employee Salary → Apply approved leave and finalise attendance → Create payroll run and calculate → Review payslip preview</t>
  </si>
  <si>
    <t>Employee included with correct proration, LOP, PF/ESI/PT/TDS; payslip preview reconciles</t>
  </si>
  <si>
    <t>TC-PAY-281</t>
  </si>
  <si>
    <t>Salary revision to arrears to payslip</t>
  </si>
  <si>
    <t>Employee on structure</t>
  </si>
  <si>
    <t xml:space="preserve">1. Raise back-dated revision
2. Approve
3. Calculate next run</t>
  </si>
  <si>
    <t>Employee on structure → Raise back-dated revision → Approve → Calculate next run</t>
  </si>
  <si>
    <t>Arrears line and new monthly gross in payslip</t>
  </si>
  <si>
    <t>TC-PAY-282</t>
  </si>
  <si>
    <t>Leave without pay to LOP deduction</t>
  </si>
  <si>
    <t>Leave type LWP configured</t>
  </si>
  <si>
    <t xml:space="preserve">1. Employee applies LWP 2 days
2. Manager approves
3. Finalise attendance
4. Calculate run</t>
  </si>
  <si>
    <t>Leave type LWP configured → Employee applies LWP 2 days → Manager approves → Finalise attendance → Calculate run</t>
  </si>
  <si>
    <t>LOP 2 days deducted</t>
  </si>
  <si>
    <t>TC-PAY-283</t>
  </si>
  <si>
    <t>Exit to F&amp;F settlement run</t>
  </si>
  <si>
    <t>Exit approved, F&amp;F reviewed</t>
  </si>
  <si>
    <t xml:space="preserve">1. Create settlement run from F&amp;F
2. Calculate
3. Observe the result and compare with the expected outcome</t>
  </si>
  <si>
    <t>Exit approved, F&amp;F reviewed → Create settlement run from F&amp;F → Calculate → Observe the result and compare with the expected outcome</t>
  </si>
  <si>
    <t>Settlement run with final salary, leave encashment, gratuity, recoveries</t>
  </si>
  <si>
    <t>TC-PAY-284</t>
  </si>
  <si>
    <t>Tax declaration to reduced TDS</t>
  </si>
  <si>
    <t>Old regime employee</t>
  </si>
  <si>
    <t xml:space="preserve">1. Submit 80C declaration
2. Calculate next run
3. Observe the result and compare with the expected outcome</t>
  </si>
  <si>
    <t>Old regime employee → Submit 80C declaration → Calculate next run → Observe the result and compare with the expected outcome</t>
  </si>
  <si>
    <t>Monthly TDS lower than before</t>
  </si>
  <si>
    <t>TC-PAY-285</t>
  </si>
  <si>
    <t>Finalised payroll to bank file to statutory returns</t>
  </si>
  <si>
    <t>Run approved</t>
  </si>
  <si>
    <t xml:space="preserve">1. Finalise run
2. Generate bank file
3. Generate ECR/ESI</t>
  </si>
  <si>
    <t>Run approved → Finalise run → Generate bank file → Generate ECR/ESI</t>
  </si>
  <si>
    <t>All outputs reconcile with run totals</t>
  </si>
  <si>
    <t>TC-EXT-001</t>
  </si>
  <si>
    <t>Exit Dashboard page opens and renders correctly</t>
  </si>
  <si>
    <t>Route /exit-dashboard</t>
  </si>
  <si>
    <t xml:space="preserve">1. Open Resignation &amp; Exit &gt; Exit Dashboard from the sidebar
2. Wait for the loading indicator to clear
3. Check the page heading, toolbar buttons and table/cards</t>
  </si>
  <si>
    <t>Logged in as HRMS admin (amit) → Open Resignation &amp; Exit &gt; Exit Dashboard from the sidebar → Wait for the loading indicator to clear → Check the page heading, toolbar buttons and table/cards</t>
  </si>
  <si>
    <t>Page loads without login redirect, 404 or app error; heading "Exit Dashboard" shown; 11 KPI tiles (Pending Resignations/Manager, On Notice, Pending KT, Pending Asset Return, Pending Exit Interview, Pending F&amp;F, Pending Letters, Completed, Exits This Month, Top Reasons) and "Reports" / "Refresh" buttons render</t>
  </si>
  <si>
    <t>Linear 092 Exit Dashboard — page check</t>
  </si>
  <si>
    <t>TC-EXT-002</t>
  </si>
  <si>
    <t>Tiles</t>
  </si>
  <si>
    <t>Tile counts reconcile with Resignations &amp; Exits list</t>
  </si>
  <si>
    <t>Exits exist in several states</t>
  </si>
  <si>
    <t xml:space="preserve">1. Open Exit Dashboard and wait for tiles (≈6 s)
2. Note Pending, On Notice and Completed counts
3. Open Resignations &amp; Exits and count rows per status</t>
  </si>
  <si>
    <t>Exits exist in several states → Open Exit Dashboard and wait for tiles (≈6 s) → Note Pending, On Notice and Completed counts → Open Resignations &amp; Exits and count rows per status</t>
  </si>
  <si>
    <t>Each tile count equals the number of list rows in that status</t>
  </si>
  <si>
    <t>Module automation owned by teammates (base page checks in linear run). Known issue (2026-10-08 audit): On Notice count includes exits past LWD (RE-04/HRMS-757)</t>
  </si>
  <si>
    <t>TC-EXT-003</t>
  </si>
  <si>
    <t>Each tile deep-links to the filtered page</t>
  </si>
  <si>
    <t xml:space="preserve">1. Click each tile in turn
2. Check the page and filter opened
3. Return to the dashboard</t>
  </si>
  <si>
    <t>Logged in as HRMS admin (amit) → Click each tile in turn → Check the page and filter opened → Return to the dashboard</t>
  </si>
  <si>
    <t>Tile opens the matching page pre-filtered (e.g. KT tile opens Exit Clearance filtered to Knowledge Transfer)</t>
  </si>
  <si>
    <t>Module automation owned by teammates (base page checks in linear run). Known issue HRMS-926: KT and Asset Return tiles open Exit Clearance unfiltered ("All kinds"); "Exits This Month" tile not clickable</t>
  </si>
  <si>
    <t>TC-EXT-004</t>
  </si>
  <si>
    <t>Pending F&amp;F tile counts exits whose settlement is not completed</t>
  </si>
  <si>
    <t>Exits with F&amp;F Not calculated / Reviewed / Completed</t>
  </si>
  <si>
    <t xml:space="preserve">1. Open Resignation &amp; Exit &gt; Exit Dashboard
2. Open the dashboard
3. Compare Pending F&amp;F with F&amp;F Settlements</t>
  </si>
  <si>
    <t>Exits with F&amp;F Not calculated / Reviewed / Completed → Open Resignation &amp; Exit &gt; Exit Dashboard → Open the dashboard → Compare Pending F&amp;F with F&amp;F Settlements</t>
  </si>
  <si>
    <t>All exits without completed settlement counted consistently</t>
  </si>
  <si>
    <t>Module automation owned by teammates (base page checks in linear run). Known issue 2026-10-08: Alan (worksheet Completed, settlement Reviewed) excluded while Arjun (Reviewed) counted</t>
  </si>
  <si>
    <t>TC-EXT-005</t>
  </si>
  <si>
    <t>Pending Letters excludes exit types needing no letter</t>
  </si>
  <si>
    <t>A Death exit exists</t>
  </si>
  <si>
    <t xml:space="preserve">1. Open Resignation &amp; Exit &gt; Exit Dashboard
2. Open the dashboard
3. Check Pending Letters and Pending Exit Interview</t>
  </si>
  <si>
    <t>A Death exit exists → Open Resignation &amp; Exit &gt; Exit Dashboard → Open the dashboard → Check Pending Letters and Pending Exit Interview</t>
  </si>
  <si>
    <t>Death exit not counted in letters or exit-interview tiles</t>
  </si>
  <si>
    <t>Module automation owned by teammates (base page checks in linear run). Known issue: Death counted in Pending Exit Interview</t>
  </si>
  <si>
    <t>TC-EXT-006</t>
  </si>
  <si>
    <t>Top reasons</t>
  </si>
  <si>
    <t>Top Reasons widget lists reasons with counts</t>
  </si>
  <si>
    <t xml:space="preserve">1. Open Resignation &amp; Exit &gt; Exit Dashboard
2. Open the dashboard
3. Read the Top Reasons widget</t>
  </si>
  <si>
    <t>Logged in as HRMS admin (amit) → Open Resignation &amp; Exit &gt; Exit Dashboard → Open the dashboard → Read the Top Reasons widget</t>
  </si>
  <si>
    <t>Top 5 reasons with counts; non-resignation types grouped clearly</t>
  </si>
  <si>
    <t>TC-EXT-007</t>
  </si>
  <si>
    <t>Actions</t>
  </si>
  <si>
    <t>Refresh reloads tiles; Reports opens Exit Reports</t>
  </si>
  <si>
    <t xml:space="preserve">1. Open Resignation &amp; Exit &gt; Exit Dashboard
2. Click "Refresh"
3. Click "Reports"</t>
  </si>
  <si>
    <t>Logged in as HRMS admin (amit) → Open Resignation &amp; Exit &gt; Exit Dashboard → Click "Refresh" → Click "Reports"</t>
  </si>
  <si>
    <t>Tiles reload with loading state; Reports opens /exit-reports</t>
  </si>
  <si>
    <t>TC-EXT-008</t>
  </si>
  <si>
    <t>Empty</t>
  </si>
  <si>
    <t>Tenant with no exits shows zero tiles</t>
  </si>
  <si>
    <t>No exits</t>
  </si>
  <si>
    <t xml:space="preserve">1. Open Resignation &amp; Exit &gt; Exit Dashboard
2. Open the dashboard
3. Observe the result and compare with the expected outcome</t>
  </si>
  <si>
    <t>No exits → Open Resignation &amp; Exit &gt; Exit Dashboard → Open the dashboard → Observe the result and compare with the expected outcome</t>
  </si>
  <si>
    <t>All tiles 0 without errors</t>
  </si>
  <si>
    <t>TC-EXT-009</t>
  </si>
  <si>
    <t>Staff user cannot open /exit-dashboard via direct URL</t>
  </si>
  <si>
    <t xml:space="preserve">1. Log in as the Staff employee
2. Paste /exit-dashboard into the address bar
3. Observe the result</t>
  </si>
  <si>
    <t>A Staff-role employee login exists (initial password = employee code) → Log in as the Staff employee → Paste /exit-dashboard into the address bar → Observe the result</t>
  </si>
  <si>
    <t>Access denied or redirected; no other employee exit data visible; menu item hidden for Staff</t>
  </si>
  <si>
    <t>TC-EXT-010</t>
  </si>
  <si>
    <t xml:space="preserve">1. Log out
2. Open /exit-dashboard
3. Observe</t>
  </si>
  <si>
    <t>Not logged in → Log out → Open /exit-dashboard → Observe</t>
  </si>
  <si>
    <t>TC-EXT-011</t>
  </si>
  <si>
    <t>Exit Reports page opens and renders correctly</t>
  </si>
  <si>
    <t>Route /exit-reports</t>
  </si>
  <si>
    <t xml:space="preserve">1. Open Resignation &amp; Exit &gt; Exit Reports from the sidebar
2. Wait for the loading indicator to clear
3. Check the page heading, toolbar buttons and table/cards</t>
  </si>
  <si>
    <t>Logged in as HRMS admin (amit) → Open Resignation &amp; Exit &gt; Exit Reports from the sidebar → Wait for the loading indicator to clear → Check the page heading, toolbar buttons and table/cards</t>
  </si>
  <si>
    <t>Page loads without login redirect, 404 or app error; heading "Exit Reports" shown; report type selector (13 report types incl. Exit Summary, Attrition by reason, Notice period, F&amp;F status) and date filters render</t>
  </si>
  <si>
    <t>Linear 093 Exit Reports — page check</t>
  </si>
  <si>
    <t>TC-EXT-012</t>
  </si>
  <si>
    <t>Exit Summary reconciles with list counts</t>
  </si>
  <si>
    <t>Exits exist</t>
  </si>
  <si>
    <t xml:space="preserve">1. Select Exit Summary
2. Run for all dates
3. Compare with list</t>
  </si>
  <si>
    <t>Exits exist → Select Exit Summary → Run for all dates → Compare with list</t>
  </si>
  <si>
    <t>Total = Pending + On Notice + Closed + Rejected (e.g. 21 = 2+14+1+4)</t>
  </si>
  <si>
    <t>TC-EXT-013</t>
  </si>
  <si>
    <t>Each of the 13 report types runs</t>
  </si>
  <si>
    <t xml:space="preserve">1. Open Resignation &amp; Exit &gt; Exit Reports
2. Select each report type in turn
3. Run</t>
  </si>
  <si>
    <t>Logged in as HRMS admin (amit) → Open Resignation &amp; Exit &gt; Exit Reports → Select each report type in turn → Run</t>
  </si>
  <si>
    <t>Each returns data or a clear empty state; no errors</t>
  </si>
  <si>
    <t>TC-EXT-014</t>
  </si>
  <si>
    <t>Attrition by reason and by exit type</t>
  </si>
  <si>
    <t xml:space="preserve">1. Open Resignation &amp; Exit &gt; Exit Reports
2. Run the reason / type report
3. Observe the result and compare with the expected outcome</t>
  </si>
  <si>
    <t>Logged in as HRMS admin (amit) → Open Resignation &amp; Exit &gt; Exit Reports → Run the reason / type report → Observe the result and compare with the expected outcome</t>
  </si>
  <si>
    <t>Counts per reason/type match records</t>
  </si>
  <si>
    <t>TC-EXT-015</t>
  </si>
  <si>
    <t>Date range filter and invalid range</t>
  </si>
  <si>
    <t xml:space="preserve">1. Open Resignation &amp; Exit &gt; Exit Reports
2. Set From after To
3. Run</t>
  </si>
  <si>
    <t>Logged in as HRMS admin (amit) → Open Resignation &amp; Exit &gt; Exit Reports → Set From after To → Run</t>
  </si>
  <si>
    <t>Validation or empty result with message</t>
  </si>
  <si>
    <t>TC-EXT-016</t>
  </si>
  <si>
    <t>Filter by department / branch</t>
  </si>
  <si>
    <t xml:space="preserve">1. Open Resignation &amp; Exit &gt; Exit Reports
2. Choose a department
3. Run</t>
  </si>
  <si>
    <t>Logged in as HRMS admin (amit) → Open Resignation &amp; Exit &gt; Exit Reports → Choose a department → Run</t>
  </si>
  <si>
    <t>Only exits from that department</t>
  </si>
  <si>
    <t>TC-EXT-017</t>
  </si>
  <si>
    <t>Export report</t>
  </si>
  <si>
    <t xml:space="preserve">1. Open Resignation &amp; Exit &gt; Exit Reports
2. Run a report
3. Click export</t>
  </si>
  <si>
    <t>Logged in as HRMS admin (amit) → Open Resignation &amp; Exit &gt; Exit Reports → Run a report → Click export</t>
  </si>
  <si>
    <t>TC-EXT-018</t>
  </si>
  <si>
    <t>Staff user cannot open /exit-reports via direct URL</t>
  </si>
  <si>
    <t xml:space="preserve">1. Log in as the Staff employee
2. Paste /exit-reports into the address bar
3. Observe the result</t>
  </si>
  <si>
    <t>A Staff-role employee login exists (initial password = employee code) → Log in as the Staff employee → Paste /exit-reports into the address bar → Observe the result</t>
  </si>
  <si>
    <t>TC-EXT-019</t>
  </si>
  <si>
    <t>Resignations &amp; Exits page opens and renders correctly</t>
  </si>
  <si>
    <t>Route /resignations</t>
  </si>
  <si>
    <t xml:space="preserve">1. Open Resignation &amp; Exit &gt; Resignations &amp; Exits from the sidebar
2. Wait for the loading indicator to clear
3. Check the page heading, toolbar buttons and table/cards</t>
  </si>
  <si>
    <t>Logged in as HRMS admin (amit) → Open Resignation &amp; Exit &gt; Resignations &amp; Exits from the sidebar → Wait for the loading indicator to clear → Check the page heading, toolbar buttons and table/cards</t>
  </si>
  <si>
    <t>Page loads without login redirect, 404 or app error; heading "Resignations &amp; Exits" shown; exit list (employee, exit type, submitted, LWD, status), "Search employee / code", page size, "Exit Dashboard" and "Initiate Exit" buttons render</t>
  </si>
  <si>
    <t>Linear 094 Resignations &amp; Exits — page check</t>
  </si>
  <si>
    <t>TC-EXT-020</t>
  </si>
  <si>
    <t>Search by employee name and code</t>
  </si>
  <si>
    <t xml:space="preserve">1. Open Resignation &amp; Exit &gt; Resignations &amp; Exits
2. Type a name in "Search employee / code"
3. Clear and type a code</t>
  </si>
  <si>
    <t>Exits exist → Open Resignation &amp; Exit &gt; Resignations &amp; Exits → Type a name in "Search employee / code" → Clear and type a code</t>
  </si>
  <si>
    <t>List filters to matching exits</t>
  </si>
  <si>
    <t>TC-EXT-021</t>
  </si>
  <si>
    <t>&gt;10 exits</t>
  </si>
  <si>
    <t xml:space="preserve">1. Open Resignation &amp; Exit &gt; Resignations &amp; Exits
2. Change page size 10/25/50/100
3. Navigate pages</t>
  </si>
  <si>
    <t>&gt;10 exits → Open Resignation &amp; Exit &gt; Resignations &amp; Exits → Change page size 10/25/50/100 → Navigate pages</t>
  </si>
  <si>
    <t>Rows per page follow the selection</t>
  </si>
  <si>
    <t>TC-EXT-022</t>
  </si>
  <si>
    <t>Open an exit detail hub by clicking the employee name</t>
  </si>
  <si>
    <t>An exit exists</t>
  </si>
  <si>
    <t xml:space="preserve">1. Open Resignation &amp; Exit &gt; Resignations &amp; Exits
2. Click the employee name cell
3. Observe the result and compare with the expected outcome</t>
  </si>
  <si>
    <t>An exit exists → Open Resignation &amp; Exit &gt; Resignations &amp; Exits → Click the employee name cell → Observe the result and compare with the expected outcome</t>
  </si>
  <si>
    <t>/resignation/{guid} opens with summary, timeline, notice period, checklist, interview, F&amp;F, letters and closure panels</t>
  </si>
  <si>
    <t>TC-EXT-023</t>
  </si>
  <si>
    <t>Date format consistent across the list</t>
  </si>
  <si>
    <t xml:space="preserve">1. Open Resignation &amp; Exit &gt; Resignations &amp; Exits
2. Inspect submitted and LWD columns
3. Observe the result and compare with the expected outcome</t>
  </si>
  <si>
    <t>Logged in as HRMS admin (amit) → Open Resignation &amp; Exit &gt; Resignations &amp; Exits → Inspect submitted and LWD columns → Observe the result and compare with the expected outcome</t>
  </si>
  <si>
    <t>All dates use one format (dd-MMM-yyyy)</t>
  </si>
  <si>
    <t>Module automation owned by teammates (base page checks in linear run). Known issue RX-12: mixes "30-Sept-2026" and "06-Oct-2026"</t>
  </si>
  <si>
    <t>TC-EXT-024</t>
  </si>
  <si>
    <t>Exit Dashboard button navigates to the dashboard</t>
  </si>
  <si>
    <t xml:space="preserve">1. Open Resignation &amp; Exit &gt; Resignations &amp; Exits
2. Click "Exit Dashboard"
3. Observe the result and compare with the expected outcome</t>
  </si>
  <si>
    <t>Logged in as HRMS admin (amit) → Open Resignation &amp; Exit &gt; Resignations &amp; Exits → Click "Exit Dashboard" → Observe the result and compare with the expected outcome</t>
  </si>
  <si>
    <t>/exit-dashboard opens</t>
  </si>
  <si>
    <t>TC-EXT-025</t>
  </si>
  <si>
    <t>Initiate Exit</t>
  </si>
  <si>
    <t>HR initiates a Resignation exit with all mandatory fields</t>
  </si>
  <si>
    <t>A fresh disposable employee with login (never the admin account)</t>
  </si>
  <si>
    <t>Employee: fresh employee (Auto DD-Mon HH.MM.SS)</t>
  </si>
  <si>
    <t xml:space="preserve">1. Click "Initiate Exit"
2. Select Employee *
3. Exit Type * "Resignation"
4. Set Last Working Day
5. Select Reason * "Better Opportunity"
6. Click submit</t>
  </si>
  <si>
    <t>A fresh disposable employee with login (never the admin account) → Click "Initiate Exit" → Select Employee * → Exit Type * "Resignation" → Set Last Working Day → Select Reason * "Better Opportunity" → Click submit</t>
  </si>
  <si>
    <t>Success; exit listed as Pending / On Notice per approval chain; tentative LWD = submission + notice days</t>
  </si>
  <si>
    <t>Module automation owned by teammates (base page checks in linear run). Also built in tests/11_resignation/resignation_exit_workflow.spec.js RE2 and tests/12_e2e E3 (outside the linear run)</t>
  </si>
  <si>
    <t>TC-EXT-026</t>
  </si>
  <si>
    <t>Employee is mandatory</t>
  </si>
  <si>
    <t xml:space="preserve">1. Click "Initiate Exit"
2. Leave Employee * at "-- Choose employee --"
3. Submit</t>
  </si>
  <si>
    <t>Logged in as HRMS admin (amit) → Click "Initiate Exit" → Leave Employee * at "-- Choose employee --" → Submit</t>
  </si>
  <si>
    <t>TC-EXT-027</t>
  </si>
  <si>
    <t>Reason is mandatory</t>
  </si>
  <si>
    <t xml:space="preserve">1. Click "Initiate Exit"
2. Select employee and type
3. Leave Reason * empty
4. Submit</t>
  </si>
  <si>
    <t>A fresh disposable employee with login (never the admin account) → Click "Initiate Exit" → Select employee and type → Leave Reason * empty → Submit</t>
  </si>
  <si>
    <t>Validation message for Reason</t>
  </si>
  <si>
    <t>TC-EXT-028</t>
  </si>
  <si>
    <t>Last Working Day is required and marked</t>
  </si>
  <si>
    <t xml:space="preserve">1. Click "Initiate Exit"
2. Fill all except Last Working Day
3. Submit</t>
  </si>
  <si>
    <t>A fresh disposable employee with login (never the admin account) → Click "Initiate Exit" → Fill all except Last Working Day → Submit</t>
  </si>
  <si>
    <t>Validation message; field should show a required marker</t>
  </si>
  <si>
    <t>Module automation owned by teammates (base page checks in linear run). Known UX issue: LWD enforced but shows no "*"; SweetAlert one-at-a-time validation</t>
  </si>
  <si>
    <t>TC-EXT-029</t>
  </si>
  <si>
    <t>Last Working Day in the past is rejected</t>
  </si>
  <si>
    <t>LWD 15-Jun-2020</t>
  </si>
  <si>
    <t xml:space="preserve">1. Click "Initiate Exit"
2. Enter LWD earlier than today
3. Submit</t>
  </si>
  <si>
    <t>A fresh disposable employee with login (never the admin account) → Click "Initiate Exit" → Enter LWD earlier than today → Submit</t>
  </si>
  <si>
    <t>Rejected: LWD cannot be before submission date</t>
  </si>
  <si>
    <t>Module automation owned by teammates (base page checks in linear run). Known issue RE-02 / HRMS-774 / HRMS-780: no min/max on HR LWD — past date accepted</t>
  </si>
  <si>
    <t>TC-EXT-030</t>
  </si>
  <si>
    <t>Last Working Day absurdly far in future is rejected</t>
  </si>
  <si>
    <t>15-Jun-2055</t>
  </si>
  <si>
    <t xml:space="preserve">1. Open Resignation &amp; Exit &gt; Resignations &amp; Exits
2. Enter LWD 30 years ahead
3. Submit</t>
  </si>
  <si>
    <t>A fresh disposable employee with login (never the admin account) → Open Resignation &amp; Exit &gt; Resignations &amp; Exits → Enter LWD 30 years ahead → Submit</t>
  </si>
  <si>
    <t>Rejected or warned (beyond notice max 365 days)</t>
  </si>
  <si>
    <t>Module automation owned by teammates (base page checks in linear run). Known issue RE-02: accepted</t>
  </si>
  <si>
    <t>TC-EXT-031</t>
  </si>
  <si>
    <t>Notice period (policy) hint resolves from rules</t>
  </si>
  <si>
    <t>Notice Period Rule for designation exists</t>
  </si>
  <si>
    <t xml:space="preserve">1. Click "Initiate Exit"
2. Select an employee with that designation
3. Read the "Notice period (policy)" line</t>
  </si>
  <si>
    <t>Notice Period Rule for designation exists → Click "Initiate Exit" → Select an employee with that designation → Read the "Notice period (policy)" line</t>
  </si>
  <si>
    <t>Shows the designation rule days and policy date; precedence Designation &gt; Grade &gt; Department &gt; Branch &gt; All</t>
  </si>
  <si>
    <t>Module automation owned by teammates (base page checks in linear run). Known issue RX-13: hint missing space "…2026.Leave it empty"</t>
  </si>
  <si>
    <t>TC-EXT-032</t>
  </si>
  <si>
    <t>Employees with an active exit are not offered</t>
  </si>
  <si>
    <t>Employee already On Notice</t>
  </si>
  <si>
    <t xml:space="preserve">1. Open Resignation &amp; Exit &gt; Resignations &amp; Exits
2. Click "Initiate Exit"
3. Open Employee dropdown</t>
  </si>
  <si>
    <t>Employee already On Notice → Open Resignation &amp; Exit &gt; Resignations &amp; Exits → Click "Initiate Exit" → Open Employee dropdown</t>
  </si>
  <si>
    <t>Employee not listed; server also refuses with "already OnNotice" message</t>
  </si>
  <si>
    <t>Module automation owned by teammates (base page checks in linear run). HRMS-741 fixed; RE-03 message shows "OnNotice" without space</t>
  </si>
  <si>
    <t>TC-EXT-033</t>
  </si>
  <si>
    <t>Termination type shows tailored fields and attachment</t>
  </si>
  <si>
    <t xml:space="preserve">1. Click "Initiate Exit"
2. Select Exit Type "Termination"
3. Inspect fields
4. Fill and submit</t>
  </si>
  <si>
    <t>A fresh disposable employee with login (never the admin account) → Click "Initiate Exit" → Select Exit Type "Termination" → Inspect fields → Fill and submit</t>
  </si>
  <si>
    <t>Termination-specific fields and "Attachment — signed copy, show-cause notice, disciplinary papers" shown; exit created with Termination chain</t>
  </si>
  <si>
    <t>TC-EXT-034</t>
  </si>
  <si>
    <t>Retirement type</t>
  </si>
  <si>
    <t xml:space="preserve">1. Select Exit Type "Retirement"
2. Fill fields
3. Submit</t>
  </si>
  <si>
    <t>A fresh disposable employee with login (never the admin account) → Select Exit Type "Retirement" → Fill fields → Submit</t>
  </si>
  <si>
    <t>Retirement exit created; Relieving/Experience letters required at closure</t>
  </si>
  <si>
    <t>TC-EXT-035</t>
  </si>
  <si>
    <t>Absconding: last attendance date cannot be in the future</t>
  </si>
  <si>
    <t xml:space="preserve">1. Select "Absconding"
2. Enter last attendance date tomorrow
3. Submit</t>
  </si>
  <si>
    <t>A fresh disposable employee with login (never the admin account) → Select "Absconding" → Enter last attendance date tomorrow → Submit</t>
  </si>
  <si>
    <t>Rejected (max = today); valid past date accepted</t>
  </si>
  <si>
    <t>TC-EXT-036</t>
  </si>
  <si>
    <t>Death: date of demise cannot be in the future</t>
  </si>
  <si>
    <t xml:space="preserve">1. Select "Death"
2. Enter date of demise tomorrow
3. Submit</t>
  </si>
  <si>
    <t>A fresh disposable employee with login (never the admin account) → Select "Death" → Enter date of demise tomorrow → Submit</t>
  </si>
  <si>
    <t>Rejected (max = today); no exit interview/letters required</t>
  </si>
  <si>
    <t>TC-EXT-037</t>
  </si>
  <si>
    <t>Permanent Disablement type</t>
  </si>
  <si>
    <t xml:space="preserve">1. Select "Permanent Disablement"
2. Fill tailored fields
3. Submit</t>
  </si>
  <si>
    <t>A fresh disposable employee with login (never the admin account) → Select "Permanent Disablement" → Fill tailored fields → Submit</t>
  </si>
  <si>
    <t>Created; routed via Termination chain</t>
  </si>
  <si>
    <t>TC-EXT-038</t>
  </si>
  <si>
    <t>End of Contract type</t>
  </si>
  <si>
    <t xml:space="preserve">1. Select "End of Contract"
2. Fill fields
3. Submit</t>
  </si>
  <si>
    <t>A fresh disposable employee with login (never the admin account) → Select "End of Contract" → Fill fields → Submit</t>
  </si>
  <si>
    <t>Created; list shows "Approved · On Notice"; detail "Exit In Progress – End of Contract"</t>
  </si>
  <si>
    <t>TC-EXT-039</t>
  </si>
  <si>
    <t>Internship Completion type</t>
  </si>
  <si>
    <t>An intern employee</t>
  </si>
  <si>
    <t xml:space="preserve">1. Select "Internship Completion"
2. Fill fields
3. Submit</t>
  </si>
  <si>
    <t>An intern employee → Select "Internship Completion" → Fill fields → Submit</t>
  </si>
  <si>
    <t>Created; appropriate letters (e.g. internship certificate) offered</t>
  </si>
  <si>
    <t>Module automation owned by teammates (base page checks in linear run). HRMS-775: intern exited via End of Contract still listed under Internship Ending</t>
  </si>
  <si>
    <t>TC-EXT-040</t>
  </si>
  <si>
    <t>Other type</t>
  </si>
  <si>
    <t xml:space="preserve">1. Select "Other"
2. Fill reason and remarks
3. Submit</t>
  </si>
  <si>
    <t>A fresh disposable employee with login (never the admin account) → Select "Other" → Fill reason and remarks → Submit</t>
  </si>
  <si>
    <t>Created</t>
  </si>
  <si>
    <t>TC-EXT-041</t>
  </si>
  <si>
    <t>Reasons adapt to exit type</t>
  </si>
  <si>
    <t xml:space="preserve">1. Open Resignation &amp; Exit &gt; Resignations &amp; Exits
2. Switch Exit Type between Resignation, Termination and Death
3. Open Reason each time</t>
  </si>
  <si>
    <t>Logged in as HRMS admin (amit) → Open Resignation &amp; Exit &gt; Resignations &amp; Exits → Switch Exit Type between Resignation, Termination and Death → Open Reason each time</t>
  </si>
  <si>
    <t>Only reasons valid for the type are offered</t>
  </si>
  <si>
    <t>Module automation owned by teammates (base page checks in linear run). Known issue HRMS-758: system reasons offered on all types; junk reasons SAMPLE/sample1 shown (RE-09)</t>
  </si>
  <si>
    <t>TC-EXT-042</t>
  </si>
  <si>
    <t>Attachment accepted types and size</t>
  </si>
  <si>
    <t xml:space="preserve">1. Open Resignation &amp; Exit &gt; Resignations &amp; Exits
2. Attach .exe, then a 20 MB PDF, then a valid PDF
3. Submit</t>
  </si>
  <si>
    <t>A fresh disposable employee with login (never the admin account) → Open Resignation &amp; Exit &gt; Resignations &amp; Exits → Attach .exe, then a 20 MB PDF, then a valid PDF → Submit</t>
  </si>
  <si>
    <t>Invalid type/oversize rejected; valid PDF saved</t>
  </si>
  <si>
    <t>Module automation owned by teammates (base page checks in linear run). RX-14: HR form accepts .doc while ESS does not</t>
  </si>
  <si>
    <t>TC-EXT-043</t>
  </si>
  <si>
    <t>Remarks optional with max length</t>
  </si>
  <si>
    <t xml:space="preserve">1. Open Resignation &amp; Exit &gt; Resignations &amp; Exits
2. Enter 2,000-character remarks
3. Submit</t>
  </si>
  <si>
    <t>A fresh disposable employee with login (never the admin account) → Open Resignation &amp; Exit &gt; Resignations &amp; Exits → Enter 2,000-character remarks → Submit</t>
  </si>
  <si>
    <t>Accepted up to the limit or clear max-length message</t>
  </si>
  <si>
    <t>TC-EXT-044</t>
  </si>
  <si>
    <t>HR Review</t>
  </si>
  <si>
    <t>Confirm LWD and Notice Treatment on HR Review</t>
  </si>
  <si>
    <t>Approved exit On Notice</t>
  </si>
  <si>
    <t xml:space="preserve">1. Open the exit
2. Open HR Review / Notice Period panel
3. Set Confirmed LWD and Notice Treatment "Partially Served"
4. Save</t>
  </si>
  <si>
    <t>Approved exit On Notice → Open the exit → Open HR Review / Notice Period panel → Set Confirmed LWD and Notice Treatment "Partially Served" → Save</t>
  </si>
  <si>
    <t>Saved; shortfall days and recovery recomputed; F&amp;F synced</t>
  </si>
  <si>
    <t>TC-EXT-045</t>
  </si>
  <si>
    <t>Notice Treatment options</t>
  </si>
  <si>
    <t>Exit On Notice</t>
  </si>
  <si>
    <t xml:space="preserve">1. Open Resignation &amp; Exit &gt; Resignations &amp; Exits
2. Open the Notice Treatment dropdown
3. Observe the result and compare with the expected outcome</t>
  </si>
  <si>
    <t>Exit On Notice → Open Resignation &amp; Exit &gt; Resignations &amp; Exits → Open the Notice Treatment dropdown → Observe the result and compare with the expected outcome</t>
  </si>
  <si>
    <t>Type default, Served Fully, Partially Served (recover shortfall), Waived (no recovery), Paid in Lieu (employer pays), Not Served (recover in F&amp;F)</t>
  </si>
  <si>
    <t>TC-EXT-046</t>
  </si>
  <si>
    <t>"Served Fully" with unserved days is warned</t>
  </si>
  <si>
    <t>Exit with 16 unserved days</t>
  </si>
  <si>
    <t xml:space="preserve">1. Open Resignation &amp; Exit &gt; Resignations &amp; Exits
2. Select "Served Fully"
3. Save</t>
  </si>
  <si>
    <t>Exit with 16 unserved days → Open Resignation &amp; Exit &gt; Resignations &amp; Exits → Select "Served Fully" → Save</t>
  </si>
  <si>
    <t>Warning/refusal because shortfall &gt; 0</t>
  </si>
  <si>
    <t>Module automation owned by teammates (base page checks in linear run). Known issue RX-06: saves with Unserved 16 and recovery 0</t>
  </si>
  <si>
    <t>TC-EXT-047</t>
  </si>
  <si>
    <t>Notice actions</t>
  </si>
  <si>
    <t>Extend notice to a later date with remarks</t>
  </si>
  <si>
    <t xml:space="preserve">1. Open Move leaving date / Extend
2. Pick a later date
3. Enter remarks
4. Confirm</t>
  </si>
  <si>
    <t>Exit On Notice → Open Move leaving date / Extend → Pick a later date → Enter remarks → Confirm</t>
  </si>
  <si>
    <t>LWD moved; in-app confirm; history logged</t>
  </si>
  <si>
    <t>TC-EXT-048</t>
  </si>
  <si>
    <t>Early release cannot be in the past; remarks required</t>
  </si>
  <si>
    <t xml:space="preserve">1. Choose Early Release
2. Pick yesterday
3. Leave remarks empty
4. Confirm</t>
  </si>
  <si>
    <t>Exit On Notice → Choose Early Release → Pick yesterday → Leave remarks empty → Confirm</t>
  </si>
  <si>
    <t>Rejected: min today and remarks required</t>
  </si>
  <si>
    <t>FR-15/16</t>
  </si>
  <si>
    <t>TC-EXT-049</t>
  </si>
  <si>
    <t>Notice actions blocked after F&amp;F completion</t>
  </si>
  <si>
    <t>F&amp;F completed</t>
  </si>
  <si>
    <t xml:space="preserve">1. Open Resignation &amp; Exit &gt; Resignations &amp; Exits
2. Try extend/waive/recover
3. Observe the result and compare with the expected outcome</t>
  </si>
  <si>
    <t>F&amp;F completed → Open Resignation &amp; Exit &gt; Resignations &amp; Exits → Try extend/waive/recover → Observe the result and compare with the expected outcome</t>
  </si>
  <si>
    <t>FR-14/16</t>
  </si>
  <si>
    <t>TC-EXT-050</t>
  </si>
  <si>
    <t>Employee withdraws resignation before approval</t>
  </si>
  <si>
    <t>Pending resignation submitted via ESS</t>
  </si>
  <si>
    <t xml:space="preserve">1. Log in as the employee
2. Open My Workspace &gt; Resignation
3. Withdraw</t>
  </si>
  <si>
    <t>Pending resignation submitted via ESS → Log in as the employee → Open My Workspace &gt; Resignation → Withdraw</t>
  </si>
  <si>
    <t>Status Withdrawn; approvers no longer see it; employee can submit again</t>
  </si>
  <si>
    <t>TC-EXT-051</t>
  </si>
  <si>
    <t>Retention</t>
  </si>
  <si>
    <t>Record retention outcome Retained</t>
  </si>
  <si>
    <t>Pending exit</t>
  </si>
  <si>
    <t xml:space="preserve">1. Open exit
2. Record retention Retained
3. Save</t>
  </si>
  <si>
    <t>Pending exit → Open exit → Record retention Retained → Save</t>
  </si>
  <si>
    <t>Exit closed as retained; employee stays active</t>
  </si>
  <si>
    <t>FR-34</t>
  </si>
  <si>
    <t>TC-EXT-052</t>
  </si>
  <si>
    <t>Rehire</t>
  </si>
  <si>
    <t>Rehire remarks mandatory for "Not eligible"</t>
  </si>
  <si>
    <t>Exit at closure</t>
  </si>
  <si>
    <t xml:space="preserve">1. Set rehire eligibility "Not eligible"
2. Leave remarks empty
3. Save</t>
  </si>
  <si>
    <t>Exit at closure → Set rehire eligibility "Not eligible" → Leave remarks empty → Save</t>
  </si>
  <si>
    <t>Remarks required</t>
  </si>
  <si>
    <t>FR-35</t>
  </si>
  <si>
    <t>TC-EXT-053</t>
  </si>
  <si>
    <t>Issue Relieving letter fills all tokens</t>
  </si>
  <si>
    <t>Relieving template exists; exit after LWD</t>
  </si>
  <si>
    <t xml:space="preserve">1. Open Exit Letters
2. Select Relieving
3. Preview
4. Issue</t>
  </si>
  <si>
    <t>Relieving template exists; exit after LWD → Open Exit Letters → Select Relieving → Preview → Issue</t>
  </si>
  <si>
    <t>Letter has resignation date, LWD, department filled; toast names the letter</t>
  </si>
  <si>
    <t>Module automation owned by teammates (base page checks in linear run). Known issues RX-04 (unfilled [tokens]), HRMS-837 (toast generic)</t>
  </si>
  <si>
    <t>TC-EXT-054</t>
  </si>
  <si>
    <t>Relieving letter before LWD / F&amp;F is blocked</t>
  </si>
  <si>
    <t>Exit On Notice before LWD</t>
  </si>
  <si>
    <t xml:space="preserve">1. Open Resignation &amp; Exit &gt; Resignations &amp; Exits
2. Try to issue Relieving letter
3. Observe the result and compare with the expected outcome</t>
  </si>
  <si>
    <t>Exit On Notice before LWD → Open Resignation &amp; Exit &gt; Resignations &amp; Exits → Try to issue Relieving letter → Observe the result and compare with the expected outcome</t>
  </si>
  <si>
    <t>Module automation owned by teammates (base page checks in linear run). Known issue RX-05: issuable before LWD and F&amp;F</t>
  </si>
  <si>
    <t>TC-EXT-055</t>
  </si>
  <si>
    <t>No templates for exit type shows message</t>
  </si>
  <si>
    <t>Exit type without templates</t>
  </si>
  <si>
    <t xml:space="preserve">1. Open Resignation &amp; Exit &gt; Resignations &amp; Exits
2. Open the Exit Letters dropdown
3. Observe the result and compare with the expected outcome</t>
  </si>
  <si>
    <t>Exit type without templates → Open Resignation &amp; Exit &gt; Resignations &amp; Exits → Open the Exit Letters dropdown → Observe the result and compare with the expected outcome</t>
  </si>
  <si>
    <t>"No letter templates found for this exit type"</t>
  </si>
  <si>
    <t>Module automation owned by teammates (base page checks in linear run). RE-01: not a defect — templates must be seeded</t>
  </si>
  <si>
    <t>TC-EXT-056</t>
  </si>
  <si>
    <t>Re-issue asks for confirmation</t>
  </si>
  <si>
    <t>Letter already issued</t>
  </si>
  <si>
    <t xml:space="preserve">1. Open Resignation &amp; Exit &gt; Resignations &amp; Exits
2. Issue again
3. Observe the result and compare with the expected outcome</t>
  </si>
  <si>
    <t>Letter already issued → Open Resignation &amp; Exit &gt; Resignations &amp; Exits → Issue again → Observe the result and compare with the expected outcome</t>
  </si>
  <si>
    <t>Confirmation dialog</t>
  </si>
  <si>
    <t>TC-EXT-057</t>
  </si>
  <si>
    <t>Closure</t>
  </si>
  <si>
    <t>Close Exit lists every blocker at once</t>
  </si>
  <si>
    <t>Exit with open checklist, interview, F&amp;F and letters</t>
  </si>
  <si>
    <t xml:space="preserve">1. Open Resignation &amp; Exit &gt; Resignations &amp; Exits
2. Click Close Exit
3. Observe the result and compare with the expected outcome</t>
  </si>
  <si>
    <t>Exit with open checklist, interview, F&amp;F and letters → Open Resignation &amp; Exit &gt; Resignations &amp; Exits → Click Close Exit → Observe the result and compare with the expected outcome</t>
  </si>
  <si>
    <t>Single message listing all blockers incl. "LWD not reached"</t>
  </si>
  <si>
    <t>FR-32</t>
  </si>
  <si>
    <t>TC-EXT-058</t>
  </si>
  <si>
    <t>Close an exit when all gates pass</t>
  </si>
  <si>
    <t>All gates satisfied</t>
  </si>
  <si>
    <t xml:space="preserve">1. Open Resignation &amp; Exit &gt; Resignations &amp; Exits
2. Click Close Exit
3. Confirm</t>
  </si>
  <si>
    <t>All gates satisfied → Open Resignation &amp; Exit &gt; Resignations &amp; Exits → Click Close Exit → Confirm</t>
  </si>
  <si>
    <t>Status Closed; employment ends; ClosedOn stamped; rehire eligibility recorded</t>
  </si>
  <si>
    <t>Closing an exit is never automated (ends employment)</t>
  </si>
  <si>
    <t>TC-EXT-059</t>
  </si>
  <si>
    <t>Closed exit accepts no workflow actions except letters</t>
  </si>
  <si>
    <t>Closed exit</t>
  </si>
  <si>
    <t xml:space="preserve">1. Open Resignation &amp; Exit &gt; Resignations &amp; Exits
2. Try notice actions, checklist changes, F&amp;F edits
3. Observe the result and compare with the expected outcome</t>
  </si>
  <si>
    <t>Closed exit → Open Resignation &amp; Exit &gt; Resignations &amp; Exits → Try notice actions, checklist changes, F&amp;F edits → Observe the result and compare with the expected outcome</t>
  </si>
  <si>
    <t>All refused; letters still issuable</t>
  </si>
  <si>
    <t>TC-EXT-060</t>
  </si>
  <si>
    <t>Exit past LWD is flagged</t>
  </si>
  <si>
    <t>Exit On Notice with LWD in the past</t>
  </si>
  <si>
    <t xml:space="preserve">1. Open Resignation &amp; Exit &gt; Resignations &amp; Exits
2. Open the list and the exit
3. Observe the result and compare with the expected outcome</t>
  </si>
  <si>
    <t>Exit On Notice with LWD in the past → Open Resignation &amp; Exit &gt; Resignations &amp; Exits → Open the list and the exit → Observe the result and compare with the expected outcome</t>
  </si>
  <si>
    <t>Overdue flag or prompt to close</t>
  </si>
  <si>
    <t>Module automation owned by teammates (base page checks in linear run). Known issue RE-04 / HRMS-757: stays On Notice silently</t>
  </si>
  <si>
    <t>TC-EXT-061</t>
  </si>
  <si>
    <t>Timeline</t>
  </si>
  <si>
    <t>Timeline records each step</t>
  </si>
  <si>
    <t>Exit with several actions</t>
  </si>
  <si>
    <t xml:space="preserve">1. Open Resignation &amp; Exit &gt; Resignations &amp; Exits
2. Open the exit timeline
3. Observe the result and compare with the expected outcome</t>
  </si>
  <si>
    <t>Exit with several actions → Open Resignation &amp; Exit &gt; Resignations &amp; Exits → Open the exit timeline → Observe the result and compare with the expected outcome</t>
  </si>
  <si>
    <t>Each action with user/time and meaningful wording</t>
  </si>
  <si>
    <t>Module automation owned by teammates (base page checks in linear run). HRMS-859: "Submitted — Submitted" wording</t>
  </si>
  <si>
    <t>TC-EXT-062</t>
  </si>
  <si>
    <t>Staff user cannot open /resignations via direct URL</t>
  </si>
  <si>
    <t xml:space="preserve">1. Log in as the Staff employee
2. Paste /resignations into the address bar
3. Observe the result</t>
  </si>
  <si>
    <t>A Staff-role employee login exists (initial password = employee code) → Log in as the Staff employee → Paste /resignations into the address bar → Observe the result</t>
  </si>
  <si>
    <t>TC-EXT-063</t>
  </si>
  <si>
    <t>F&amp;F Settlements page opens and renders correctly</t>
  </si>
  <si>
    <t>Route /fnf-settlements</t>
  </si>
  <si>
    <t xml:space="preserve">1. Open Resignation &amp; Exit &gt; F&amp;F Settlements from the sidebar
2. Wait for the loading indicator to clear
3. Check the page heading, toolbar buttons and table/cards</t>
  </si>
  <si>
    <t>Logged in as HRMS admin (amit) → Open Resignation &amp; Exit &gt; F&amp;F Settlements from the sidebar → Wait for the loading indicator to clear → Check the page heading, toolbar buttons and table/cards</t>
  </si>
  <si>
    <t>Page loads without login redirect, 404 or app error; heading "F&amp;F Settlements" shown; settlement list (employee, LWD, readiness, settlement status, amount), status tiles, "Search employee / code", page size and pagination render</t>
  </si>
  <si>
    <t>Linear 095 F&amp;F Settlements — page check</t>
  </si>
  <si>
    <t>TC-EXT-064</t>
  </si>
  <si>
    <t>Search settlements by employee or code</t>
  </si>
  <si>
    <t xml:space="preserve">1. Open Resignation &amp; Exit &gt; F&amp;F Settlements
2. Type a name
3. Type a code</t>
  </si>
  <si>
    <t>Logged in as HRMS admin (amit) → Open Resignation &amp; Exit &gt; F&amp;F Settlements → Type a name → Type a code</t>
  </si>
  <si>
    <t>Filtered list</t>
  </si>
  <si>
    <t>TC-EXT-065</t>
  </si>
  <si>
    <t>Readiness vs settlement status consistent</t>
  </si>
  <si>
    <t>Exit without salary structure</t>
  </si>
  <si>
    <t xml:space="preserve">1. Open Resignation &amp; Exit &gt; F&amp;F Settlements
2. Read Readiness and Settlement for the row
3. Observe the result and compare with the expected outcome</t>
  </si>
  <si>
    <t>Exit without salary structure → Open Resignation &amp; Exit &gt; F&amp;F Settlements → Read Readiness and Settlement for the row → Observe the result and compare with the expected outcome</t>
  </si>
  <si>
    <t>Not shown as "Ready for review" when not calculable</t>
  </si>
  <si>
    <t>Module automation owned by teammates (base page checks in linear run). Known issue RX-09</t>
  </si>
  <si>
    <t>TC-EXT-066</t>
  </si>
  <si>
    <t>Wizard</t>
  </si>
  <si>
    <t>Open the 6-step F&amp;F wizard</t>
  </si>
  <si>
    <t xml:space="preserve">1. Open /fnf/{guid} from the row
2. Step through all 6 steps
3. Observe the result and compare with the expected outcome</t>
  </si>
  <si>
    <t>Exit On Notice → Open /fnf/{guid} from the row → Step through all 6 steps → Observe the result and compare with the expected outcome</t>
  </si>
  <si>
    <t>Each step loads (inputs, salary, leave, recoveries, gratuity, review)</t>
  </si>
  <si>
    <t>TC-EXT-067</t>
  </si>
  <si>
    <t>Calculate</t>
  </si>
  <si>
    <t>No salary structure shows a clear error</t>
  </si>
  <si>
    <t>Exit employee without structure</t>
  </si>
  <si>
    <t xml:space="preserve">1. Open Resignation &amp; Exit &gt; F&amp;F Settlements
2. Click Calculate
3. Observe the result and compare with the expected outcome</t>
  </si>
  <si>
    <t>Exit employee without structure → Open Resignation &amp; Exit &gt; F&amp;F Settlements → Click Calculate → Observe the result and compare with the expected outcome</t>
  </si>
  <si>
    <t>Clear "no salary structure" message</t>
  </si>
  <si>
    <t>TC-EXT-068</t>
  </si>
  <si>
    <t>Calculate salary payable for partial month</t>
  </si>
  <si>
    <t>Structure ₹20,000/month; LWD 10-Oct</t>
  </si>
  <si>
    <t xml:space="preserve">1. Open Resignation &amp; Exit &gt; F&amp;F Settlements
2. Save inputs
3. Calculate</t>
  </si>
  <si>
    <t>Structure ₹20,000/month; LWD 10-Oct → Open Resignation &amp; Exit &gt; F&amp;F Settlements → Save inputs → Calculate</t>
  </si>
  <si>
    <t>Basic 1–10 Oct = 20,000 × 10/31 = 6,451.61; joining arrears where unpaid; version v1 created</t>
  </si>
  <si>
    <t>Module automation owned by teammates (base page checks in linear run). Verified 06-Oct: v1 ₹19,784.94</t>
  </si>
  <si>
    <t>TC-EXT-069</t>
  </si>
  <si>
    <t>Leave encashment within balance</t>
  </si>
  <si>
    <t>CL balance 3</t>
  </si>
  <si>
    <t xml:space="preserve">1. Open Resignation &amp; Exit &gt; F&amp;F Settlements
2. Enter encash 3 days
3. Recalculate</t>
  </si>
  <si>
    <t>CL balance 3 → Open Resignation &amp; Exit &gt; F&amp;F Settlements → Enter encash 3 days → Recalculate</t>
  </si>
  <si>
    <t>Leave encashment added (e.g. 2,000.00); version v2</t>
  </si>
  <si>
    <t>TC-EXT-070</t>
  </si>
  <si>
    <t>Encashment above balance rejected</t>
  </si>
  <si>
    <t>Balance 3</t>
  </si>
  <si>
    <t xml:space="preserve">1. Open Resignation &amp; Exit &gt; F&amp;F Settlements
2. Enter 5 days
3. Save</t>
  </si>
  <si>
    <t>Balance 3 → Open Resignation &amp; Exit &gt; F&amp;F Settlements → Enter 5 days → Save</t>
  </si>
  <si>
    <t>Validation: exceeds balance</t>
  </si>
  <si>
    <t>TC-EXT-071</t>
  </si>
  <si>
    <t>Negative amounts rejected</t>
  </si>
  <si>
    <t xml:space="preserve">1. Open Resignation &amp; Exit &gt; F&amp;F Settlements
2. Enter -100 in any amount
3. Save</t>
  </si>
  <si>
    <t>Logged in as HRMS admin (amit) → Open Resignation &amp; Exit &gt; F&amp;F Settlements → Enter -100 in any amount → Save</t>
  </si>
  <si>
    <t>Rejected; all amounts ≥ 0</t>
  </si>
  <si>
    <t>TC-EXT-072</t>
  </si>
  <si>
    <t>Notice recovery = shortfall × day rate unless waived</t>
  </si>
  <si>
    <t>Partially Served, 10-day shortfall</t>
  </si>
  <si>
    <t xml:space="preserve">1. Open Resignation &amp; Exit &gt; F&amp;F Settlements
2. Recalculate
3. Observe the result and compare with the expected outcome</t>
  </si>
  <si>
    <t>Partially Served, 10-day shortfall → Open Resignation &amp; Exit &gt; F&amp;F Settlements → Recalculate → Observe the result and compare with the expected outcome</t>
  </si>
  <si>
    <t>Recovery = 10 × day rate; 0 when Waived</t>
  </si>
  <si>
    <t>TC-EXT-073</t>
  </si>
  <si>
    <t>Gratuity only after 5 years of service</t>
  </si>
  <si>
    <t>Employees with 4 y and 6 y service</t>
  </si>
  <si>
    <t xml:space="preserve">1. Open Resignation &amp; Exit &gt; F&amp;F Settlements
2. Open gratuity step for each
3. Observe the result and compare with the expected outcome</t>
  </si>
  <si>
    <t>Employees with 4 y and 6 y service → Open Resignation &amp; Exit &gt; F&amp;F Settlements → Open gratuity step for each → Observe the result and compare with the expected outcome</t>
  </si>
  <si>
    <t>4 y: not eligible; 6 y: 15/26 × last Basic+DA × years (capped ₹20 lakh)</t>
  </si>
  <si>
    <t>Module automation owned by teammates (base page checks in linear run). Known issue RX-18: service shows 0 y 0 m 0 d</t>
  </si>
  <si>
    <t>TC-EXT-074</t>
  </si>
  <si>
    <t>Out-of-date detection after input change</t>
  </si>
  <si>
    <t>Calculated v1</t>
  </si>
  <si>
    <t xml:space="preserve">1. Open Resignation &amp; Exit &gt; F&amp;F Settlements
2. Change LWD or leave
3. Open F&amp;F</t>
  </si>
  <si>
    <t>Calculated v1 → Open Resignation &amp; Exit &gt; F&amp;F Settlements → Change LWD or leave → Open F&amp;F</t>
  </si>
  <si>
    <t>Flag "Out of date"; recalculation creates new version</t>
  </si>
  <si>
    <t>TC-EXT-075</t>
  </si>
  <si>
    <t>Mark worksheet completed and reviewed</t>
  </si>
  <si>
    <t>Calculated settlement</t>
  </si>
  <si>
    <t xml:space="preserve">1. Open Resignation &amp; Exit &gt; F&amp;F Settlements
2. Mark worksheet completed
3. Mark reviewed</t>
  </si>
  <si>
    <t>Calculated settlement → Open Resignation &amp; Exit &gt; F&amp;F Settlements → Mark worksheet completed → Mark reviewed</t>
  </si>
  <si>
    <t>Statuses update; leave days booked from ledger</t>
  </si>
  <si>
    <t>Settling F&amp;F is never automated (irreversible, payroll-impacting)</t>
  </si>
  <si>
    <t>TC-EXT-076</t>
  </si>
  <si>
    <t>F&amp;F before LWD is restricted</t>
  </si>
  <si>
    <t>LWD in future</t>
  </si>
  <si>
    <t xml:space="preserve">1. Open Resignation &amp; Exit &gt; F&amp;F Settlements
2. Calculate and review
3. Observe the result and compare with the expected outcome</t>
  </si>
  <si>
    <t>LWD in future → Open Resignation &amp; Exit &gt; F&amp;F Settlements → Calculate and review → Observe the result and compare with the expected outcome</t>
  </si>
  <si>
    <t>Warned/blocked until LWD or attendance locked</t>
  </si>
  <si>
    <t>Module automation owned by teammates (base page checks in linear run). Known issue RX-17</t>
  </si>
  <si>
    <t>TC-EXT-077</t>
  </si>
  <si>
    <t>F&amp;F completion requires all mandatory clearance settled</t>
  </si>
  <si>
    <t>Open clearance items</t>
  </si>
  <si>
    <t xml:space="preserve">1. Open Resignation &amp; Exit &gt; F&amp;F Settlements
2. Mark F&amp;F Completed
3. Observe the result and compare with the expected outcome</t>
  </si>
  <si>
    <t>Open clearance items → Open Resignation &amp; Exit &gt; F&amp;F Settlements → Mark F&amp;F Completed → Observe the result and compare with the expected outcome</t>
  </si>
  <si>
    <t>Refused until mandatory items settled</t>
  </si>
  <si>
    <t>TC-EXT-078</t>
  </si>
  <si>
    <t>Completed F&amp;F locks the record</t>
  </si>
  <si>
    <t xml:space="preserve">1. Open Resignation &amp; Exit &gt; F&amp;F Settlements
2. Try save, LWD change, notice change
3. Observe the result and compare with the expected outcome</t>
  </si>
  <si>
    <t>F&amp;F completed → Open Resignation &amp; Exit &gt; F&amp;F Settlements → Try save, LWD change, notice change → Observe the result and compare with the expected outcome</t>
  </si>
  <si>
    <t>All refused</t>
  </si>
  <si>
    <t>TC-EXT-079</t>
  </si>
  <si>
    <t>Settlement run</t>
  </si>
  <si>
    <t>Create settlement payroll run</t>
  </si>
  <si>
    <t>Reviewed settlement</t>
  </si>
  <si>
    <t xml:space="preserve">1. Open Resignation &amp; Exit &gt; F&amp;F Settlements
2. Create settlement run
3. Observe the result and compare with the expected outcome</t>
  </si>
  <si>
    <t>Reviewed settlement → Open Resignation &amp; Exit &gt; F&amp;F Settlements → Create settlement run → Observe the result and compare with the expected outcome</t>
  </si>
  <si>
    <t>Draft run created; Blocked if attendance not locked with clear reason</t>
  </si>
  <si>
    <t>TC-EXT-080</t>
  </si>
  <si>
    <t>Closure gate</t>
  </si>
  <si>
    <t>Closure gate requires F&amp;F completed (not merely reviewed)</t>
  </si>
  <si>
    <t>Settlement only Reviewed</t>
  </si>
  <si>
    <t xml:space="preserve">1. Open Resignation &amp; Exit &gt; F&amp;F Settlements
2. Open exit closure blockers
3. Observe the result and compare with the expected outcome</t>
  </si>
  <si>
    <t>Settlement only Reviewed → Open Resignation &amp; Exit &gt; F&amp;F Settlements → Open exit closure blockers → Observe the result and compare with the expected outcome</t>
  </si>
  <si>
    <t>"Full &amp; final settlement is not completed" still listed</t>
  </si>
  <si>
    <t>Module automation owned by teammates (base page checks in linear run). Known issue RX-15 (High): blocker drops once Reviewed</t>
  </si>
  <si>
    <t>TC-EXT-081</t>
  </si>
  <si>
    <t>Staff user cannot open /fnf-settlements via direct URL</t>
  </si>
  <si>
    <t xml:space="preserve">1. Log in as the Staff employee
2. Paste /fnf-settlements into the address bar
3. Observe the result</t>
  </si>
  <si>
    <t>A Staff-role employee login exists (initial password = employee code) → Log in as the Staff employee → Paste /fnf-settlements into the address bar → Observe the result</t>
  </si>
  <si>
    <t>TC-EXT-082</t>
  </si>
  <si>
    <t>Exit Watch page opens and renders correctly</t>
  </si>
  <si>
    <t>Route /exit-watch</t>
  </si>
  <si>
    <t xml:space="preserve">1. Open Resignation &amp; Exit &gt; Exit Watch from the sidebar
2. Wait for the loading indicator to clear
3. Check the page heading, toolbar buttons and table/cards</t>
  </si>
  <si>
    <t>Logged in as HRMS admin (amit) → Open Resignation &amp; Exit &gt; Exit Watch from the sidebar → Wait for the loading indicator to clear → Check the page heading, toolbar buttons and table/cards</t>
  </si>
  <si>
    <t>Page loads without login redirect, 404 or app error; heading "Exit Watch" shown; 4 tabs (Approaching Retirement, Absconding, Contract Ending, Internship Ending) render</t>
  </si>
  <si>
    <t>Linear 096 Exit Watch — page check</t>
  </si>
  <si>
    <t>TC-EXT-083</t>
  </si>
  <si>
    <t>Watchlists</t>
  </si>
  <si>
    <t>Approaching retirement from DOB + retirement age</t>
  </si>
  <si>
    <t>Employee within window of retirement age</t>
  </si>
  <si>
    <t xml:space="preserve">1. Open Resignation &amp; Exit &gt; Exit Watch
2. Open Approaching Retirement tab
3. Observe the result and compare with the expected outcome</t>
  </si>
  <si>
    <t>Employee within window of retirement age → Open Resignation &amp; Exit &gt; Exit Watch → Open Approaching Retirement tab → Observe the result and compare with the expected outcome</t>
  </si>
  <si>
    <t>Employee listed with retirement date</t>
  </si>
  <si>
    <t>FR-36</t>
  </si>
  <si>
    <t>TC-EXT-084</t>
  </si>
  <si>
    <t>Absconding candidates by consecutive absence</t>
  </si>
  <si>
    <t>Employee absent ≥ trigger days</t>
  </si>
  <si>
    <t xml:space="preserve">1. Open Resignation &amp; Exit &gt; Exit Watch
2. Open Absconding tab
3. Observe the result and compare with the expected outcome</t>
  </si>
  <si>
    <t>Employee absent ≥ trigger days → Open Resignation &amp; Exit &gt; Exit Watch → Open Absconding tab → Observe the result and compare with the expected outcome</t>
  </si>
  <si>
    <t>Listed with absent days</t>
  </si>
  <si>
    <t>TC-EXT-085</t>
  </si>
  <si>
    <t>Contract and internship ending lists</t>
  </si>
  <si>
    <t>Contract/intern end dates set</t>
  </si>
  <si>
    <t xml:space="preserve">1. Open Resignation &amp; Exit &gt; Exit Watch
2. Open both tabs
3. Observe the result and compare with the expected outcome</t>
  </si>
  <si>
    <t>Contract/intern end dates set → Open Resignation &amp; Exit &gt; Exit Watch → Open both tabs → Observe the result and compare with the expected outcome</t>
  </si>
  <si>
    <t>Employees listed by end date</t>
  </si>
  <si>
    <t>TC-EXT-086</t>
  </si>
  <si>
    <t>Click candidate pre-fills Initiate Exit</t>
  </si>
  <si>
    <t>Candidate listed</t>
  </si>
  <si>
    <t xml:space="preserve">1. Open Resignation &amp; Exit &gt; Exit Watch
2. Click the action on a candidate
3. Observe the result and compare with the expected outcome</t>
  </si>
  <si>
    <t>Candidate listed → Open Resignation &amp; Exit &gt; Exit Watch → Click the action on a candidate → Observe the result and compare with the expected outcome</t>
  </si>
  <si>
    <t>Initiate Exit opens with employee and type pre-filled</t>
  </si>
  <si>
    <t>TC-EXT-087</t>
  </si>
  <si>
    <t>Employees already exiting excluded</t>
  </si>
  <si>
    <t>Candidate with active exit</t>
  </si>
  <si>
    <t xml:space="preserve">1. Open Resignation &amp; Exit &gt; Exit Watch
2. Open tabs
3. Observe the result and compare with the expected outcome</t>
  </si>
  <si>
    <t>Candidate with active exit → Open Resignation &amp; Exit &gt; Exit Watch → Open tabs → Observe the result and compare with the expected outcome</t>
  </si>
  <si>
    <t>Not listed (or marked)</t>
  </si>
  <si>
    <t>TC-EXT-088</t>
  </si>
  <si>
    <t>Exit Approvals page opens and renders correctly</t>
  </si>
  <si>
    <t>Route /resignation-approval</t>
  </si>
  <si>
    <t xml:space="preserve">1. Open Resignation &amp; Exit &gt; Exit Approvals from the sidebar
2. Wait for the loading indicator to clear
3. Check the page heading, toolbar buttons and table/cards</t>
  </si>
  <si>
    <t>Logged in as HRMS admin (amit) → Open Resignation &amp; Exit &gt; Exit Approvals from the sidebar → Wait for the loading indicator to clear → Check the page heading, toolbar buttons and table/cards</t>
  </si>
  <si>
    <t>Page loads without login redirect, 404 or app error; heading "Exit Approvals" shown; pending exit approval list with Approve / Reject actions render</t>
  </si>
  <si>
    <t>Linear 097 Exit Approvals — page check</t>
  </si>
  <si>
    <t>TC-EXT-089</t>
  </si>
  <si>
    <t>Approve a pending resignation</t>
  </si>
  <si>
    <t>Pending resignation at my level</t>
  </si>
  <si>
    <t xml:space="preserve">1. Open the request
2. Optionally propose LWD
3. Click Approve
4. Confirm</t>
  </si>
  <si>
    <t>Pending resignation at my level → Open the request → Optionally propose LWD → Click Approve → Confirm</t>
  </si>
  <si>
    <t>Moves to next level or On Notice; checklist materialised; F&amp;F worksheet seeded</t>
  </si>
  <si>
    <t>Approving / rejecting exits is never automated (irreversible state change)</t>
  </si>
  <si>
    <t>FR-07/11</t>
  </si>
  <si>
    <t>TC-EXT-090</t>
  </si>
  <si>
    <t>Approve has a confirmation dialog</t>
  </si>
  <si>
    <t xml:space="preserve">1. Open Resignation &amp; Exit &gt; Exit Approvals
2. Click Approve
3. Observe the result and compare with the expected outcome</t>
  </si>
  <si>
    <t>Pending request → Open Resignation &amp; Exit &gt; Exit Approvals → Click Approve → Observe the result and compare with the expected outcome</t>
  </si>
  <si>
    <t>Confirmation dialog before action</t>
  </si>
  <si>
    <t>Approving / rejecting exits is never automated (irreversible state change). Known issue RE-03 / HRMS-824: no confirmation</t>
  </si>
  <si>
    <t>TC-EXT-091</t>
  </si>
  <si>
    <t>Reject requires a reason</t>
  </si>
  <si>
    <t xml:space="preserve">1. Open Resignation &amp; Exit &gt; Exit Approvals
2. Click Reject with empty Remarks
3. Observe the result and compare with the expected outcome</t>
  </si>
  <si>
    <t>Pending request → Open Resignation &amp; Exit &gt; Exit Approvals → Click Reject with empty Remarks → Observe the result and compare with the expected outcome</t>
  </si>
  <si>
    <t>Approving / rejecting exits is never automated (irreversible state change). Known issue RE-03: blank reject accepted instantly</t>
  </si>
  <si>
    <t>TC-EXT-092</t>
  </si>
  <si>
    <t>Reject stops the exit</t>
  </si>
  <si>
    <t xml:space="preserve">1. Open Resignation &amp; Exit &gt; Exit Approvals
2. Reject with reason
3. Observe the result and compare with the expected outcome</t>
  </si>
  <si>
    <t>Pending request → Open Resignation &amp; Exit &gt; Exit Approvals → Reject with reason → Observe the result and compare with the expected outcome</t>
  </si>
  <si>
    <t>Status Rejected; employee notified; no checklist created</t>
  </si>
  <si>
    <t>TC-EXT-093</t>
  </si>
  <si>
    <t>Proposed LWD</t>
  </si>
  <si>
    <t>Proposed LWD cannot be before submission date</t>
  </si>
  <si>
    <t xml:space="preserve">1. Open Resignation &amp; Exit &gt; Exit Approvals
2. Enter proposed LWD before submission
3. Approve</t>
  </si>
  <si>
    <t>Pending request → Open Resignation &amp; Exit &gt; Exit Approvals → Enter proposed LWD before submission → Approve</t>
  </si>
  <si>
    <t>Approving / rejecting exits is never automated (irreversible state change). Known issue RX-01 (High): no limits</t>
  </si>
  <si>
    <t>TC-EXT-094</t>
  </si>
  <si>
    <t>Last approver proposed LWD becomes Confirmed LWD</t>
  </si>
  <si>
    <t>Two-level chain</t>
  </si>
  <si>
    <t xml:space="preserve">1. Open Resignation &amp; Exit &gt; Exit Approvals
2. Level 1 proposes date A
3. Level 2 proposes date B and approves</t>
  </si>
  <si>
    <t>Two-level chain → Open Resignation &amp; Exit &gt; Exit Approvals → Level 1 proposes date A → Level 2 proposes date B and approves</t>
  </si>
  <si>
    <t>Confirmed LWD = B</t>
  </si>
  <si>
    <t>TC-EXT-095</t>
  </si>
  <si>
    <t>Routing</t>
  </si>
  <si>
    <t>Only current-level approver can act</t>
  </si>
  <si>
    <t>Two-level chain at level 1</t>
  </si>
  <si>
    <t xml:space="preserve">1. Log in as level-2 approver
2. Open Exit Approvals
3. Observe the result and compare with the expected outcome</t>
  </si>
  <si>
    <t>Two-level chain at level 1 → Log in as level-2 approver → Open Exit Approvals → Observe the result and compare with the expected outcome</t>
  </si>
  <si>
    <t>Request not actionable by level 2 yet</t>
  </si>
  <si>
    <t>TC-EXT-096</t>
  </si>
  <si>
    <t>Send back on employee-submitted resignation</t>
  </si>
  <si>
    <t>ESS-submitted pending</t>
  </si>
  <si>
    <t xml:space="preserve">1. Open Resignation &amp; Exit &gt; Exit Approvals
2. Send back with remarks
3. Observe the result and compare with the expected outcome</t>
  </si>
  <si>
    <t>ESS-submitted pending → Open Resignation &amp; Exit &gt; Exit Approvals → Send back with remarks → Observe the result and compare with the expected outcome</t>
  </si>
  <si>
    <t>Returned to employee to edit</t>
  </si>
  <si>
    <t>Approving / rejecting exits is never automated (irreversible state change). HR-initiated exits have no Send back (HRMS-736 fixed)</t>
  </si>
  <si>
    <t>TC-EXT-097</t>
  </si>
  <si>
    <t>Newest request listed first</t>
  </si>
  <si>
    <t>Several pending</t>
  </si>
  <si>
    <t xml:space="preserve">1. Open Resignation &amp; Exit &gt; Exit Approvals
2. Open the page
3. Observe the result and compare with the expected outcome</t>
  </si>
  <si>
    <t>Several pending → Open Resignation &amp; Exit &gt; Exit Approvals → Open the page → Observe the result and compare with the expected outcome</t>
  </si>
  <si>
    <t>Sorted newest first</t>
  </si>
  <si>
    <t>Module automation owned by teammates (base page checks in linear run). Known issue HRMS-788: newest at bottom</t>
  </si>
  <si>
    <t>TC-EXT-098</t>
  </si>
  <si>
    <t>Approver and employee notifications</t>
  </si>
  <si>
    <t>Approval chain configured</t>
  </si>
  <si>
    <t xml:space="preserve">1. Open Resignation &amp; Exit &gt; Exit Approvals
2. Submit
3. Approve</t>
  </si>
  <si>
    <t>Approval chain configured → Open Resignation &amp; Exit &gt; Exit Approvals → Submit → Approve</t>
  </si>
  <si>
    <t>Approver notified "awaiting your approval"; employee notified of outcome</t>
  </si>
  <si>
    <t>TC-EXT-099</t>
  </si>
  <si>
    <t>Exit Clearance page opens and renders correctly</t>
  </si>
  <si>
    <t>Route /exit-clearance</t>
  </si>
  <si>
    <t xml:space="preserve">1. Open Resignation &amp; Exit &gt; Exit Clearance from the sidebar
2. Wait for the loading indicator to clear
3. Check the page heading, toolbar buttons and table/cards</t>
  </si>
  <si>
    <t>Logged in as HRMS admin (amit) → Open Resignation &amp; Exit &gt; Exit Clearance from the sidebar → Wait for the loading indicator to clear → Check the page heading, toolbar buttons and table/cards</t>
  </si>
  <si>
    <t>Page loads without login redirect, 404 or app error; heading "Exit Clearance" shown; clearance list, search "Search employee, item, asset, owner or department…", kind filter (All kinds / Knowledge Transfer / Asset Return / Department Clearance / Other), department filter and Refresh / Clear / Waive / N/A actions render</t>
  </si>
  <si>
    <t>Linear 098 Exit Clearance — page check</t>
  </si>
  <si>
    <t>TC-EXT-100</t>
  </si>
  <si>
    <t>Search and filter by kind and department</t>
  </si>
  <si>
    <t>Open items exist</t>
  </si>
  <si>
    <t xml:space="preserve">1. Search an employee
2. Select "Asset Return"
3. Select a department</t>
  </si>
  <si>
    <t>Open items exist → Search an employee → Select "Asset Return" → Select a department</t>
  </si>
  <si>
    <t>List narrows correctly each time</t>
  </si>
  <si>
    <t>TC-EXT-101</t>
  </si>
  <si>
    <t>Clear an item</t>
  </si>
  <si>
    <t>Open item</t>
  </si>
  <si>
    <t xml:space="preserve">1. Open Resignation &amp; Exit &gt; Exit Clearance
2. Click "Clear"
3. Confirm</t>
  </si>
  <si>
    <t>Open item → Open Resignation &amp; Exit &gt; Exit Clearance → Click "Clear" → Confirm</t>
  </si>
  <si>
    <t>Item Completed with user/time</t>
  </si>
  <si>
    <t>Clearing exit checklist items is never automated</t>
  </si>
  <si>
    <t>TC-EXT-102</t>
  </si>
  <si>
    <t>Waive needs a reason via in-app dialog</t>
  </si>
  <si>
    <t xml:space="preserve">1. Open Resignation &amp; Exit &gt; Exit Clearance
2. Click "Waive"
3. Observe the result and compare with the expected outcome</t>
  </si>
  <si>
    <t>Open item → Open Resignation &amp; Exit &gt; Exit Clearance → Click "Waive" → Observe the result and compare with the expected outcome</t>
  </si>
  <si>
    <t>In-app dialog asks for reason</t>
  </si>
  <si>
    <t>Clearing exit checklist items is never automated. Known issue RX-07: native window.prompt freezes the page</t>
  </si>
  <si>
    <t>TC-EXT-103</t>
  </si>
  <si>
    <t>Mark item Not Applicable</t>
  </si>
  <si>
    <t xml:space="preserve">1. Open Resignation &amp; Exit &gt; Exit Clearance
2. Click "N/A"
3. Observe the result and compare with the expected outcome</t>
  </si>
  <si>
    <t>Open item → Open Resignation &amp; Exit &gt; Exit Clearance → Click "N/A" → Observe the result and compare with the expected outcome</t>
  </si>
  <si>
    <t>Item N/A; counts as settled</t>
  </si>
  <si>
    <t>TC-EXT-104</t>
  </si>
  <si>
    <t>Settled items cannot be edited</t>
  </si>
  <si>
    <t>Completed item</t>
  </si>
  <si>
    <t xml:space="preserve">1. Open Resignation &amp; Exit &gt; Exit Clearance
2. Try to change it
3. Observe the result and compare with the expected outcome</t>
  </si>
  <si>
    <t>Completed item → Open Resignation &amp; Exit &gt; Exit Clearance → Try to change it → Observe the result and compare with the expected outcome</t>
  </si>
  <si>
    <t>Refused (server-enforced)</t>
  </si>
  <si>
    <t>FR-22</t>
  </si>
  <si>
    <t>TC-EXT-105</t>
  </si>
  <si>
    <t>Display</t>
  </si>
  <si>
    <t>Owner column shows the person</t>
  </si>
  <si>
    <t xml:space="preserve">1. Open Resignation &amp; Exit &gt; Exit Clearance
2. Read the Owner column
3. Observe the result and compare with the expected outcome</t>
  </si>
  <si>
    <t>Logged in as HRMS admin (amit) → Open Resignation &amp; Exit &gt; Exit Clearance → Read the Owner column → Observe the result and compare with the expected outcome</t>
  </si>
  <si>
    <t>Shows owner name</t>
  </si>
  <si>
    <t>Module automation owned by teammates (base page checks in linear run). Known issue RX-10: shows role "Reporting Manager"</t>
  </si>
  <si>
    <t>TC-EXT-106</t>
  </si>
  <si>
    <t>Overdue items flagged</t>
  </si>
  <si>
    <t>Item past due</t>
  </si>
  <si>
    <t xml:space="preserve">1. Open Resignation &amp; Exit &gt; Exit Clearance
2. Look at the row
3. Observe the result and compare with the expected outcome</t>
  </si>
  <si>
    <t>Item past due → Open Resignation &amp; Exit &gt; Exit Clearance → Look at the row → Observe the result and compare with the expected outcome</t>
  </si>
  <si>
    <t>Overdue highlight</t>
  </si>
  <si>
    <t>Module automation owned by teammates (base page checks in linear run). Known issue HRMS-857</t>
  </si>
  <si>
    <t>TC-EXT-107</t>
  </si>
  <si>
    <t>Action button colours meaningful</t>
  </si>
  <si>
    <t xml:space="preserve">1. Open Resignation &amp; Exit &gt; Exit Clearance
2. Inspect Clear/Waive/N/A colours
3. Observe the result and compare with the expected outcome</t>
  </si>
  <si>
    <t>Logged in as HRMS admin (amit) → Open Resignation &amp; Exit &gt; Exit Clearance → Inspect Clear/Waive/N/A colours → Observe the result and compare with the expected outcome</t>
  </si>
  <si>
    <t>Clear positive colour; Waive/N/A neutral</t>
  </si>
  <si>
    <t>Module automation owned by teammates (base page checks in linear run). HRMS-849/852: Clear is red</t>
  </si>
  <si>
    <t>TC-EXT-108</t>
  </si>
  <si>
    <t>Asset return item created per held asset</t>
  </si>
  <si>
    <t>Employee holds 2 assets; exit approved</t>
  </si>
  <si>
    <t xml:space="preserve">1. Open Resignation &amp; Exit &gt; Exit Clearance
2. Open clearance for the employee
3. Observe the result and compare with the expected outcome</t>
  </si>
  <si>
    <t>Employee holds 2 assets; exit approved → Open Resignation &amp; Exit &gt; Exit Clearance → Open clearance for the employee → Observe the result and compare with the expected outcome</t>
  </si>
  <si>
    <t>Two Asset Return items</t>
  </si>
  <si>
    <t>TC-EXT-109</t>
  </si>
  <si>
    <t>Exit Checklist Templates page opens and renders correctly</t>
  </si>
  <si>
    <t>Route /exit-checklist-templates</t>
  </si>
  <si>
    <t xml:space="preserve">1. Open Resignation &amp; Exit &gt; Exit Checklist Templates from the sidebar
2. Wait for the loading indicator to clear
3. Check the page heading, toolbar buttons and table/cards</t>
  </si>
  <si>
    <t>Logged in as HRMS admin (amit) → Open Resignation &amp; Exit &gt; Exit Checklist Templates from the sidebar → Wait for the loading indicator to clear → Check the page heading, toolbar buttons and table/cards</t>
  </si>
  <si>
    <t>Page loads without login redirect, 404 or app error; heading "Exit Checklist Templates" shown; template list and add template action render</t>
  </si>
  <si>
    <t>Linear 099 Exit Checklist Templates — page check</t>
  </si>
  <si>
    <t>TC-EXT-110</t>
  </si>
  <si>
    <t>Create a checklist template with tasks</t>
  </si>
  <si>
    <t>QA Exit Checklist (Auto DD-Mon HH.MM.SS)</t>
  </si>
  <si>
    <t xml:space="preserve">1. Click add
2. Enter name, exit type scope
3. Add tasks (title, kind, owner, due offset, mandatory)
4. Save</t>
  </si>
  <si>
    <t>Logged in as HRMS admin (amit) → Click add → Enter name, exit type scope → Add tasks (title, kind, owner, due offset, mandatory) → Save</t>
  </si>
  <si>
    <t>Template saved and listed</t>
  </si>
  <si>
    <t>TC-EXT-111</t>
  </si>
  <si>
    <t>Template name mandatory; task Title mandatory</t>
  </si>
  <si>
    <t xml:space="preserve">1. Open Resignation &amp; Exit &gt; Exit Checklist Templates
2. Save with empty name
3. Add task without title</t>
  </si>
  <si>
    <t>Logged in as HRMS admin (amit) → Open Resignation &amp; Exit &gt; Exit Checklist Templates → Save with empty name → Add task without title</t>
  </si>
  <si>
    <t>Module automation owned by teammates (base page checks in linear run). Title enforced without "*"</t>
  </si>
  <si>
    <t>TC-EXT-112</t>
  </si>
  <si>
    <t xml:space="preserve">1. Open Resignation &amp; Exit &gt; Exit Checklist Templates
2. Create same name
3. Observe the result and compare with the expected outcome</t>
  </si>
  <si>
    <t>Template exists → Open Resignation &amp; Exit &gt; Exit Checklist Templates → Create same name → Observe the result and compare with the expected outcome</t>
  </si>
  <si>
    <t>TC-EXT-113</t>
  </si>
  <si>
    <t>Template used by exits cannot be deleted</t>
  </si>
  <si>
    <t>Used template</t>
  </si>
  <si>
    <t xml:space="preserve">1. Open Resignation &amp; Exit &gt; Exit Checklist Templates
2. Delete
3. Observe the result and compare with the expected outcome</t>
  </si>
  <si>
    <t>Used template → Open Resignation &amp; Exit &gt; Exit Checklist Templates → Delete → Observe the result and compare with the expected outcome</t>
  </si>
  <si>
    <t>Refused: "Used by N exits"; can be made Inactive</t>
  </si>
  <si>
    <t>TC-EXT-114</t>
  </si>
  <si>
    <t>Template edits do not affect running exits (snapshot)</t>
  </si>
  <si>
    <t>Running exit uses template</t>
  </si>
  <si>
    <t xml:space="preserve">1. Open Resignation &amp; Exit &gt; Exit Checklist Templates
2. Edit template
3. Open the exit checklist</t>
  </si>
  <si>
    <t>Running exit uses template → Open Resignation &amp; Exit &gt; Exit Checklist Templates → Edit template → Open the exit checklist</t>
  </si>
  <si>
    <t>Exit unchanged</t>
  </si>
  <si>
    <t>TC-EXT-115</t>
  </si>
  <si>
    <t>Versioning on edit</t>
  </si>
  <si>
    <t xml:space="preserve">1. Open Resignation &amp; Exit &gt; Exit Checklist Templates
2. Edit and save template
3. Observe the result and compare with the expected outcome</t>
  </si>
  <si>
    <t>Logged in as HRMS admin (amit) → Open Resignation &amp; Exit &gt; Exit Checklist Templates → Edit and save template → Observe the result and compare with the expected outcome</t>
  </si>
  <si>
    <t>New version recorded</t>
  </si>
  <si>
    <t>TC-EXT-116</t>
  </si>
  <si>
    <t>Junk test templates cleaned up</t>
  </si>
  <si>
    <t xml:space="preserve">1. Open Resignation &amp; Exit &gt; Exit Checklist Templates
2. Review the list
3. Observe the result and compare with the expected outcome</t>
  </si>
  <si>
    <t>Logged in as HRMS admin (amit) → Open Resignation &amp; Exit &gt; Exit Checklist Templates → Review the list → Observe the result and compare with the expected outcome</t>
  </si>
  <si>
    <t>Meaningful names only</t>
  </si>
  <si>
    <t>Module automation owned by teammates (base page checks in linear run). RE-09: only template "TEST" with task "hrms"</t>
  </si>
  <si>
    <t>TC-EXT-117</t>
  </si>
  <si>
    <t>Exit Interview Templates page opens and renders correctly</t>
  </si>
  <si>
    <t>Route /exit-interview-templates</t>
  </si>
  <si>
    <t xml:space="preserve">1. Open Resignation &amp; Exit &gt; Exit Interview Templates from the sidebar
2. Wait for the loading indicator to clear
3. Check the page heading, toolbar buttons and table/cards</t>
  </si>
  <si>
    <t>Logged in as HRMS admin (amit) → Open Resignation &amp; Exit &gt; Exit Interview Templates from the sidebar → Wait for the loading indicator to clear → Check the page heading, toolbar buttons and table/cards</t>
  </si>
  <si>
    <t>Page loads without login redirect, 404 or app error; heading "Exit Interview Templates" shown; template list and add action render</t>
  </si>
  <si>
    <t>Linear 100 Exit Interview Templates — page check</t>
  </si>
  <si>
    <t>TC-EXT-118</t>
  </si>
  <si>
    <t>Create template with questions of each type</t>
  </si>
  <si>
    <t xml:space="preserve">1. Click add
2. Enter name
3. Add rating, text and choice questions
4. Save</t>
  </si>
  <si>
    <t>Logged in as HRMS admin (amit) → Click add → Enter name → Add rating, text and choice questions → Save</t>
  </si>
  <si>
    <t>TC-EXT-119</t>
  </si>
  <si>
    <t>Template without questions rejected</t>
  </si>
  <si>
    <t xml:space="preserve">1. Open Resignation &amp; Exit &gt; Exit Interview Templates
2. Save with no questions
3. Observe the result and compare with the expected outcome</t>
  </si>
  <si>
    <t>Logged in as HRMS admin (amit) → Open Resignation &amp; Exit &gt; Exit Interview Templates → Save with no questions → Observe the result and compare with the expected outcome</t>
  </si>
  <si>
    <t>TC-EXT-120</t>
  </si>
  <si>
    <t>Choice question needs options</t>
  </si>
  <si>
    <t xml:space="preserve">1. Open Resignation &amp; Exit &gt; Exit Interview Templates
2. Add choice question with no options
3. Save</t>
  </si>
  <si>
    <t>Logged in as HRMS admin (amit) → Open Resignation &amp; Exit &gt; Exit Interview Templates → Add choice question with no options → Save</t>
  </si>
  <si>
    <t>TC-EXT-121</t>
  </si>
  <si>
    <t>Set a default template</t>
  </si>
  <si>
    <t xml:space="preserve">1. Open Resignation &amp; Exit &gt; Exit Interview Templates
2. Mark one template Default
3. Save</t>
  </si>
  <si>
    <t>Logged in as HRMS admin (amit) → Open Resignation &amp; Exit &gt; Exit Interview Templates → Mark one template Default → Save</t>
  </si>
  <si>
    <t>Only one default; used for new interviews</t>
  </si>
  <si>
    <t>Module automation owned by teammates (base page checks in linear run). RE-08: no default set</t>
  </si>
  <si>
    <t>TC-EXT-122</t>
  </si>
  <si>
    <t>Edit / deactivate template</t>
  </si>
  <si>
    <t xml:space="preserve">1. Open Resignation &amp; Exit &gt; Exit Interview Templates
2. Edit question
3. Deactivate</t>
  </si>
  <si>
    <t>Logged in as HRMS admin (amit) → Open Resignation &amp; Exit &gt; Exit Interview Templates → Edit question → Deactivate</t>
  </si>
  <si>
    <t>Inactive not offered on scheduling</t>
  </si>
  <si>
    <t>TC-EXT-123</t>
  </si>
  <si>
    <t>Notice Period Rules page opens and renders correctly</t>
  </si>
  <si>
    <t>Route /notice-period-rules</t>
  </si>
  <si>
    <t xml:space="preserve">1. Open Resignation &amp; Exit &gt; Notice Period Rules from the sidebar
2. Wait for the loading indicator to clear
3. Check the page heading, toolbar buttons and table/cards</t>
  </si>
  <si>
    <t>Logged in as HRMS admin (amit) → Open Resignation &amp; Exit &gt; Notice Period Rules from the sidebar → Wait for the loading indicator to clear → Check the page heading, toolbar buttons and table/cards</t>
  </si>
  <si>
    <t>Page loads without login redirect, 404 or app error; heading "Notice Period Rules" shown; rule list, "Search applies to...", form with Scope, Applies to *, Notice Days *, Recover unserved notice, Active and Save / Clear render</t>
  </si>
  <si>
    <t>Linear 101 Notice Period Rules — page check</t>
  </si>
  <si>
    <t>TC-EXT-124</t>
  </si>
  <si>
    <t>Add a designation rule</t>
  </si>
  <si>
    <t>Restore tenant baseline afterwards</t>
  </si>
  <si>
    <t xml:space="preserve">1. Scope "Designation"
2. Applies to "SOFTWARE TESTER"
3. Notice Days 60
4. Tick Recover unserved notice, Active
5. Save</t>
  </si>
  <si>
    <t>Restore tenant baseline afterwards → Scope "Designation" → Applies to "SOFTWARE TESTER" → Notice Days 60 → Tick Recover unserved notice, Active → Save</t>
  </si>
  <si>
    <t>Rule listed; Initiate Exit for a tester shows 60 days</t>
  </si>
  <si>
    <t>TC-EXT-125</t>
  </si>
  <si>
    <t>Applies to and Notice Days mandatory</t>
  </si>
  <si>
    <t xml:space="preserve">1. Leave Applies to "-- Select --"
2. Leave Notice Days empty
3. Save</t>
  </si>
  <si>
    <t>Logged in as HRMS admin (amit) → Leave Applies to "-- Select --" → Leave Notice Days empty → Save</t>
  </si>
  <si>
    <t>TC-EXT-126</t>
  </si>
  <si>
    <t>Notice Days 0 / negative / over 365</t>
  </si>
  <si>
    <t xml:space="preserve">1. Open Resignation &amp; Exit &gt; Notice Period Rules
2. Enter -1, 0, 366
3. Save</t>
  </si>
  <si>
    <t>Logged in as HRMS admin (amit) → Open Resignation &amp; Exit &gt; Notice Period Rules → Enter -1, 0, 366 → Save</t>
  </si>
  <si>
    <t>Out-of-range rejected (0–365)</t>
  </si>
  <si>
    <t>TC-EXT-127</t>
  </si>
  <si>
    <t>Duplicate rule for same scope/target</t>
  </si>
  <si>
    <t>Rule exists</t>
  </si>
  <si>
    <t xml:space="preserve">1. Open Resignation &amp; Exit &gt; Notice Period Rules
2. Save same scope+target
3. Observe the result and compare with the expected outcome</t>
  </si>
  <si>
    <t>Rule exists → Open Resignation &amp; Exit &gt; Notice Period Rules → Save same scope+target → Observe the result and compare with the expected outcome</t>
  </si>
  <si>
    <t>Refused or updates existing</t>
  </si>
  <si>
    <t>TC-EXT-128</t>
  </si>
  <si>
    <t>Applies to list changes with Scope</t>
  </si>
  <si>
    <t xml:space="preserve">1. Open Resignation &amp; Exit &gt; Notice Period Rules
2. Switch Scope through Designation, Grade (User Level), Sub Department, Department, Branch, All employees (default)
3. Observe the result and compare with the expected outcome</t>
  </si>
  <si>
    <t>Logged in as HRMS admin (amit) → Open Resignation &amp; Exit &gt; Notice Period Rules → Switch Scope through Designation, Grade (User Level), Sub Department, Department, Branch, All employees (default) → Observe the result and compare with the expected outcome</t>
  </si>
  <si>
    <t>Applies to options change accordingly</t>
  </si>
  <si>
    <t>TC-EXT-129</t>
  </si>
  <si>
    <t>Precedence</t>
  </si>
  <si>
    <t>Designation overrides department and branch</t>
  </si>
  <si>
    <t>Rules at designation 45, department 60, all 30</t>
  </si>
  <si>
    <t xml:space="preserve">1. Open Resignation &amp; Exit &gt; Notice Period Rules
2. Initiate Exit for an employee matching all
3. Observe the result and compare with the expected outcome</t>
  </si>
  <si>
    <t>Rules at designation 45, department 60, all 30 → Open Resignation &amp; Exit &gt; Notice Period Rules → Initiate Exit for an employee matching all → Observe the result and compare with the expected outcome</t>
  </si>
  <si>
    <t>Policy shows 45 days</t>
  </si>
  <si>
    <t>TC-EXT-130</t>
  </si>
  <si>
    <t>Fallback to All employees default 30</t>
  </si>
  <si>
    <t>No specific rule</t>
  </si>
  <si>
    <t xml:space="preserve">1. Open Resignation &amp; Exit &gt; Notice Period Rules
2. Initiate Exit
3. Observe the result and compare with the expected outcome</t>
  </si>
  <si>
    <t>No specific rule → Open Resignation &amp; Exit &gt; Notice Period Rules → Initiate Exit → Observe the result and compare with the expected outcome</t>
  </si>
  <si>
    <t>30 days</t>
  </si>
  <si>
    <t>TC-EXT-131</t>
  </si>
  <si>
    <t>Inactive rule ignored</t>
  </si>
  <si>
    <t>Inactive designation rule</t>
  </si>
  <si>
    <t>Inactive designation rule → Open Resignation &amp; Exit &gt; Notice Period Rules → Initiate Exit → Observe the result and compare with the expected outcome</t>
  </si>
  <si>
    <t>Next precedence rule used</t>
  </si>
  <si>
    <t>TC-EXT-132</t>
  </si>
  <si>
    <t>Recover unserved notice flag flows to F&amp;F</t>
  </si>
  <si>
    <t>Rule with recovery on</t>
  </si>
  <si>
    <t xml:space="preserve">1. Open Resignation &amp; Exit &gt; Notice Period Rules
2. Exit with shortfall
3. Open F&amp;F</t>
  </si>
  <si>
    <t>Rule with recovery on → Open Resignation &amp; Exit &gt; Notice Period Rules → Exit with shortfall → Open F&amp;F</t>
  </si>
  <si>
    <t>Recovery computed</t>
  </si>
  <si>
    <t>TC-EXT-133</t>
  </si>
  <si>
    <t>Edit / Clear form / search</t>
  </si>
  <si>
    <t xml:space="preserve">1. Edit a rule
2. Click Clear
3. Search</t>
  </si>
  <si>
    <t>Logged in as HRMS admin (amit) → Edit a rule → Click Clear → Search</t>
  </si>
  <si>
    <t>Form resets; search filters</t>
  </si>
  <si>
    <t>TC-EXT-134</t>
  </si>
  <si>
    <t>Exit Type Settings page opens and renders correctly</t>
  </si>
  <si>
    <t>Route /exit-type-settings</t>
  </si>
  <si>
    <t xml:space="preserve">1. Open Resignation &amp; Exit &gt; Exit Type Settings from the sidebar
2. Wait for the loading indicator to clear
3. Check the page heading, toolbar buttons and table/cards</t>
  </si>
  <si>
    <t>Logged in as HRMS admin (amit) → Open Resignation &amp; Exit &gt; Exit Type Settings from the sidebar → Wait for the loading indicator to clear → Check the page heading, toolbar buttons and table/cards</t>
  </si>
  <si>
    <t>Page loads without login redirect, 404 or app error; heading "Exit Type Settings" shown; grid of 9 exit types with enabled switch, default Notice Treatment, flags, approval chain status, letter rules (Exit type, Relieving / Experience / Salary Certificate) and Save / Add Rule render</t>
  </si>
  <si>
    <t>Linear 102 Exit Type Settings — page check</t>
  </si>
  <si>
    <t>TC-EXT-135</t>
  </si>
  <si>
    <t>Types</t>
  </si>
  <si>
    <t>All 9 exit types listed</t>
  </si>
  <si>
    <t xml:space="preserve">1. Open Resignation &amp; Exit &gt; Exit Type Settings
2. Read the grid
3. Observe the result and compare with the expected outcome</t>
  </si>
  <si>
    <t>Logged in as HRMS admin (amit) → Open Resignation &amp; Exit &gt; Exit Type Settings → Read the grid → Observe the result and compare with the expected outcome</t>
  </si>
  <si>
    <t>Resignation, Termination, Retirement, Absconding, Death, Permanent Disablement, End of Contract, Internship Completion, Other</t>
  </si>
  <si>
    <t>TC-EXT-136</t>
  </si>
  <si>
    <t>Disable an exit type removes it from Initiate Exit</t>
  </si>
  <si>
    <t>Restore afterwards</t>
  </si>
  <si>
    <t xml:space="preserve">1. Untick a type
2. Save
3. Open Initiate Exit</t>
  </si>
  <si>
    <t>Restore afterwards → Untick a type → Save → Open Initiate Exit</t>
  </si>
  <si>
    <t>Type not offered</t>
  </si>
  <si>
    <t>TC-EXT-137</t>
  </si>
  <si>
    <t>Notice</t>
  </si>
  <si>
    <t>Default notice treatment per type</t>
  </si>
  <si>
    <t xml:space="preserve">1. Set Termination to "Paid in Lieu (employer pays)"
2. Save
3. Initiate termination</t>
  </si>
  <si>
    <t>Logged in as HRMS admin (amit) → Set Termination to "Paid in Lieu (employer pays)" → Save → Initiate termination</t>
  </si>
  <si>
    <t>Default applied</t>
  </si>
  <si>
    <t>TC-EXT-138</t>
  </si>
  <si>
    <t>Add letter rule for an exit type</t>
  </si>
  <si>
    <t xml:space="preserve">1. Click Add Rule
2. Exit type Retirement
3. Tick Relieving and Experience
4. Save</t>
  </si>
  <si>
    <t>Logged in as HRMS admin (amit) → Click Add Rule → Exit type Retirement → Tick Relieving and Experience → Save</t>
  </si>
  <si>
    <t>Rule saved; closure requires them</t>
  </si>
  <si>
    <t>TC-EXT-139</t>
  </si>
  <si>
    <t>Required letters subset of issuable</t>
  </si>
  <si>
    <t xml:space="preserve">1. Open Resignation &amp; Exit &gt; Exit Type Settings
2. Mark a letter required that is not issuable
3. Save</t>
  </si>
  <si>
    <t>Logged in as HRMS admin (amit) → Open Resignation &amp; Exit &gt; Exit Type Settings → Mark a letter required that is not issuable → Save</t>
  </si>
  <si>
    <t>FR-29/30</t>
  </si>
  <si>
    <t>TC-EXT-140</t>
  </si>
  <si>
    <t>Approval chain status per type</t>
  </si>
  <si>
    <t xml:space="preserve">1. Open Resignation &amp; Exit &gt; Exit Type Settings
2. Read chain column
3. Observe the result and compare with the expected outcome</t>
  </si>
  <si>
    <t>Logged in as HRMS admin (amit) → Open Resignation &amp; Exit &gt; Exit Type Settings → Read chain column → Observe the result and compare with the expected outcome</t>
  </si>
  <si>
    <t>All "Configured"; Death/Perm. Disablement/Other ride Termination chain</t>
  </si>
  <si>
    <t>TC-EXT-141</t>
  </si>
  <si>
    <t>Numeric setting negative rejected</t>
  </si>
  <si>
    <t xml:space="preserve">1. Open Resignation &amp; Exit &gt; Exit Type Settings
2. Enter -7 in a days field
3. Save</t>
  </si>
  <si>
    <t>Logged in as HRMS admin (amit) → Open Resignation &amp; Exit &gt; Exit Type Settings → Enter -7 in a days field → Save</t>
  </si>
  <si>
    <t>TC-EXT-142</t>
  </si>
  <si>
    <t>Exit Reasons page opens and renders correctly</t>
  </si>
  <si>
    <t>Route /resignation-reasons</t>
  </si>
  <si>
    <t xml:space="preserve">1. Open Resignation &amp; Exit &gt; Exit Reasons from the sidebar
2. Wait for the loading indicator to clear
3. Check the page heading, toolbar buttons and table/cards</t>
  </si>
  <si>
    <t>Logged in as HRMS admin (amit) → Open Resignation &amp; Exit &gt; Exit Reasons from the sidebar → Wait for the loading indicator to clear → Check the page heading, toolbar buttons and table/cards</t>
  </si>
  <si>
    <t>Page loads without login redirect, 404 or app error; heading "Exit Reasons" shown; reason list with sort order / active and add form render</t>
  </si>
  <si>
    <t>Linear 103 Exit Reasons — page check</t>
  </si>
  <si>
    <t>TC-EXT-143</t>
  </si>
  <si>
    <t>Add a reason</t>
  </si>
  <si>
    <t>Contract Ended Early (Auto …)</t>
  </si>
  <si>
    <t xml:space="preserve">1. Open Resignation &amp; Exit &gt; Exit Reasons
2. Enter reason name and sort order
3. Save</t>
  </si>
  <si>
    <t>Logged in as HRMS admin (amit) → Open Resignation &amp; Exit &gt; Exit Reasons → Enter reason name and sort order → Save</t>
  </si>
  <si>
    <t>Listed; offered on ESS and HR forms</t>
  </si>
  <si>
    <t>TC-EXT-144</t>
  </si>
  <si>
    <t>Duplicate reason blocked</t>
  </si>
  <si>
    <t>Reason exists</t>
  </si>
  <si>
    <t xml:space="preserve">1. Open Resignation &amp; Exit &gt; Exit Reasons
2. Add same name
3. Observe the result and compare with the expected outcome</t>
  </si>
  <si>
    <t>Reason exists → Open Resignation &amp; Exit &gt; Exit Reasons → Add same name → Observe the result and compare with the expected outcome</t>
  </si>
  <si>
    <t>TC-EXT-145</t>
  </si>
  <si>
    <t>Empty / whitespace name rejected</t>
  </si>
  <si>
    <t xml:space="preserve">1. Open Resignation &amp; Exit &gt; Exit Reasons
2. Save blank / spaces
3. Observe the result and compare with the expected outcome</t>
  </si>
  <si>
    <t>Logged in as HRMS admin (amit) → Open Resignation &amp; Exit &gt; Exit Reasons → Save blank / spaces → Observe the result and compare with the expected outcome</t>
  </si>
  <si>
    <t>TC-EXT-146</t>
  </si>
  <si>
    <t>Order</t>
  </si>
  <si>
    <t>Sort order controls dropdown order</t>
  </si>
  <si>
    <t xml:space="preserve">1. Open Resignation &amp; Exit &gt; Exit Reasons
2. Change sort orders
3. Open ESS dropdown</t>
  </si>
  <si>
    <t>Logged in as HRMS admin (amit) → Open Resignation &amp; Exit &gt; Exit Reasons → Change sort orders → Open ESS dropdown</t>
  </si>
  <si>
    <t>Order respected</t>
  </si>
  <si>
    <t>Module automation owned by teammates (base page checks in linear run). RE-09: junk SAMPLE/sample1 sort 0 above real reasons</t>
  </si>
  <si>
    <t>TC-EXT-147</t>
  </si>
  <si>
    <t>Inactive reason hidden</t>
  </si>
  <si>
    <t xml:space="preserve">1. Open Resignation &amp; Exit &gt; Exit Reasons
2. Deactivate a reason
3. Open forms</t>
  </si>
  <si>
    <t>Logged in as HRMS admin (amit) → Open Resignation &amp; Exit &gt; Exit Reasons → Deactivate a reason → Open forms</t>
  </si>
  <si>
    <t>Not offered; historical exits keep it</t>
  </si>
  <si>
    <t>TC-EXT-148</t>
  </si>
  <si>
    <t>Leaving with unsaved changes prompts</t>
  </si>
  <si>
    <t xml:space="preserve">1. Open Resignation &amp; Exit &gt; Exit Reasons
2. Edit without saving
3. Navigate away</t>
  </si>
  <si>
    <t>Logged in as HRMS admin (amit) → Open Resignation &amp; Exit &gt; Exit Reasons → Edit without saving → Navigate away</t>
  </si>
  <si>
    <t>In-app unsaved-changes prompt</t>
  </si>
  <si>
    <t>Module automation owned by teammates (base page checks in linear run). Native "Leave site?" dialog observed</t>
  </si>
  <si>
    <t>TC-EXT-149</t>
  </si>
  <si>
    <t>Resignation page opens and renders correctly</t>
  </si>
  <si>
    <t>Route /ess/resignation</t>
  </si>
  <si>
    <t xml:space="preserve">1. Open My Workspace &gt; Resignation from the sidebar
2. Wait for the loading indicator to clear
3. Check the page heading, toolbar buttons and table/cards</t>
  </si>
  <si>
    <t>Logged in as HRMS admin (amit) → Open My Workspace &gt; Resignation from the sidebar → Wait for the loading indicator to clear → Check the page heading, toolbar buttons and table/cards</t>
  </si>
  <si>
    <t>Page loads without login redirect, 404 or app error; heading "My Resignation" shown; form with Reason for Leaving *, Requested Last Working Day, Alternate Email, Alternate Mobile, Remarks, Resignation Letter (optional) and "Submit Resignation" render</t>
  </si>
  <si>
    <t>Linear 114 Resignation — page check</t>
  </si>
  <si>
    <t>TC-EXT-150</t>
  </si>
  <si>
    <t>Employee submits resignation with mandatory reason</t>
  </si>
  <si>
    <t xml:space="preserve">1. Log in as the employee
2. Open My Workspace &gt; Resignation
3. Select Reason "Better Opportunity"
4. Click "Submit Resignation"
5. Confirm</t>
  </si>
  <si>
    <t>A fresh disposable employee with login (never the admin account) → Log in as the employee → Open My Workspace &gt; Resignation → Select Reason "Better Opportunity" → Click "Submit Resignation" → Confirm</t>
  </si>
  <si>
    <t>Submitted; status shown; tentative LWD = today + notice days</t>
  </si>
  <si>
    <t>TC-EXT-151</t>
  </si>
  <si>
    <t>Submit with all fields</t>
  </si>
  <si>
    <t xml:space="preserve">1. Open My Workspace &gt; Resignation
2. Fill reason, requested LWD, alternate email/mobile, remarks, attach PDF
3. Submit</t>
  </si>
  <si>
    <t>A fresh disposable employee with login (never the admin account) → Open My Workspace &gt; Resignation → Fill reason, requested LWD, alternate email/mobile, remarks, attach PDF → Submit</t>
  </si>
  <si>
    <t>Saved with all values visible to HR</t>
  </si>
  <si>
    <t>TC-EXT-152</t>
  </si>
  <si>
    <t>Reason for Leaving mandatory</t>
  </si>
  <si>
    <t xml:space="preserve">1. Open the form
2. Leave reason "-- Select --"
3. Submit</t>
  </si>
  <si>
    <t>A fresh disposable employee with login (never the admin account) → Open the form → Leave reason "-- Select --" → Submit</t>
  </si>
  <si>
    <t>TC-EXT-153</t>
  </si>
  <si>
    <t>Requested LWD min today</t>
  </si>
  <si>
    <t xml:space="preserve">1. Open My Workspace &gt; Resignation
2. Pick yesterday in Requested Last Working Day
3. Observe the result and compare with the expected outcome</t>
  </si>
  <si>
    <t>A fresh disposable employee with login (never the admin account) → Open My Workspace &gt; Resignation → Pick yesterday in Requested Last Working Day → Observe the result and compare with the expected outcome</t>
  </si>
  <si>
    <t>Not allowed (min = today)</t>
  </si>
  <si>
    <t>TC-EXT-154</t>
  </si>
  <si>
    <t>Invalid alternate email</t>
  </si>
  <si>
    <t xml:space="preserve">1. Open My Workspace &gt; Resignation
2. Enter "abc@"
3. Submit</t>
  </si>
  <si>
    <t>A fresh disposable employee with login (never the admin account) → Open My Workspace &gt; Resignation → Enter "abc@" → Submit</t>
  </si>
  <si>
    <t>Email validation</t>
  </si>
  <si>
    <t>TC-EXT-155</t>
  </si>
  <si>
    <t>Invalid alternate mobile</t>
  </si>
  <si>
    <t xml:space="preserve">1. Open My Workspace &gt; Resignation
2. Enter letters / 3 digits
3. Submit</t>
  </si>
  <si>
    <t>A fresh disposable employee with login (never the admin account) → Open My Workspace &gt; Resignation → Enter letters / 3 digits → Submit</t>
  </si>
  <si>
    <t>TC-EXT-156</t>
  </si>
  <si>
    <t>Letter file types</t>
  </si>
  <si>
    <t xml:space="preserve">1. Open My Workspace &gt; Resignation
2. Attach .doc then .pdf
3. Observe the result and compare with the expected outcome</t>
  </si>
  <si>
    <t>A fresh disposable employee with login (never the admin account) → Open My Workspace &gt; Resignation → Attach .doc then .pdf → Observe the result and compare with the expected outcome</t>
  </si>
  <si>
    <t>Only .pdf, .docx, .png, .jpg, .jpeg accepted</t>
  </si>
  <si>
    <t>TC-EXT-157</t>
  </si>
  <si>
    <t>Duplicate</t>
  </si>
  <si>
    <t>Second resignation while one is open blocked</t>
  </si>
  <si>
    <t>Employee has open resignation</t>
  </si>
  <si>
    <t xml:space="preserve">1. Open My Workspace &gt; Resignation
2. Open the page
3. Observe the result and compare with the expected outcome</t>
  </si>
  <si>
    <t>Employee has open resignation → Open My Workspace &gt; Resignation → Open the page → Observe the result and compare with the expected outcome</t>
  </si>
  <si>
    <t>Status view instead of form, or refusal</t>
  </si>
  <si>
    <t>TC-EXT-158</t>
  </si>
  <si>
    <t>Track</t>
  </si>
  <si>
    <t>Employee tracks status and approvals</t>
  </si>
  <si>
    <t>Submitted resignation</t>
  </si>
  <si>
    <t>Submitted resignation → Open My Workspace &gt; Resignation → Open the page → Observe the result and compare with the expected outcome</t>
  </si>
  <si>
    <t>Status, approver level, LWD shown</t>
  </si>
  <si>
    <t>TC-EXT-159</t>
  </si>
  <si>
    <t>Withdraw before approval</t>
  </si>
  <si>
    <t>Pending</t>
  </si>
  <si>
    <t xml:space="preserve">1. Open My Workspace &gt; Resignation
2. Click withdraw
3. Confirm</t>
  </si>
  <si>
    <t>Pending → Open My Workspace &gt; Resignation → Click withdraw → Confirm</t>
  </si>
  <si>
    <t>Withdrawn</t>
  </si>
  <si>
    <t>TC-EXT-160</t>
  </si>
  <si>
    <t>Cannot withdraw after approval</t>
  </si>
  <si>
    <t>Approved</t>
  </si>
  <si>
    <t xml:space="preserve">1. Open My Workspace &gt; Resignation
2. Look for withdraw
3. Observe the result and compare with the expected outcome</t>
  </si>
  <si>
    <t>Approved → Open My Workspace &gt; Resignation → Look for withdraw → Observe the result and compare with the expected outcome</t>
  </si>
  <si>
    <t>Not available</t>
  </si>
  <si>
    <t>TC-EXT-161</t>
  </si>
  <si>
    <t>Reasons</t>
  </si>
  <si>
    <t>Junk reasons not offered</t>
  </si>
  <si>
    <t xml:space="preserve">1. Open My Workspace &gt; Resignation
2. Open reason dropdown
3. Observe the result and compare with the expected outcome</t>
  </si>
  <si>
    <t>Logged in as HRMS admin (amit) → Open My Workspace &gt; Resignation → Open reason dropdown → Observe the result and compare with the expected outcome</t>
  </si>
  <si>
    <t>Only real reasons</t>
  </si>
  <si>
    <t>Module automation owned by teammates (base page checks in linear run). RE-09: SAMPLE / sample1 listed</t>
  </si>
  <si>
    <t>TC-EXT-162</t>
  </si>
  <si>
    <t>Exit Tasks page opens and renders correctly</t>
  </si>
  <si>
    <t>Route /ess/exit-tasks</t>
  </si>
  <si>
    <t xml:space="preserve">1. Open My Workspace &gt; Exit Tasks from the sidebar
2. Wait for the loading indicator to clear
3. Check the page heading, toolbar buttons and table/cards</t>
  </si>
  <si>
    <t>Logged in as HRMS admin (amit) → Open My Workspace &gt; Exit Tasks from the sidebar → Wait for the loading indicator to clear → Check the page heading, toolbar buttons and table/cards</t>
  </si>
  <si>
    <t>Page loads without login redirect, 404 or app error; heading "Exit Tasks" shown; list of exit tasks owned by or assigned to me with status and actions render</t>
  </si>
  <si>
    <t>Linear 115 Exit Tasks — page check</t>
  </si>
  <si>
    <t>TC-EXT-163</t>
  </si>
  <si>
    <t>Tasks</t>
  </si>
  <si>
    <t>Owner completes assigned task</t>
  </si>
  <si>
    <t>Task assigned to logged-in user</t>
  </si>
  <si>
    <t xml:space="preserve">1. Open Exit Tasks
2. Click Complete
3. Confirm</t>
  </si>
  <si>
    <t>Task assigned to logged-in user → Open Exit Tasks → Click Complete → Confirm</t>
  </si>
  <si>
    <t>Clearing exit checklist items is never automated. RX-08: no confirmation, no undo</t>
  </si>
  <si>
    <t>TC-EXT-164</t>
  </si>
  <si>
    <t>Exiting employee sees own tasks</t>
  </si>
  <si>
    <t>Exiting employee login</t>
  </si>
  <si>
    <t xml:space="preserve">1. Log in as exiting employee
2. Open Exit Tasks
3. Observe the result and compare with the expected outcome</t>
  </si>
  <si>
    <t>Exiting employee login → Log in as exiting employee → Open Exit Tasks → Observe the result and compare with the expected outcome</t>
  </si>
  <si>
    <t>Own tasks and due dates visible</t>
  </si>
  <si>
    <t>TC-EXT-165</t>
  </si>
  <si>
    <t>Waive uses in-app dialog with reason</t>
  </si>
  <si>
    <t>Task</t>
  </si>
  <si>
    <t xml:space="preserve">1. Open My Workspace &gt; Exit Tasks
2. Click Waive
3. Observe the result and compare with the expected outcome</t>
  </si>
  <si>
    <t>Task → Open My Workspace &gt; Exit Tasks → Click Waive → Observe the result and compare with the expected outcome</t>
  </si>
  <si>
    <t>In-app reason dialog</t>
  </si>
  <si>
    <t>Clearing exit checklist items is never automated. RX-07: window.prompt</t>
  </si>
  <si>
    <t>TC-EXT-166</t>
  </si>
  <si>
    <t>Overdue tasks highlighted</t>
  </si>
  <si>
    <t>Overdue task</t>
  </si>
  <si>
    <t xml:space="preserve">1. Open My Workspace &gt; Exit Tasks
2. Open page
3. Observe the result and compare with the expected outcome</t>
  </si>
  <si>
    <t>Overdue task → Open My Workspace &gt; Exit Tasks → Open page → Observe the result and compare with the expected outcome</t>
  </si>
  <si>
    <t>Overdue flag</t>
  </si>
  <si>
    <t>Module automation owned by teammates (base page checks in linear run). HRMS-857</t>
  </si>
  <si>
    <t>TC-EXT-167</t>
  </si>
  <si>
    <t>No tasks empty state</t>
  </si>
  <si>
    <t>User with no tasks</t>
  </si>
  <si>
    <t>User with no tasks → Open My Workspace &gt; Exit Tasks → Open page → Observe the result and compare with the expected outcome</t>
  </si>
  <si>
    <t>TC-EXT-168</t>
  </si>
  <si>
    <t>Exit Interview page opens and renders correctly</t>
  </si>
  <si>
    <t>Route /ess/exit-interview</t>
  </si>
  <si>
    <t xml:space="preserve">1. Open My Workspace &gt; Exit Interview from the sidebar
2. Wait for the loading indicator to clear
3. Check the page heading, toolbar buttons and table/cards</t>
  </si>
  <si>
    <t>Logged in as HRMS admin (amit) → Open My Workspace &gt; Exit Interview from the sidebar → Wait for the loading indicator to clear → Check the page heading, toolbar buttons and table/cards</t>
  </si>
  <si>
    <t>Page loads without login redirect, 404 or app error; heading "Exit Interview" shown; my exit interview card (scheduled/form) or empty state render</t>
  </si>
  <si>
    <t>Linear 116 Exit Interview — page check</t>
  </si>
  <si>
    <t>TC-EXT-169</t>
  </si>
  <si>
    <t>Form mode</t>
  </si>
  <si>
    <t>Employee answers form-mode exit interview</t>
  </si>
  <si>
    <t>Interview scheduled in Form mode</t>
  </si>
  <si>
    <t xml:space="preserve">1. Log in as exiting employee
2. Open Exit Interview
3. Answer all questions
4. Submit</t>
  </si>
  <si>
    <t>Interview scheduled in Form mode → Log in as exiting employee → Open Exit Interview → Answer all questions → Submit</t>
  </si>
  <si>
    <t>Interview Completed; HR sees answers</t>
  </si>
  <si>
    <t>FR-24</t>
  </si>
  <si>
    <t>TC-EXT-170</t>
  </si>
  <si>
    <t>Mandatory questions enforced</t>
  </si>
  <si>
    <t>Form with mandatory questions</t>
  </si>
  <si>
    <t xml:space="preserve">1. Open My Workspace &gt; Exit Interview
2. Submit with empty answers
3. Observe the result and compare with the expected outcome</t>
  </si>
  <si>
    <t>Form with mandatory questions → Open My Workspace &gt; Exit Interview → Submit with empty answers → Observe the result and compare with the expected outcome</t>
  </si>
  <si>
    <t>Module automation owned by teammates (base page checks in linear run). RX-02: HR can complete with zero answers</t>
  </si>
  <si>
    <t>TC-EXT-171</t>
  </si>
  <si>
    <t>Scheduling</t>
  </si>
  <si>
    <t>Non-form interview needs date and interviewer within LWD</t>
  </si>
  <si>
    <t>HR scheduling</t>
  </si>
  <si>
    <t xml:space="preserve">1. Open My Workspace &gt; Exit Interview
2. Schedule without date / interviewer / after LWD
3. Observe the result and compare with the expected outcome</t>
  </si>
  <si>
    <t>HR scheduling → Open My Workspace &gt; Exit Interview → Schedule without date / interviewer / after LWD → Observe the result and compare with the expected outcome</t>
  </si>
  <si>
    <t>Refused with clear message</t>
  </si>
  <si>
    <t>TC-EXT-172</t>
  </si>
  <si>
    <t>Exiting employee cannot be own interviewer</t>
  </si>
  <si>
    <t xml:space="preserve">1. Open My Workspace &gt; Exit Interview
2. Choose the exiting employee as interviewer
3. Observe the result and compare with the expected outcome</t>
  </si>
  <si>
    <t>HR scheduling → Open My Workspace &gt; Exit Interview → Choose the exiting employee as interviewer → Observe the result and compare with the expected outcome</t>
  </si>
  <si>
    <t>Module automation owned by teammates (base page checks in linear run). Known issue RX-03</t>
  </si>
  <si>
    <t>TC-EXT-173</t>
  </si>
  <si>
    <t>Completed interview cannot be rescheduled</t>
  </si>
  <si>
    <t>Completed interview</t>
  </si>
  <si>
    <t xml:space="preserve">1. Open My Workspace &gt; Exit Interview
2. Try reschedule
3. Observe the result and compare with the expected outcome</t>
  </si>
  <si>
    <t>Completed interview → Open My Workspace &gt; Exit Interview → Try reschedule → Observe the result and compare with the expected outcome</t>
  </si>
  <si>
    <t>TC-EXT-174</t>
  </si>
  <si>
    <t>Access</t>
  </si>
  <si>
    <t>Employee without interview sees empty state</t>
  </si>
  <si>
    <t xml:space="preserve">1. Log in as Staff
2. Open Exit Interview
3. Observe the result and compare with the expected outcome</t>
  </si>
  <si>
    <t>A Staff-role employee login exists (initial password = employee code) → Log in as Staff → Open Exit Interview → Observe the result and compare with the expected outcome</t>
  </si>
  <si>
    <t>TC-EXT-175</t>
  </si>
  <si>
    <t>Exit (End-to-End)</t>
  </si>
  <si>
    <t>Resignation lifecycle Submit → Approve → Notice → Clearance → Interview → F&amp;F → Letters → Close</t>
  </si>
  <si>
    <t xml:space="preserve">1. Employee submits via ESS
2. Approver approves
3. HR reviews notice
4. Owners clear checklist
5. Interview completed
6. F&amp;F completed
7. Letters issued
8. Close Exit</t>
  </si>
  <si>
    <t>A fresh disposable employee with login (never the admin account) → Employee submits via ESS → Approver approves → HR reviews notice → Owners clear checklist → Interview completed → F&amp;F completed → Letters issued → Close Exit</t>
  </si>
  <si>
    <t>Exit Closed; employment ended; dashboard and reports updated</t>
  </si>
  <si>
    <t>Approving / rejecting exits is never automated (irreversible state change); Closing an exit is never automated (ends employment)</t>
  </si>
  <si>
    <t>TC-EXT-176</t>
  </si>
  <si>
    <t>HR-initiated Resignation reaches On Notice</t>
  </si>
  <si>
    <t xml:space="preserve">1. Create employee in Core HR
2. Assign leave policy
3. Initiate Exit Resignation
4. Check list status</t>
  </si>
  <si>
    <t>A fresh disposable employee with login (never the admin account) → Create employee in Core HR → Assign leave policy → Initiate Exit Resignation → Check list status</t>
  </si>
  <si>
    <t>On Notice per chain</t>
  </si>
  <si>
    <t>TC-EXT-177</t>
  </si>
  <si>
    <t>Login after exit</t>
  </si>
  <si>
    <t>Exited employee cannot log in after closure</t>
  </si>
  <si>
    <t>Closed exit for a login-enabled employee</t>
  </si>
  <si>
    <t xml:space="preserve">1. Log out
2. Log in with that employee credentials
3. Observe the result and compare with the expected outcome</t>
  </si>
  <si>
    <t>Closed exit for a login-enabled employee → Log out → Log in with that employee credentials → Observe the result and compare with the expected outcome</t>
  </si>
  <si>
    <t>Login refused (inactive)</t>
  </si>
  <si>
    <t>Needs a closed exit; closing is out of scope for automation</t>
  </si>
  <si>
    <t>TC-EXT-178</t>
  </si>
  <si>
    <t>Exit LWD stops payroll and leave accrual after LWD</t>
  </si>
  <si>
    <t xml:space="preserve">1. Preview next payroll run
2. Check leave accrual
3. Observe the result and compare with the expected outcome</t>
  </si>
  <si>
    <t>Closed exit → Preview next payroll run → Check leave accrual → Observe the result and compare with the expected outcome</t>
  </si>
  <si>
    <t>Employee excluded; no accrual after LWD</t>
  </si>
  <si>
    <t>TC-EXT-179</t>
  </si>
  <si>
    <t>Absconding exit holds salary</t>
  </si>
  <si>
    <t>Absconding exit initiated for an employee in the current period</t>
  </si>
  <si>
    <t xml:space="preserve">1. Open Payroll &gt; Held Salary Payments
2. Search the absconding employee
3. Check the hold reason and month</t>
  </si>
  <si>
    <t>Absconding exit initiated for an employee in the current period → Open Payroll &gt; Held Salary Payments → Search the absconding employee → Check the hold reason and month</t>
  </si>
  <si>
    <t>Employee held</t>
  </si>
  <si>
    <t>TC-EXT-180</t>
  </si>
  <si>
    <t>Rehire eligibility surfaced in recruitment</t>
  </si>
  <si>
    <t>Closed exit marked Not eligible</t>
  </si>
  <si>
    <t xml:space="preserve">1. Open Recruitment and add the same person as a candidate (same e-mail/mobile)
2. Save the candidate
3. Open the candidate profile</t>
  </si>
  <si>
    <t>Closed exit marked Not eligible → Open Recruitment and add the same person as a candidate (same e-mail/mobile) → Save the candidate → Open the candidate profile</t>
  </si>
  <si>
    <t>Warning about rehire eligibility</t>
  </si>
  <si>
    <t>TC-EXT-181</t>
  </si>
  <si>
    <t>Row scope — out-of-scope exit by GUID is not found</t>
  </si>
  <si>
    <t>Team Lead user; exit outside scope</t>
  </si>
  <si>
    <t xml:space="preserve">1. Log in as Team Lead
2. Open /resignation/{guid} of another branch
3. Observe the result and compare with the expected outcome</t>
  </si>
  <si>
    <t>Team Lead user; exit outside scope → Log in as Team Lead → Open /resignation/{guid} of another branch → Observe the result and compare with the expected outcome</t>
  </si>
  <si>
    <t>Not found; existence not leaked</t>
  </si>
  <si>
    <t>FR-41/42</t>
  </si>
  <si>
    <t>TC-ESS-001</t>
  </si>
  <si>
    <t>Workspace page opens and renders correctly</t>
  </si>
  <si>
    <t xml:space="preserve">1. Sign in as the employee
2. Open My Workspace &gt; Workspace from the sidebar
3. Wait for the loading indicator to clear</t>
  </si>
  <si>
    <t>Logged in as an employee with access role Staff (User Level Team Member), login created via Core HR (initial password = employee code) → Sign in as the employee → Open My Workspace &gt; Workspace from the sidebar → Wait for the loading indicator to clear</t>
  </si>
  <si>
    <t>Page opens without login redirect, 404 or Blazor error; heading 'Workspace / welcome area' shown; quick-access tiles/cards for the employee render</t>
  </si>
  <si>
    <t>Linear 104 Workspace — page check</t>
  </si>
  <si>
    <t>TC-ESS-002</t>
  </si>
  <si>
    <t>Dashboard content</t>
  </si>
  <si>
    <t>Workspace shows the signed-in employee name, designation and photo/initials</t>
  </si>
  <si>
    <t>Employee: run employee (e.g. Priya Nair, SOFTWARE TESTER)</t>
  </si>
  <si>
    <t xml:space="preserve">1. Open My Workspace &gt; Workspace
2. Read the profile header/greeting</t>
  </si>
  <si>
    <t>Logged in as an employee with access role Staff (User Level Team Member), login created via Core HR (initial password = employee code) → Open My Workspace &gt; Workspace → Read the profile header/greeting</t>
  </si>
  <si>
    <t>Greeting/header shows the signed-in employee only — name, designation and department match the Core HR record</t>
  </si>
  <si>
    <t>TC-ESS-003</t>
  </si>
  <si>
    <t>Workspace widgets reflect the employee's own leave balance and pending requests</t>
  </si>
  <si>
    <t>Logged in as an employee with access role Staff (User Level Team Member), login created via Core HR (initial password = employee code); employee has a leave pattern and one Pending leave request</t>
  </si>
  <si>
    <t xml:space="preserve">1. Open Workspace
2. Note leave balance / pending request counters
3. Open My Workspace &gt; Leave and My Workspace &gt; Requests</t>
  </si>
  <si>
    <t>Logged in as an employee with access role Staff (User Level Team Member), login created via Core HR (initial password = employee code); employee has a leave pattern and one Pending leave request → Open Workspace → Note leave balance / pending request counters → Open My Workspace &gt; Leave and My Workspace &gt; Requests</t>
  </si>
  <si>
    <t>Counters on Workspace equal the Available balance on Leave &gt; Balance List and the Pending count on Requests</t>
  </si>
  <si>
    <t>TC-ESS-004</t>
  </si>
  <si>
    <t>Each Workspace quick-link opens the matching ESS page</t>
  </si>
  <si>
    <t xml:space="preserve">1. Open Workspace
2. Click each quick-access card/link in turn
3. Use browser Back after each</t>
  </si>
  <si>
    <t>Logged in as an employee with access role Staff (User Level Team Member), login created via Core HR (initial password = employee code) → Open Workspace → Click each quick-access card/link in turn → Use browser Back after each</t>
  </si>
  <si>
    <t>Every card navigates to its ESS route (e.g. /ess/leave, /ess/payslips, /ess/documents) without error; Back returns to /ess</t>
  </si>
  <si>
    <t>TC-ESS-005</t>
  </si>
  <si>
    <t>Sidebar My Workspace group lists all ESS pages in order</t>
  </si>
  <si>
    <t xml:space="preserve">1. Expand My Workspace in the sidebar
2. Read the items</t>
  </si>
  <si>
    <t>Logged in as an employee with access role Staff (User Level Team Member), login created via Core HR (initial password = employee code) → Expand My Workspace in the sidebar → Read the items</t>
  </si>
  <si>
    <t>Items: Workspace, Profile, Digital ID, Directory, Requests, Approvals, Leave, Handover, Onboarding Tasks, Trainings, Resignation, Exit Tasks, Exit Interview, Attendance, Shift, Locations, Documents, Letters, Pay, Tax, Previous Employer (12B), Probation — labels without a "My" prefix</t>
  </si>
  <si>
    <t>TC-ESS-006</t>
  </si>
  <si>
    <t>Sidebar "Search menu" filters to ESS items</t>
  </si>
  <si>
    <t>Search: Pay; xyz123</t>
  </si>
  <si>
    <t xml:space="preserve">1. Click the sidebar Search menu box
2. Type "Pay"
3. Clear and type "xyz123"</t>
  </si>
  <si>
    <t>Logged in as an employee with access role Staff (User Level Team Member), login created via Core HR (initial password = employee code) → Click the sidebar Search menu box → Type "Pay" → Clear and type "xyz123"</t>
  </si>
  <si>
    <t>"Pay" shows the Pay item and hides unrelated items; "xyz123" shows no items / an empty-state, no error</t>
  </si>
  <si>
    <t>TC-ESS-007</t>
  </si>
  <si>
    <t>Role view</t>
  </si>
  <si>
    <t>Staff sees only self-service menus, not HR admin modules</t>
  </si>
  <si>
    <t xml:space="preserve">1. Sign in as Staff
2. Inspect the full sidebar</t>
  </si>
  <si>
    <t>Logged in as an employee with access role Staff (User Level Team Member), login created via Core HR (initial password = employee code) → Sign in as Staff → Inspect the full sidebar</t>
  </si>
  <si>
    <t>Admin modules (Core HR Employee list, Payroll processing, Leave Types/Patterns, Approval Config, Access Roles) are not listed or open with an access-denied message</t>
  </si>
  <si>
    <t>TC-ESS-008</t>
  </si>
  <si>
    <t>Team Lead Workspace shows team items (pending approvals) in addition to own items</t>
  </si>
  <si>
    <t>Logged in as a Team Lead (access role Team Lead) with at least one direct report (Reports To = this Team Lead); a direct report has a Pending leave request</t>
  </si>
  <si>
    <t xml:space="preserve">1. Sign in as the Team Lead
2. Open Workspace
3. Look for pending approvals / team widgets</t>
  </si>
  <si>
    <t>Logged in as a Team Lead (access role Team Lead) with at least one direct report (Reports To = this Team Lead); a direct report has a Pending leave request → Sign in as the Team Lead → Open Workspace → Look for pending approvals / team widgets</t>
  </si>
  <si>
    <t>Team Lead sees a pending-approval indicator for the direct report's request; a Staff user without reports sees none</t>
  </si>
  <si>
    <t>TC-ESS-009</t>
  </si>
  <si>
    <t>Opening /ess while logged out redirects to login</t>
  </si>
  <si>
    <t>Not logged in (fresh browser profile)</t>
  </si>
  <si>
    <t xml:space="preserve">1. Open https://hrms-test.progbiz.in/ess directly
2. Sign out</t>
  </si>
  <si>
    <t>Not logged in (fresh browser profile) → Open https://hrms-test.progbiz.in/ess directly → Sign out</t>
  </si>
  <si>
    <t>Redirected to the login page; after successful login the user lands on /ess (or dashboard) — no ESS data shown before login</t>
  </si>
  <si>
    <t>TC-ESS-010</t>
  </si>
  <si>
    <t>Responsive</t>
  </si>
  <si>
    <t>Workspace layout at mobile width (375px)</t>
  </si>
  <si>
    <t>Viewport 375x812</t>
  </si>
  <si>
    <t xml:space="preserve">1. Open Workspace
2. Resize the viewport to 375x812
3. Open the sidebar via the hamburger</t>
  </si>
  <si>
    <t>Logged in as an employee with access role Staff (User Level Team Member), login created via Core HR (initial password = employee code) → Open Workspace → Resize the viewport to 375x812 → Open the sidebar via the hamburger</t>
  </si>
  <si>
    <t>Cards stack vertically, no horizontal scroll, sidebar collapses to a toggle and opens correctly</t>
  </si>
  <si>
    <t>TC-ESS-011</t>
  </si>
  <si>
    <t>Profile page opens and renders correctly</t>
  </si>
  <si>
    <t xml:space="preserve">1. Sign in as the employee
2. Open My Workspace &gt; Profile from the sidebar
3. Wait for the loading indicator to clear</t>
  </si>
  <si>
    <t>Logged in as an employee with access role Staff (User Level Team Member), login created via Core HR (initial password = employee code) → Sign in as the employee → Open My Workspace &gt; Profile from the sidebar → Wait for the loading indicator to clear</t>
  </si>
  <si>
    <t>Page opens without login redirect, 404 or Blazor error; heading 'My Profile' shown; buttons 'Request a Change', 'Track My Requests' and 'Track' visible</t>
  </si>
  <si>
    <t>Linear 105 Profile — page check</t>
  </si>
  <si>
    <t>TC-ESS-012</t>
  </si>
  <si>
    <t>View profile</t>
  </si>
  <si>
    <t>Profile shows the employee's own personal, contact and job details read-only</t>
  </si>
  <si>
    <t xml:space="preserve">1. Open My Workspace &gt; Profile
2. Review each section/tab</t>
  </si>
  <si>
    <t>Logged in as an employee with access role Staff (User Level Team Member), login created via Core HR (initial password = employee code) → Open My Workspace &gt; Profile → Review each section/tab</t>
  </si>
  <si>
    <t>Name, employee code, designation, department, branch, joining date, reports-to, e-mail and phone match the Core HR record; fields are not directly editable</t>
  </si>
  <si>
    <t>TC-ESS-013</t>
  </si>
  <si>
    <t>Profile values match Core HR after HR edits the employee</t>
  </si>
  <si>
    <t>Logged in as HRMS admin amit (Amit Kumar Shaji, role HRMS / Administrator) in one browser, employee in another</t>
  </si>
  <si>
    <t>Alternate phone: 9876500011</t>
  </si>
  <si>
    <t xml:space="preserve">1. As admin edit the employee's alternate phone in Core HR &gt; Employee and save
2. As the employee reload My Workspace &gt; Profile</t>
  </si>
  <si>
    <t>Logged in as HRMS admin amit (Amit Kumar Shaji, role HRMS / Administrator) in one browser, employee in another → As admin edit the employee's alternate phone in Core HR &gt; Employee and save → As the employee reload My Workspace &gt; Profile</t>
  </si>
  <si>
    <t>The updated alternate phone appears on the ESS profile after reload</t>
  </si>
  <si>
    <t>TC-ESS-014</t>
  </si>
  <si>
    <t>Profile change request</t>
  </si>
  <si>
    <t>Employee raises a profile change request for a contact field</t>
  </si>
  <si>
    <t>New mobile: 9876543210; Reason: Changed my mobile number</t>
  </si>
  <si>
    <t xml:space="preserve">1. Open Profile
2. Click 'Request a Change'
3. Pick the field (e.g. Personal Mobile / Address)
4. Enter the new value and reason
5. Submit</t>
  </si>
  <si>
    <t>Logged in as an employee with access role Staff (User Level Team Member), login created via Core HR (initial password = employee code) → Open Profile → Click 'Request a Change' → Pick the field (e.g. Personal Mobile / Address) → Enter the new value and reason → Submit</t>
  </si>
  <si>
    <t>Success message; request created with status Pending; profile still shows the OLD value until HR approves</t>
  </si>
  <si>
    <t>TC-ESS-015</t>
  </si>
  <si>
    <t>Pending profile change appears under Track My Requests and Requests &gt; Profile Change</t>
  </si>
  <si>
    <t>Logged in as an employee with access role Staff (User Level Team Member), login created via Core HR (initial password = employee code); a profile change request was just submitted</t>
  </si>
  <si>
    <t xml:space="preserve">1. Open Profile
2. Click 'Track My Requests'
3. Open My Workspace &gt; Requests
4. Click the 'Profile Change' type chip</t>
  </si>
  <si>
    <t>Logged in as an employee with access role Staff (User Level Team Member), login created via Core HR (initial password = employee code); a profile change request was just submitted → Open Profile → Click 'Track My Requests' → Open My Workspace &gt; Requests → Click the 'Profile Change' type chip</t>
  </si>
  <si>
    <t>The request is listed in both places with status Pending, requested field, old and new value and submission date</t>
  </si>
  <si>
    <t>TC-ESS-016</t>
  </si>
  <si>
    <t>HR approves the profile change — value is applied to the employee master</t>
  </si>
  <si>
    <t>Logged in as HRMS admin amit (Amit Kumar Shaji, role HRMS / Administrator); employee has a Pending profile change request</t>
  </si>
  <si>
    <t xml:space="preserve">1. As admin open the approval inbox (/approval or My Workspace &gt; Approvals)
2. Open the profile change request Details
3. Approve
4. As the employee reload Profile</t>
  </si>
  <si>
    <t>Logged in as HRMS admin amit (Amit Kumar Shaji, role HRMS / Administrator); employee has a Pending profile change request → As admin open the approval inbox (/approval or My Workspace &gt; Approvals) → Open the profile change request Details → Approve → As the employee reload Profile</t>
  </si>
  <si>
    <t>Request status Approved; the new value shows on ESS Profile and in Core HR; Core HR History gets a "self-service profile change" event</t>
  </si>
  <si>
    <t>Core HR SRS — History events (self-service profile change); Approval Engine</t>
  </si>
  <si>
    <t>TC-ESS-017</t>
  </si>
  <si>
    <t>HR rejects the profile change with a remark — value is not applied</t>
  </si>
  <si>
    <t>Remark: Please upload proof of address</t>
  </si>
  <si>
    <t xml:space="preserve">1. As admin open the request Details
2. Click Reject
3. Enter remark
4. Confirm
5. As the employee open Track My Requests</t>
  </si>
  <si>
    <t>Logged in as HRMS admin amit (Amit Kumar Shaji, role HRMS / Administrator); employee has a Pending profile change request → As admin open the request Details → Click Reject → Enter remark → Confirm → As the employee open Track My Requests</t>
  </si>
  <si>
    <t>Status Rejected with the remark visible to the employee; profile keeps the old value</t>
  </si>
  <si>
    <t>Approval Engine — rejection needs a remark (≤500)</t>
  </si>
  <si>
    <t>TC-ESS-018</t>
  </si>
  <si>
    <t>Reject without a remark is not allowed</t>
  </si>
  <si>
    <t>Logged in as HRMS admin amit (Amit Kumar Shaji, role HRMS / Administrator); a Pending profile change request exists</t>
  </si>
  <si>
    <t xml:space="preserve">1. Open the request Details
2. Click Reject with the remark empty</t>
  </si>
  <si>
    <t>Logged in as HRMS admin amit (Amit Kumar Shaji, role HRMS / Administrator); a Pending profile change request exists → Open the request Details → Click Reject with the remark empty</t>
  </si>
  <si>
    <t>Validation message that a remark is required; request stays Pending</t>
  </si>
  <si>
    <t>TC-ESS-019</t>
  </si>
  <si>
    <t>Submit change request with mandatory fields empty</t>
  </si>
  <si>
    <t xml:space="preserve">1. Open Profile
2. Click 'Request a Change'
3. Leave field/new value empty
4. Submit</t>
  </si>
  <si>
    <t>Logged in as an employee with access role Staff (User Level Team Member), login created via Core HR (initial password = employee code) → Open Profile → Click 'Request a Change' → Leave field/new value empty → Submit</t>
  </si>
  <si>
    <t>Validation message on the missing field(s); no request created</t>
  </si>
  <si>
    <t>TC-ESS-020</t>
  </si>
  <si>
    <t>New value identical to the current value is rejected</t>
  </si>
  <si>
    <t xml:space="preserve">1. Click 'Request a Change'
2. Choose Personal E-mail
3. Enter the same e-mail already on the profile
4. Submit</t>
  </si>
  <si>
    <t>Logged in as an employee with access role Staff (User Level Team Member), login created via Core HR (initial password = employee code) → Click 'Request a Change' → Choose Personal E-mail → Enter the same e-mail already on the profile → Submit</t>
  </si>
  <si>
    <t>Message that the value is unchanged (or request not created); no duplicate Pending request</t>
  </si>
  <si>
    <t>TC-ESS-021</t>
  </si>
  <si>
    <t>Invalid e-mail / phone format in a change request</t>
  </si>
  <si>
    <t>E-mail: priya@@example; Phone: 12ab</t>
  </si>
  <si>
    <t xml:space="preserve">1. Click 'Request a Change'
2. Choose e-mail field and enter 'priya@@example'
3. Submit
4. Repeat with phone '12ab'</t>
  </si>
  <si>
    <t>Logged in as an employee with access role Staff (User Level Team Member), login created via Core HR (initial password = employee code) → Click 'Request a Change' → Choose e-mail field and enter 'priya@@example' → Submit → Repeat with phone '12ab'</t>
  </si>
  <si>
    <t>Format validation on both; nothing submitted</t>
  </si>
  <si>
    <t>TC-ESS-022</t>
  </si>
  <si>
    <t>Change request to an e-mail already used by another employee</t>
  </si>
  <si>
    <t>E-mail of another active employee</t>
  </si>
  <si>
    <t xml:space="preserve">1. Click 'Request a Change'
2. Enter an e-mail belonging to another employee
3. Submit
4. (If submitted) HR approves</t>
  </si>
  <si>
    <t>Logged in as an employee with access role Staff (User Level Team Member), login created via Core HR (initial password = employee code) → Click 'Request a Change' → Enter an e-mail belonging to another employee → Submit → (If submitted) HR approves</t>
  </si>
  <si>
    <t>Duplicate rejected at submit or at approval with a uniqueness message; master e-mail stays unique per tenant</t>
  </si>
  <si>
    <t>Core HR SRS — phone/e-mail unique per tenant</t>
  </si>
  <si>
    <t>TC-ESS-023</t>
  </si>
  <si>
    <t>Second change request for the same field while one is Pending</t>
  </si>
  <si>
    <t>Logged in as an employee with access role Staff (User Level Team Member), login created via Core HR (initial password = employee code); a Pending change for Personal Mobile exists</t>
  </si>
  <si>
    <t xml:space="preserve">1. Click 'Request a Change'
2. Choose Personal Mobile again
3. Submit</t>
  </si>
  <si>
    <t>Logged in as an employee with access role Staff (User Level Team Member), login created via Core HR (initial password = employee code); a Pending change for Personal Mobile exists → Click 'Request a Change' → Choose Personal Mobile again → Submit</t>
  </si>
  <si>
    <t>Blocked with a message that a request is already pending, or the new request clearly supersedes — never two conflicting Pending values applied</t>
  </si>
  <si>
    <t>TC-ESS-024</t>
  </si>
  <si>
    <t>Track shows the approval trail of a profile change</t>
  </si>
  <si>
    <t>Logged in as an employee with access role Staff (User Level Team Member), login created via Core HR (initial password = employee code); a decided profile change request exists</t>
  </si>
  <si>
    <t xml:space="preserve">1. Open Profile
2. Click 'Track' on the request</t>
  </si>
  <si>
    <t>Logged in as an employee with access role Staff (User Level Team Member), login created via Core HR (initial password = employee code); a decided profile change request exists → Open Profile → Click 'Track' on the request</t>
  </si>
  <si>
    <t>Track panel shows each approval level, approver, decision, date/time and remark</t>
  </si>
  <si>
    <t>TC-ESS-025</t>
  </si>
  <si>
    <t>Restricted fields (code, designation, salary, department) cannot be changed via ESS</t>
  </si>
  <si>
    <t xml:space="preserve">1. Click 'Request a Change'
2. Inspect the list of changeable fields</t>
  </si>
  <si>
    <t>Logged in as an employee with access role Staff (User Level Team Member), login created via Core HR (initial password = employee code) → Click 'Request a Change' → Inspect the list of changeable fields</t>
  </si>
  <si>
    <t>Employee Code, Designation, Department, Branch, Reports To, salary and status are not offered for self-change</t>
  </si>
  <si>
    <t>TC-ESS-026</t>
  </si>
  <si>
    <t>Special characters / script in change-request reason are stored as text</t>
  </si>
  <si>
    <t>Reason: &lt;script&gt;alert(1)&lt;/script&gt;</t>
  </si>
  <si>
    <t xml:space="preserve">1. Click 'Request a Change'
2. Enter reason with &lt;script&gt;alert(1)&lt;/script&gt;
3. Submit
4. Open Track My Requests and the HR approval view</t>
  </si>
  <si>
    <t>Logged in as an employee with access role Staff (User Level Team Member), login created via Core HR (initial password = employee code) → Click 'Request a Change' → Enter reason with &lt;script&gt;alert(1)&lt;/script&gt; → Submit → Open Track My Requests and the HR approval view</t>
  </si>
  <si>
    <t>Text is shown escaped in both views; no script executes</t>
  </si>
  <si>
    <t>TC-ESS-027</t>
  </si>
  <si>
    <t>Data isolation</t>
  </si>
  <si>
    <t>Employee cannot open another employee's profile by URL</t>
  </si>
  <si>
    <t>GUID of another employee</t>
  </si>
  <si>
    <t xml:space="preserve">1. Note another employee's GUID (from admin)
2. As Staff open /employee-view/&lt;other GUID&gt; and /employee/&lt;other GUID&gt;</t>
  </si>
  <si>
    <t>Logged in as an employee with access role Staff (User Level Team Member), login created via Core HR (initial password = employee code) → Note another employee's GUID (from admin) → As Staff open /employee-view/&lt;other GUID&gt; and /employee/&lt;other GUID&gt;</t>
  </si>
  <si>
    <t>Access denied / redirect; no data of the other employee displayed</t>
  </si>
  <si>
    <t>Consolidated SRS §0 — permission-gated screens; GUID routes</t>
  </si>
  <si>
    <t>TC-ESS-028</t>
  </si>
  <si>
    <t>Team Lead profile page shows only the Team Lead's own profile</t>
  </si>
  <si>
    <t>1. Open My Workspace &gt; Profile as the Team Lead</t>
  </si>
  <si>
    <t>Logged in as a Team Lead (access role Team Lead) with at least one direct report (Reports To = this Team Lead) → Open My Workspace &gt; Profile as the Team Lead</t>
  </si>
  <si>
    <t>Own data only; reports' profiles are not editable from ESS Profile</t>
  </si>
  <si>
    <t>TC-ESS-029</t>
  </si>
  <si>
    <t>Digital ID page opens and renders correctly</t>
  </si>
  <si>
    <t xml:space="preserve">1. Sign in as the employee
2. Open My Workspace &gt; Digital ID from the sidebar
3. Wait for the loading indicator to clear</t>
  </si>
  <si>
    <t>Logged in as an employee with access role Staff (User Level Team Member), login created via Core HR (initial password = employee code) → Sign in as the employee → Open My Workspace &gt; Digital ID from the sidebar → Wait for the loading indicator to clear</t>
  </si>
  <si>
    <t>Page opens without login redirect, 404 or Blazor error; heading 'Digital ID' shown; ID card preview rendered</t>
  </si>
  <si>
    <t>Linear 106 Digital ID — page check</t>
  </si>
  <si>
    <t>TC-ESS-030</t>
  </si>
  <si>
    <t>ID card content</t>
  </si>
  <si>
    <t>Digital ID shows the employee photo, name, code, designation and company</t>
  </si>
  <si>
    <t>1. Open My Workspace &gt; Digital ID</t>
  </si>
  <si>
    <t>Logged in as an employee with access role Staff (User Level Team Member), login created via Core HR (initial password = employee code) → Open My Workspace &gt; Digital ID</t>
  </si>
  <si>
    <t>Card shows the signed-in employee's photo (or initials), full name, employee code, designation, department/branch and company branding</t>
  </si>
  <si>
    <t>TC-ESS-031</t>
  </si>
  <si>
    <t>Digital ID with no photo uploaded shows a placeholder</t>
  </si>
  <si>
    <t>Logged in as an employee with access role Staff (User Level Team Member), login created via Core HR (initial password = employee code); employee has no profile photo</t>
  </si>
  <si>
    <t>1. Open Digital ID</t>
  </si>
  <si>
    <t>Logged in as an employee with access role Staff (User Level Team Member), login created via Core HR (initial password = employee code); employee has no profile photo → Open Digital ID</t>
  </si>
  <si>
    <t>Placeholder avatar/initials, no broken image icon</t>
  </si>
  <si>
    <t>TC-ESS-032</t>
  </si>
  <si>
    <t>Digital ID QR/barcode (if shown) encodes only the employee identifier</t>
  </si>
  <si>
    <t xml:space="preserve">1. Open Digital ID
2. Scan the QR code with a phone</t>
  </si>
  <si>
    <t>Logged in as an employee with access role Staff (User Level Team Member), login created via Core HR (initial password = employee code) → Open Digital ID → Scan the QR code with a phone</t>
  </si>
  <si>
    <t>QR resolves to the employee code / verification link only — no personal data such as phone, address or salary</t>
  </si>
  <si>
    <t>TC-ESS-033</t>
  </si>
  <si>
    <t>ID card actions</t>
  </si>
  <si>
    <t>Download / print the Digital ID</t>
  </si>
  <si>
    <t xml:space="preserve">1. Open Digital ID
2. Use the download/print control or browser Print</t>
  </si>
  <si>
    <t>Logged in as an employee with access role Staff (User Level Team Member), login created via Core HR (initial password = employee code) → Open Digital ID → Use the download/print control or browser Print</t>
  </si>
  <si>
    <t>Card prints/downloads legibly on one page with correct details</t>
  </si>
  <si>
    <t>TC-ESS-034</t>
  </si>
  <si>
    <t>Digital ID updates after designation change in Core HR</t>
  </si>
  <si>
    <t>Logged in as HRMS admin amit (Amit Kumar Shaji, role HRMS / Administrator); employee designation changed via Core HR</t>
  </si>
  <si>
    <t xml:space="preserve">1. Change the employee designation as admin
2. As the employee reload Digital ID</t>
  </si>
  <si>
    <t>Logged in as HRMS admin amit (Amit Kumar Shaji, role HRMS / Administrator); employee designation changed via Core HR → Change the employee designation as admin → As the employee reload Digital ID</t>
  </si>
  <si>
    <t>New designation shown on the card</t>
  </si>
  <si>
    <t>TC-ESS-035</t>
  </si>
  <si>
    <t>Directory page opens and renders correctly</t>
  </si>
  <si>
    <t xml:space="preserve">1. Sign in as the employee
2. Open My Workspace &gt; Directory from the sidebar
3. Wait for the loading indicator to clear</t>
  </si>
  <si>
    <t>Logged in as an employee with access role Staff (User Level Team Member), login created via Core HR (initial password = employee code) → Sign in as the employee → Open My Workspace &gt; Directory from the sidebar → Wait for the loading indicator to clear</t>
  </si>
  <si>
    <t>Page opens without login redirect, 404 or Blazor error; heading 'Directory' shown; employee cards/table render</t>
  </si>
  <si>
    <t>Linear 107 Directory — page check</t>
  </si>
  <si>
    <t>TC-ESS-036</t>
  </si>
  <si>
    <t>Directory listing</t>
  </si>
  <si>
    <t>Directory lists active colleagues with basic public details only</t>
  </si>
  <si>
    <t>1. Open My Workspace &gt; Directory</t>
  </si>
  <si>
    <t>Logged in as an employee with access role Staff (User Level Team Member), login created via Core HR (initial password = employee code) → Open My Workspace &gt; Directory</t>
  </si>
  <si>
    <t>Each entry shows name, designation, department, work e-mail/phone (as configured); no salary, personal address, DOB, bank or ID numbers</t>
  </si>
  <si>
    <t>TC-ESS-037</t>
  </si>
  <si>
    <t>Directory search</t>
  </si>
  <si>
    <t>Search directory by name</t>
  </si>
  <si>
    <t>Search: Amit</t>
  </si>
  <si>
    <t xml:space="preserve">1. Open Directory
2. Type part of a colleague's name in search</t>
  </si>
  <si>
    <t>Logged in as an employee with access role Staff (User Level Team Member), login created via Core HR (initial password = employee code) → Open Directory → Type part of a colleague's name in search</t>
  </si>
  <si>
    <t>Only matching colleagues listed (e.g. Amit Kumar Shaji)</t>
  </si>
  <si>
    <t>TC-ESS-038</t>
  </si>
  <si>
    <t>Filter directory by department / branch</t>
  </si>
  <si>
    <t>Department: SOFTWARE DEVELOPMENT; Branch: Main Branch</t>
  </si>
  <si>
    <t xml:space="preserve">1. Open Directory
2. Pick a department filter
3. Pick a branch filter</t>
  </si>
  <si>
    <t>Logged in as an employee with access role Staff (User Level Team Member), login created via Core HR (initial password = employee code) → Open Directory → Pick a department filter → Pick a branch filter</t>
  </si>
  <si>
    <t>Only employees of that department/branch shown; clearing filters restores the full list</t>
  </si>
  <si>
    <t>TC-ESS-039</t>
  </si>
  <si>
    <t>Search with no matches shows empty state</t>
  </si>
  <si>
    <t>Search: Zzqx Nobody</t>
  </si>
  <si>
    <t>1. Search for a non-existent name</t>
  </si>
  <si>
    <t>Logged in as an employee with access role Staff (User Level Team Member), login created via Core HR (initial password = employee code) → Search for a non-existent name</t>
  </si>
  <si>
    <t>"No employees found"-type empty state; no error</t>
  </si>
  <si>
    <t>TC-ESS-040</t>
  </si>
  <si>
    <t>Archived / exited employees are not listed</t>
  </si>
  <si>
    <t>Logged in as an employee with access role Staff (User Level Team Member), login created via Core HR (initial password = employee code); an employee was archived/closed exit</t>
  </si>
  <si>
    <t>1. Search for the archived employee in Directory</t>
  </si>
  <si>
    <t>Logged in as an employee with access role Staff (User Level Team Member), login created via Core HR (initial password = employee code); an employee was archived/closed exit → Search for the archived employee in Directory</t>
  </si>
  <si>
    <t>Archived/relieved employee does not appear</t>
  </si>
  <si>
    <t>TC-ESS-041</t>
  </si>
  <si>
    <t>Special characters in directory search</t>
  </si>
  <si>
    <t>' OR 1=1 --; &lt;img src=x onerror=alert(1)&gt;</t>
  </si>
  <si>
    <t xml:space="preserve">1. Type ' OR 1=1 -- in search
2. Type &lt;img src=x onerror=alert(1)&gt;</t>
  </si>
  <si>
    <t>Logged in as an employee with access role Staff (User Level Team Member), login created via Core HR (initial password = employee code) → Type ' OR 1=1 -- in search → Type &lt;img src=x onerror=alert(1)&gt;</t>
  </si>
  <si>
    <t>Treated as literal text; no SQL error, no script execution, no full-list leak beyond normal</t>
  </si>
  <si>
    <t>TC-ESS-042</t>
  </si>
  <si>
    <t>Directory pagination / lazy loading with many employees</t>
  </si>
  <si>
    <t>Logged in as an employee with access role Staff (User Level Team Member), login created via Core HR (initial password = employee code); tenant has 100+ employees</t>
  </si>
  <si>
    <t xml:space="preserve">1. Open Directory
2. Page through / scroll to the end</t>
  </si>
  <si>
    <t>Logged in as an employee with access role Staff (User Level Team Member), login created via Core HR (initial password = employee code); tenant has 100+ employees → Open Directory → Page through / scroll to the end</t>
  </si>
  <si>
    <t>Pages load within ~3 s; counts consistent; no duplicates across pages</t>
  </si>
  <si>
    <t>TC-ESS-043</t>
  </si>
  <si>
    <t>Requests page opens and renders correctly</t>
  </si>
  <si>
    <t xml:space="preserve">1. Sign in as the employee
2. Open My Workspace &gt; Requests from the sidebar
3. Wait for the loading indicator to clear</t>
  </si>
  <si>
    <t>Logged in as an employee with access role Staff (User Level Team Member), login created via Core HR (initial password = employee code) → Sign in as the employee → Open My Workspace &gt; Requests from the sidebar → Wait for the loading indicator to clear</t>
  </si>
  <si>
    <t>Page opens without login redirect, 404 or Blazor error; heading 'My Requests' shown; 'New Request' button, type chips with counts and paginated list render</t>
  </si>
  <si>
    <t>Linear 108 Requests — page check</t>
  </si>
  <si>
    <t>TC-ESS-044</t>
  </si>
  <si>
    <t>Request list</t>
  </si>
  <si>
    <t>Type chips show counts per request type and total</t>
  </si>
  <si>
    <t>Logged in as an employee with access role Staff (User Level Team Member), login created via Core HR (initial password = employee code); employee has requests of several types</t>
  </si>
  <si>
    <t xml:space="preserve">1. Open My Workspace &gt; Requests
2. Read the chips</t>
  </si>
  <si>
    <t>Logged in as an employee with access role Staff (User Level Team Member), login created via Core HR (initial password = employee code); employee has requests of several types → Open My Workspace &gt; Requests → Read the chips</t>
  </si>
  <si>
    <t>Chips 'All types N', 'Attendance Correction', 'Late In / Early Out', 'Leave', 'Helpdesk Ticket', 'Comp-off', 'Letter Request', 'Profile Change', 'Work Location', 'Overtime Claim' with counts; sum of type counts = All types count</t>
  </si>
  <si>
    <t>TC-ESS-045</t>
  </si>
  <si>
    <t>Clicking a type chip filters the list to that type</t>
  </si>
  <si>
    <t xml:space="preserve">1. Click 'Leave' chip
2. Click 'Profile Change' chip
3. Click 'All types'</t>
  </si>
  <si>
    <t>Logged in as an employee with access role Staff (User Level Team Member), login created via Core HR (initial password = employee code) → Click 'Leave' chip → Click 'Profile Change' chip → Click 'All types'</t>
  </si>
  <si>
    <t>List shows only rows of the selected type; row count equals the chip count; All types restores all</t>
  </si>
  <si>
    <t>TC-ESS-046</t>
  </si>
  <si>
    <t>Requests list shows only the signed-in employee's requests</t>
  </si>
  <si>
    <t>Logged in as an employee with access role Staff (User Level Team Member), login created via Core HR (initial password = employee code); another employee has requests</t>
  </si>
  <si>
    <t xml:space="preserve">1. Open Requests as Staff
2. Compare with the other employee's requests (seen as admin)</t>
  </si>
  <si>
    <t>Logged in as an employee with access role Staff (User Level Team Member), login created via Core HR (initial password = employee code); another employee has requests → Open Requests as Staff → Compare with the other employee's requests (seen as admin)</t>
  </si>
  <si>
    <t>No request raised by another employee appears; counts reflect own requests only</t>
  </si>
  <si>
    <t>Leave SRS 4.9 — employee sees only own data</t>
  </si>
  <si>
    <t>TC-ESS-047</t>
  </si>
  <si>
    <t>Page size selector 5/10/25/50 changes rows per page</t>
  </si>
  <si>
    <t>Logged in as an employee with access role Staff (User Level Team Member), login created via Core HR (initial password = employee code); more than 10 requests</t>
  </si>
  <si>
    <t>page_size options: 5, 10, 25, 50</t>
  </si>
  <si>
    <t xml:space="preserve">1. Change page size to 5
2. to 10
3. to 25
4. to 50</t>
  </si>
  <si>
    <t>Logged in as an employee with access role Staff (User Level Team Member), login created via Core HR (initial password = employee code); more than 10 requests → Change page size to 5 → to 10 → to 25 → to 50</t>
  </si>
  <si>
    <t>Rows per page match the selection; pager (1..n, next, last) recalculates</t>
  </si>
  <si>
    <t>TC-ESS-048</t>
  </si>
  <si>
    <t>Pager next / last / numbered pages</t>
  </si>
  <si>
    <t xml:space="preserve">1. Click 'next'
2. Click 'last'
3. Click page '1'</t>
  </si>
  <si>
    <t>Logged in as an employee with access role Staff (User Level Team Member), login created via Core HR (initial password = employee code); more than 10 requests → Click 'next' → Click 'last' → Click page '1'</t>
  </si>
  <si>
    <t>Correct page shown each time; no duplicate or missing rows between pages</t>
  </si>
  <si>
    <t>TC-ESS-049</t>
  </si>
  <si>
    <t>New request</t>
  </si>
  <si>
    <t>'New Request' offers all self-service request types</t>
  </si>
  <si>
    <t xml:space="preserve">1. Click 'New Request'
2. Review the type options</t>
  </si>
  <si>
    <t>Logged in as an employee with access role Staff (User Level Team Member), login created via Core HR (initial password = employee code) → Click 'New Request' → Review the type options</t>
  </si>
  <si>
    <t>Options include Leave, Attendance Correction, Late In / Early Out, Comp-off, Letter Request, Profile Change, Work Location, Overtime Claim, Helpdesk Ticket — each opens its own form</t>
  </si>
  <si>
    <t>TC-ESS-050</t>
  </si>
  <si>
    <t>Raise a Letter Request from New Request</t>
  </si>
  <si>
    <t>Letter type: Address Proof</t>
  </si>
  <si>
    <t xml:space="preserve">1. Click 'New Request'
2. Choose Letter Request
3. Pick Experience / Address Proof / NOC / Service Certificate
4. Submit</t>
  </si>
  <si>
    <t>Logged in as an employee with access role Staff (User Level Team Member), login created via Core HR (initial password = employee code) → Click 'New Request' → Choose Letter Request → Pick Experience / Address Proof / NOC / Service Certificate → Submit</t>
  </si>
  <si>
    <t>Request created and listed under Letter Request; per SRS self-request of these types needs no approval and the letter appears in My Workspace &gt; Letters</t>
  </si>
  <si>
    <t>Consolidated SRS §4 — ESS self-request limited to Experience/Address Proof/NOC/Service Certificate, no approval</t>
  </si>
  <si>
    <t>TC-ESS-051</t>
  </si>
  <si>
    <t>Raise an Attendance Correction request</t>
  </si>
  <si>
    <t>Date: last working day; In 09:30; Out 18:30; Reason: Forgot to punch out</t>
  </si>
  <si>
    <t xml:space="preserve">1. Click 'New Request'
2. Choose Attendance Correction
3. Pick a past date
4. Enter in/out time and reason
5. Submit</t>
  </si>
  <si>
    <t>Logged in as an employee with access role Staff (User Level Team Member), login created via Core HR (initial password = employee code) → Click 'New Request' → Choose Attendance Correction → Pick a past date → Enter in/out time and reason → Submit</t>
  </si>
  <si>
    <t>Request Pending under Attendance Correction; routed to the approver</t>
  </si>
  <si>
    <t>TC-ESS-052</t>
  </si>
  <si>
    <t>Attendance correction for a future date is refused</t>
  </si>
  <si>
    <t xml:space="preserve">1. New Request &gt; Attendance Correction
2. Pick tomorrow
3. Submit</t>
  </si>
  <si>
    <t>Logged in as an employee with access role Staff (User Level Team Member), login created via Core HR (initial password = employee code) → New Request &gt; Attendance Correction → Pick tomorrow → Submit</t>
  </si>
  <si>
    <t>Validation: correction allowed only for past/today dates</t>
  </si>
  <si>
    <t>TC-ESS-053</t>
  </si>
  <si>
    <t>Attendance correction with out-time earlier than in-time</t>
  </si>
  <si>
    <t>In 18:00; Out 09:00</t>
  </si>
  <si>
    <t xml:space="preserve">1. New Request &gt; Attendance Correction
2. In 18:00, Out 09:00
3. Submit</t>
  </si>
  <si>
    <t>Logged in as an employee with access role Staff (User Level Team Member), login created via Core HR (initial password = employee code) → New Request &gt; Attendance Correction → In 18:00, Out 09:00 → Submit</t>
  </si>
  <si>
    <t>Validation error; nothing saved</t>
  </si>
  <si>
    <t>TC-ESS-054</t>
  </si>
  <si>
    <t>Raise an Overtime Claim and a Work Location request</t>
  </si>
  <si>
    <t>OT: 2 hours; Location: Work from home</t>
  </si>
  <si>
    <t xml:space="preserve">1. New Request &gt; Overtime Claim
2. fill date/hours/reason
3. Submit
4. New Request &gt; Work Location
5. choose location and dates
6. Submit</t>
  </si>
  <si>
    <t>Logged in as an employee with access role Staff (User Level Team Member), login created via Core HR (initial password = employee code) → New Request &gt; Overtime Claim → fill date/hours/reason → Submit → New Request &gt; Work Location → choose location and dates → Submit</t>
  </si>
  <si>
    <t>Both requests listed as Pending under their chips</t>
  </si>
  <si>
    <t>TC-ESS-055</t>
  </si>
  <si>
    <t>Request detail</t>
  </si>
  <si>
    <t>'Open' a request shows details and approval status</t>
  </si>
  <si>
    <t>1. Click 'Open' on any request row</t>
  </si>
  <si>
    <t>Logged in as an employee with access role Staff (User Level Team Member), login created via Core HR (initial password = employee code) → Click 'Open' on any request row</t>
  </si>
  <si>
    <t>Detail shows type, dates, reason, current status, approver level and remarks</t>
  </si>
  <si>
    <t>TC-ESS-056</t>
  </si>
  <si>
    <t>Revert/withdraw allowed only while no approver has acted</t>
  </si>
  <si>
    <t>Logged in as an employee with access role Staff (User Level Team Member), login created via Core HR (initial password = employee code); one Pending (unactioned) and one partially-approved leave request</t>
  </si>
  <si>
    <t xml:space="preserve">1. Open the unactioned request — check Revert
2. Open the request with an approver decision — check Revert</t>
  </si>
  <si>
    <t>Logged in as an employee with access role Staff (User Level Team Member), login created via Core HR (initial password = employee code); one Pending (unactioned) and one partially-approved leave request → Open the unactioned request — check Revert → Open the request with an approver decision — check Revert</t>
  </si>
  <si>
    <t>Revert offered only on the unactioned request; not offered once any approver acted</t>
  </si>
  <si>
    <t>Leave SRS 4.9 — Revert offered only while no approver has acted</t>
  </si>
  <si>
    <t>TC-ESS-057</t>
  </si>
  <si>
    <t>Empty state for a new employee with no requests</t>
  </si>
  <si>
    <t>Logged in as a brand-new employee (no requests)</t>
  </si>
  <si>
    <t>1. Open Requests</t>
  </si>
  <si>
    <t>Logged in as a brand-new employee (no requests) → Open Requests</t>
  </si>
  <si>
    <t>All types 0 and a friendly empty-state message; no error</t>
  </si>
  <si>
    <t>TC-ESS-058</t>
  </si>
  <si>
    <t>Approvals page opens and renders correctly</t>
  </si>
  <si>
    <t xml:space="preserve">1. Sign in as the employee
2. Open My Workspace &gt; Approvals from the sidebar
3. Wait for the loading indicator to clear</t>
  </si>
  <si>
    <t>Logged in as an employee with access role Staff (User Level Team Member), login created via Core HR (initial password = employee code) → Sign in as the employee → Open My Workspace &gt; Approvals from the sidebar → Wait for the loading indicator to clear</t>
  </si>
  <si>
    <t>Page opens without login redirect, 404 or Blazor error; heading 'Approvals' shown; 'Refresh' and 'Details' controls render</t>
  </si>
  <si>
    <t>Linear 109 Approvals — page check</t>
  </si>
  <si>
    <t>TC-ESS-059</t>
  </si>
  <si>
    <t>Approval inbox</t>
  </si>
  <si>
    <t>Team Lead sees a direct report's pending request</t>
  </si>
  <si>
    <t>Logged in as a Team Lead (access role Team Lead) with at least one direct report (Reports To = this Team Lead); direct report submitted a leave request (Pending at level 1 = Report Person)</t>
  </si>
  <si>
    <t xml:space="preserve">1. Sign in as Team Lead
2. Open My Workspace &gt; Approvals
3. Click Refresh</t>
  </si>
  <si>
    <t>Logged in as a Team Lead (access role Team Lead) with at least one direct report (Reports To = this Team Lead); direct report submitted a leave request (Pending at level 1 = Report Person) → Sign in as Team Lead → Open My Workspace &gt; Approvals → Click Refresh</t>
  </si>
  <si>
    <t>Request listed with employee, type, dates, submitted on and status Pending</t>
  </si>
  <si>
    <t>TC-ESS-060</t>
  </si>
  <si>
    <t>Team Lead approves a request from ESS Approvals</t>
  </si>
  <si>
    <t>Logged in as a Team Lead (access role Team Lead) with at least one direct report (Reports To = this Team Lead); a Pending request awaits this Team Lead</t>
  </si>
  <si>
    <t xml:space="preserve">1. Click 'Details' on the request
2. Approve
3. Confirm</t>
  </si>
  <si>
    <t>Logged in as a Team Lead (access role Team Lead) with at least one direct report (Reports To = this Team Lead); a Pending request awaits this Team Lead → Click 'Details' on the request → Approve → Confirm</t>
  </si>
  <si>
    <t>Success message; request moves out of Awaiting / shows Approved (or advances to next level); requester sees updated status in Requests</t>
  </si>
  <si>
    <t>Approval Engine — approve advances the chain</t>
  </si>
  <si>
    <t>TC-ESS-061</t>
  </si>
  <si>
    <t>Team Lead rejects with remark</t>
  </si>
  <si>
    <t>Remark: Project release that week</t>
  </si>
  <si>
    <t xml:space="preserve">1. Click 'Details'
2. Reject
3. Enter remark
4. Confirm</t>
  </si>
  <si>
    <t>Logged in as a Team Lead (access role Team Lead) with at least one direct report (Reports To = this Team Lead); a Pending request awaits this Team Lead → Click 'Details' → Reject → Enter remark → Confirm</t>
  </si>
  <si>
    <t>Request Rejected; requester sees status Rejected with the remark; reserved leave released</t>
  </si>
  <si>
    <t>Approval Engine — rejection closes the request</t>
  </si>
  <si>
    <t>TC-ESS-062</t>
  </si>
  <si>
    <t>Reject remark longer than 500 characters</t>
  </si>
  <si>
    <t>Logged in as a Team Lead (access role Team Lead) with at least one direct report (Reports To = this Team Lead); a Pending request</t>
  </si>
  <si>
    <t>Remark: 501 chars</t>
  </si>
  <si>
    <t xml:space="preserve">1. Details
2. Reject
3. Paste a 501-character remark
4. Confirm</t>
  </si>
  <si>
    <t>Logged in as a Team Lead (access role Team Lead) with at least one direct report (Reports To = this Team Lead); a Pending request → Details → Reject → Paste a 501-character remark → Confirm</t>
  </si>
  <si>
    <t>Validation (max 500) or input truncated at 500; 500 characters accepted</t>
  </si>
  <si>
    <t>Approval Engine — remark ≤500</t>
  </si>
  <si>
    <t>TC-ESS-063</t>
  </si>
  <si>
    <t>Staff with no reports sees an empty approvals inbox</t>
  </si>
  <si>
    <t>1. Open My Workspace &gt; Approvals</t>
  </si>
  <si>
    <t>Logged in as an employee with access role Staff (User Level Team Member), login created via Core HR (initial password = employee code) → Open My Workspace &gt; Approvals</t>
  </si>
  <si>
    <t>Empty state "No pending approvals"; no other employees' requests visible</t>
  </si>
  <si>
    <t>TC-ESS-064</t>
  </si>
  <si>
    <t>Only the lowest-level Pending step is actionable</t>
  </si>
  <si>
    <t>Two-level chain (L1 Team Lead, L2 HR Manager); request Pending at L1</t>
  </si>
  <si>
    <t xml:space="preserve">1. Sign in as the L2 approver
2. Open Approvals</t>
  </si>
  <si>
    <t>Two-level chain (L1 Team Lead, L2 HR Manager); request Pending at L1 → Sign in as the L2 approver → Open Approvals</t>
  </si>
  <si>
    <t>Request not actionable for L2 until L1 approves; after L1 approves it appears for L2</t>
  </si>
  <si>
    <t>Approval Engine — only lowest Pending step actionable</t>
  </si>
  <si>
    <t>TC-ESS-065</t>
  </si>
  <si>
    <t>Approver cannot approve own request</t>
  </si>
  <si>
    <t>Logged in as a Team Lead (access role Team Lead) with at least one direct report (Reports To = this Team Lead); Team Lead raised own leave whose approver resolves by Designation</t>
  </si>
  <si>
    <t>1. Open Approvals as the Team Lead</t>
  </si>
  <si>
    <t>Logged in as a Team Lead (access role Team Lead) with at least one direct report (Reports To = this Team Lead); Team Lead raised own leave whose approver resolves by Designation → Open Approvals as the Team Lead</t>
  </si>
  <si>
    <t>Own request is not actionable by self (routed to next approver); no self-approval</t>
  </si>
  <si>
    <t>See access-roles review: self-approval risk via Designation: HR Manager</t>
  </si>
  <si>
    <t>TC-ESS-066</t>
  </si>
  <si>
    <t>Refresh picks up a newly submitted request</t>
  </si>
  <si>
    <t>Logged in as a Team Lead (access role Team Lead) with at least one direct report (Reports To = this Team Lead); Approvals page open</t>
  </si>
  <si>
    <t xml:space="preserve">1. In another browser, the report submits a request
2. Click Refresh</t>
  </si>
  <si>
    <t>Logged in as a Team Lead (access role Team Lead) with at least one direct report (Reports To = this Team Lead); Approvals page open → In another browser, the report submits a request → Click Refresh</t>
  </si>
  <si>
    <t>New request appears without full page reload</t>
  </si>
  <si>
    <t>TC-ESS-067</t>
  </si>
  <si>
    <t>Approval detail</t>
  </si>
  <si>
    <t>Details panel shows request info and the approval trail</t>
  </si>
  <si>
    <t>1. Click 'Details'</t>
  </si>
  <si>
    <t>Logged in as a Team Lead (access role Team Lead) with at least one direct report (Reports To = this Team Lead); a Pending request → Click 'Details'</t>
  </si>
  <si>
    <t>Panel shows requester, type, dates/days, reason, attachments, each level with status and decided-by</t>
  </si>
  <si>
    <t>TC-ESS-068</t>
  </si>
  <si>
    <t>Duty handover delegate can decide the away approver's step</t>
  </si>
  <si>
    <t>Team Lead has an active Duty Handover to a delegate covering today</t>
  </si>
  <si>
    <t xml:space="preserve">1. Report submits a leave request
2. Sign in as the delegate
3. Open Approvals
4. Approve</t>
  </si>
  <si>
    <t>Team Lead has an active Duty Handover to a delegate covering today → Report submits a leave request → Sign in as the delegate → Open Approvals → Approve</t>
  </si>
  <si>
    <t>Delegate sees and can approve; trail shows "on behalf of" the Team Lead</t>
  </si>
  <si>
    <t>Approval Engine — Duty-Handover coverage, audited on-behalf-of</t>
  </si>
  <si>
    <t>TC-ESS-069</t>
  </si>
  <si>
    <t>Double-click on Approve does not double-process</t>
  </si>
  <si>
    <t xml:space="preserve">1. Details
2. Double-click Approve quickly</t>
  </si>
  <si>
    <t>Logged in as a Team Lead (access role Team Lead) with at least one direct report (Reports To = this Team Lead); a Pending request → Details → Double-click Approve quickly</t>
  </si>
  <si>
    <t>Single decision recorded; no duplicate trail entries or error</t>
  </si>
  <si>
    <t>TC-ESS-070</t>
  </si>
  <si>
    <t>Approvals as Team Lead show only own team, not other teams</t>
  </si>
  <si>
    <t>Logged in as a Team Lead (access role Team Lead) with at least one direct report (Reports To = this Team Lead); employee from another team has a Pending request with Report Person approver</t>
  </si>
  <si>
    <t>1. Open Approvals as Team Lead</t>
  </si>
  <si>
    <t>Logged in as a Team Lead (access role Team Lead) with at least one direct report (Reports To = this Team Lead); employee from another team has a Pending request with Report Person approver → Open Approvals as Team Lead</t>
  </si>
  <si>
    <t>Other team's request not listed</t>
  </si>
  <si>
    <t>TC-ESS-071</t>
  </si>
  <si>
    <t>Leave page opens and renders correctly</t>
  </si>
  <si>
    <t xml:space="preserve">1. Sign in as the employee
2. Open My Workspace &gt; Leave from the sidebar
3. Wait for the loading indicator to clear</t>
  </si>
  <si>
    <t>Logged in as an employee with access role Staff (User Level Team Member), login created via Core HR (initial password = employee code) → Sign in as the employee → Open My Workspace &gt; Leave from the sidebar → Wait for the loading indicator to clear</t>
  </si>
  <si>
    <t>Page opens without login redirect, 404 or Blazor error; heading 'My Leave' shown; tabs Overview, Holidays, Comp-Off, Balance List, Policy and buttons 'Apply for Leave', 'Team Calendar' render</t>
  </si>
  <si>
    <t>Linear 110 Leave — page check</t>
  </si>
  <si>
    <t>TC-ESS-072</t>
  </si>
  <si>
    <t>Apply leave</t>
  </si>
  <si>
    <t>Employee applies for 1 day Casual Leave — request Pending, day reserved</t>
  </si>
  <si>
    <t>Logged in as an employee with access role Staff (User Level Team Member), login created via Core HR (initial password = employee code); leave pattern auto-assigned with Casual Leave available</t>
  </si>
  <si>
    <t>Leave Type: Casual Leave; Date: weekday +21 days; Description: Family function at hometown (Auto DD-Mon HH.MM.SS)</t>
  </si>
  <si>
    <t xml:space="preserve">1. Open My Workspace &gt; Leave
2. Click 'Apply for Leave'
3. Leave Type: Casual Leave
4. Pick a future weekday
5. Description
6. Submit</t>
  </si>
  <si>
    <t>Logged in as an employee with access role Staff (User Level Team Member), login created via Core HR (initial password = employee code); leave pattern auto-assigned with Casual Leave available → Open My Workspace &gt; Leave → Click 'Apply for Leave' → Leave Type: Casual Leave → Pick a future weekday → Description → Submit</t>
  </si>
  <si>
    <t>Success; My Leave Requests shows Casual Leave Pending; Balance List Reserved +1</t>
  </si>
  <si>
    <t>TC-ESS-073</t>
  </si>
  <si>
    <t>After manager approval employee sees Approved and balance reduced by 1</t>
  </si>
  <si>
    <t>Leave request from previous case approved by manager on Leave Approval</t>
  </si>
  <si>
    <t xml:space="preserve">1. Sign in as the employee
2. Open Leave &gt; Overview and Balance List</t>
  </si>
  <si>
    <t>Leave request from previous case approved by manager on Leave Approval → Sign in as the employee → Open Leave &gt; Overview and Balance List</t>
  </si>
  <si>
    <t>Request Approved; Casual Available decreases by 1 and Used increases by 1</t>
  </si>
  <si>
    <t>TC-ESS-074</t>
  </si>
  <si>
    <t>Apply leave with Leave Type not chosen</t>
  </si>
  <si>
    <t xml:space="preserve">1. Apply for Leave
2. Leave Type 'Choose'
3. fill dates and Description
4. Submit</t>
  </si>
  <si>
    <t>Logged in as an employee with access role Staff (User Level Team Member), login created via Core HR (initial password = employee code) → Apply for Leave → Leave Type 'Choose' → fill dates and Description → Submit</t>
  </si>
  <si>
    <t>Validation on 'Leave Type *'; nothing submitted</t>
  </si>
  <si>
    <t>TC-ESS-075</t>
  </si>
  <si>
    <t>Apply leave with Description empty</t>
  </si>
  <si>
    <t xml:space="preserve">1. Apply for Leave
2. choose type and date
3. leave Description* empty
4. Submit</t>
  </si>
  <si>
    <t>Logged in as an employee with access role Staff (User Level Team Member), login created via Core HR (initial password = employee code) → Apply for Leave → choose type and date → leave Description* empty → Submit</t>
  </si>
  <si>
    <t>Validation on 'Description*'; nothing submitted</t>
  </si>
  <si>
    <t>TC-ESS-076</t>
  </si>
  <si>
    <t>Apply leave with To date before From date</t>
  </si>
  <si>
    <t xml:space="preserve">1. Apply for Leave
2. From = 10th, To = 8th
3. Submit</t>
  </si>
  <si>
    <t>Logged in as an employee with access role Staff (User Level Team Member), login created via Core HR (initial password = employee code) → Apply for Leave → From = 10th, To = 8th → Submit</t>
  </si>
  <si>
    <t>Validation error; nothing submitted</t>
  </si>
  <si>
    <t>TC-ESS-077</t>
  </si>
  <si>
    <t>Apply leave overlapping an existing Pending/Approved leave</t>
  </si>
  <si>
    <t>Logged in as an employee with access role Staff (User Level Team Member), login created via Core HR (initial password = employee code); Pending leave exists on date D</t>
  </si>
  <si>
    <t>1. Apply for Leave on date D again</t>
  </si>
  <si>
    <t>Logged in as an employee with access role Staff (User Level Team Member), login created via Core HR (initial password = employee code); Pending leave exists on date D → Apply for Leave on date D again</t>
  </si>
  <si>
    <t>Rejected with an overlap message</t>
  </si>
  <si>
    <t>TC-ESS-078</t>
  </si>
  <si>
    <t>Apply more days than Available balance</t>
  </si>
  <si>
    <t>Logged in as an employee with access role Staff (User Level Team Member), login created via Core HR (initial password = employee code); Casual Available = 1</t>
  </si>
  <si>
    <t>1. Apply Casual Leave for 2 days</t>
  </si>
  <si>
    <t>Logged in as an employee with access role Staff (User Level Team Member), login created via Core HR (initial password = employee code); Casual Available = 1 → Apply Casual Leave for 2 days</t>
  </si>
  <si>
    <t>Refused (or allowed per policy as over-draw with clear wording); available never displayed as negative</t>
  </si>
  <si>
    <t>Leave SRS 4.9 — available floored at zero; over-draw stated in words</t>
  </si>
  <si>
    <t>TC-ESS-079</t>
  </si>
  <si>
    <t>Apply leave without a leave pattern / policy</t>
  </si>
  <si>
    <t>Employee with no leave pattern assigned (legacy employee)</t>
  </si>
  <si>
    <t xml:space="preserve">1. Open Leave
2. Click 'Apply for Leave'</t>
  </si>
  <si>
    <t>Employee with no leave pattern assigned (legacy employee) → Open Leave → Click 'Apply for Leave'</t>
  </si>
  <si>
    <t>Leave Type list empty ('Choose' only) with guidance message; cannot submit</t>
  </si>
  <si>
    <t>Known issue (LM sweep 2026-09): apply-leave blocked without policy; new employees now get a pattern automatically</t>
  </si>
  <si>
    <t>TC-ESS-080</t>
  </si>
  <si>
    <t>Leave on a holiday / weekly off is not counted</t>
  </si>
  <si>
    <t>Logged in as an employee with access role Staff (User Level Team Member), login created via Core HR (initial password = employee code); a company holiday falls inside the range</t>
  </si>
  <si>
    <t>1. Apply Casual Leave spanning the holiday</t>
  </si>
  <si>
    <t>Logged in as an employee with access role Staff (User Level Team Member), login created via Core HR (initial password = employee code); a company holiday falls inside the range → Apply Casual Leave spanning the holiday</t>
  </si>
  <si>
    <t>Days count excludes the holiday/weekly off (unless sandwich rule configured)</t>
  </si>
  <si>
    <t>TC-ESS-081</t>
  </si>
  <si>
    <t>Balance List columns and arithmetic</t>
  </si>
  <si>
    <t>1. Open Leave &gt; 'Balance List'</t>
  </si>
  <si>
    <t>Logged in as an employee with access role Staff (User Level Team Member), login created via Core HR (initial password = employee code) → Open Leave &gt; 'Balance List'</t>
  </si>
  <si>
    <t>Columns Opening, Accrued, Carried Fwd, Used, Reserved, Available; Available = Opening + Accrued + Carried Fwd − Used − Reserved for each type</t>
  </si>
  <si>
    <t>Leave SRS 4.9</t>
  </si>
  <si>
    <t>TC-ESS-082</t>
  </si>
  <si>
    <t>Holidays tab lists holidays applicable to the employee's branch</t>
  </si>
  <si>
    <t>1. Open Leave &gt; 'Holidays'</t>
  </si>
  <si>
    <t>Logged in as an employee with access role Staff (User Level Team Member), login created via Core HR (initial password = employee code) → Open Leave &gt; 'Holidays'</t>
  </si>
  <si>
    <t>Holidays for the employee's branch region plus explicitly assigned holidays; optional holidays marked and pickable</t>
  </si>
  <si>
    <t>Leave SRS 4.8</t>
  </si>
  <si>
    <t>TC-ESS-083</t>
  </si>
  <si>
    <t>Pick an optional holiday within the quota</t>
  </si>
  <si>
    <t>Logged in as an employee with access role Staff (User Level Team Member), login created via Core HR (initial password = employee code); optional holiday pool configured with quota 2</t>
  </si>
  <si>
    <t xml:space="preserve">1. Holidays tab
2. Pick one optional holiday
3. Try to pick beyond the quota</t>
  </si>
  <si>
    <t>Logged in as an employee with access role Staff (User Level Team Member), login created via Core HR (initial password = employee code); optional holiday pool configured with quota 2 → Holidays tab → Pick one optional holiday → Try to pick beyond the quota</t>
  </si>
  <si>
    <t>First pick saved and counted; picking beyond quota refused</t>
  </si>
  <si>
    <t>TC-ESS-084</t>
  </si>
  <si>
    <t>Comp-Off</t>
  </si>
  <si>
    <t>Comp-Off tab shows credits and expiry</t>
  </si>
  <si>
    <t>1. Open Leave &gt; 'Comp-Off'</t>
  </si>
  <si>
    <t>Logged in as an employee with access role Staff (User Level Team Member), login created via Core HR (initial password = employee code) → Open Leave &gt; 'Comp-Off'</t>
  </si>
  <si>
    <t>Comp-off credits listed with earned date and expiry, or empty state when comp-off is disabled</t>
  </si>
  <si>
    <t>TC-ESS-085</t>
  </si>
  <si>
    <t>Policy</t>
  </si>
  <si>
    <t>Policy tab shows the rules applicable to the employee</t>
  </si>
  <si>
    <t>1. Open Leave &gt; 'Policy'</t>
  </si>
  <si>
    <t>Logged in as an employee with access role Staff (User Level Team Member), login created via Core HR (initial password = employee code) → Open Leave &gt; 'Policy'</t>
  </si>
  <si>
    <t>Leave types, entitlement, carry-forward and encashment rules from the assigned pattern shown read-only</t>
  </si>
  <si>
    <t>TC-ESS-086</t>
  </si>
  <si>
    <t>Team Lead sees team members on leave in Team Calendar</t>
  </si>
  <si>
    <t>Logged in as a Team Lead (access role Team Lead) with at least one direct report (Reports To = this Team Lead); a direct report has approved leave this month</t>
  </si>
  <si>
    <t xml:space="preserve">1. Open Leave
2. Click 'Team Calendar'</t>
  </si>
  <si>
    <t>Logged in as a Team Lead (access role Team Lead) with at least one direct report (Reports To = this Team Lead); a direct report has approved leave this month → Open Leave → Click 'Team Calendar'</t>
  </si>
  <si>
    <t>Report's approved leave shown on the calendar; employees outside the team not shown</t>
  </si>
  <si>
    <t>TC-ESS-087</t>
  </si>
  <si>
    <t>Employee cannot view another employee's leave via URL</t>
  </si>
  <si>
    <t xml:space="preserve">1. Note a leave request detail URL of another employee (as admin)
2. Open it as Staff</t>
  </si>
  <si>
    <t>Logged in as an employee with access role Staff (User Level Team Member), login created via Core HR (initial password = employee code) → Note a leave request detail URL of another employee (as admin) → Open it as Staff</t>
  </si>
  <si>
    <t>Access denied / not found; no data shown</t>
  </si>
  <si>
    <t>TC-ESS-088</t>
  </si>
  <si>
    <t>Handover page opens and renders correctly</t>
  </si>
  <si>
    <t xml:space="preserve">1. Sign in as the employee
2. Open My Workspace &gt; Handover from the sidebar
3. Wait for the loading indicator to clear</t>
  </si>
  <si>
    <t>Logged in as an employee with access role Staff (User Level Team Member), login created via Core HR (initial password = employee code) → Sign in as the employee → Open My Workspace &gt; Handover from the sidebar → Wait for the loading indicator to clear</t>
  </si>
  <si>
    <t>Page opens without login redirect, 404 or Blazor error; heading 'My Handover' shown; handover list (given/received) renders</t>
  </si>
  <si>
    <t>Linear 111 Handover — page check</t>
  </si>
  <si>
    <t>TC-ESS-089</t>
  </si>
  <si>
    <t>My handovers</t>
  </si>
  <si>
    <t>Employee sees handovers where they are the delegator or the delegate</t>
  </si>
  <si>
    <t>Logged in as an employee with access role Staff (User Level Team Member), login created via Core HR (initial password = employee code); HR created a Duty Handover from this employee to a colleague</t>
  </si>
  <si>
    <t>1. Open My Workspace &gt; Handover</t>
  </si>
  <si>
    <t>Logged in as an employee with access role Staff (User Level Team Member), login created via Core HR (initial password = employee code); HR created a Duty Handover from this employee to a colleague → Open My Workspace &gt; Handover</t>
  </si>
  <si>
    <t>Handover listed with from/to employee, date range, scope and status</t>
  </si>
  <si>
    <t>TC-ESS-090</t>
  </si>
  <si>
    <t>Delegate sees the handover assigned to them</t>
  </si>
  <si>
    <t>Logged in as the delegate of an active handover</t>
  </si>
  <si>
    <t>Logged in as the delegate of an active handover → Open My Workspace &gt; Handover</t>
  </si>
  <si>
    <t>Handover listed as received, with the original owner and dates</t>
  </si>
  <si>
    <t>TC-ESS-091</t>
  </si>
  <si>
    <t>Handovers of unrelated employees are not visible</t>
  </si>
  <si>
    <t>1. Open Handover</t>
  </si>
  <si>
    <t>Logged in as an employee with access role Staff (User Level Team Member), login created via Core HR (initial password = employee code) → Open Handover</t>
  </si>
  <si>
    <t>Only handovers involving the signed-in employee are listed</t>
  </si>
  <si>
    <t>TC-ESS-092</t>
  </si>
  <si>
    <t>Expired handover shows as completed/inactive</t>
  </si>
  <si>
    <t>Logged in as an employee with access role Staff (User Level Team Member), login created via Core HR (initial password = employee code); handover with end date in the past</t>
  </si>
  <si>
    <t>Logged in as an employee with access role Staff (User Level Team Member), login created via Core HR (initial password = employee code); handover with end date in the past → Open Handover</t>
  </si>
  <si>
    <t>Shown as expired/inactive; delegate no longer receives approvals</t>
  </si>
  <si>
    <t>TC-ESS-093</t>
  </si>
  <si>
    <t>Handover created in Core HR &gt; Duty Handover appears in ESS</t>
  </si>
  <si>
    <t xml:space="preserve">1. Create a Duty Handover for the run employee in Core HR
2. Sign in as that employee
3. Open Handover</t>
  </si>
  <si>
    <t>Logged in as HRMS admin amit (Amit Kumar Shaji, role HRMS / Administrator) → Create a Duty Handover for the run employee in Core HR → Sign in as that employee → Open Handover</t>
  </si>
  <si>
    <t>The new handover is visible to the employee</t>
  </si>
  <si>
    <t>Linear 011 Duty Handover — createDutyHandover (admin side only)</t>
  </si>
  <si>
    <t>TC-ESS-094</t>
  </si>
  <si>
    <t>Onboarding Tasks page opens and renders correctly</t>
  </si>
  <si>
    <t xml:space="preserve">1. Sign in as the employee
2. Open My Workspace &gt; Onboarding Tasks from the sidebar
3. Wait for the loading indicator to clear</t>
  </si>
  <si>
    <t>Logged in as an employee with access role Staff (User Level Team Member), login created via Core HR (initial password = employee code) → Sign in as the employee → Open My Workspace &gt; Onboarding Tasks from the sidebar → Wait for the loading indicator to clear</t>
  </si>
  <si>
    <t>Page opens without login redirect, 404 or Blazor error; heading 'My Onboarding Tasks' shown; task list or empty state renders</t>
  </si>
  <si>
    <t>Linear 112 Onboarding Tasks — page check</t>
  </si>
  <si>
    <t>TC-ESS-095</t>
  </si>
  <si>
    <t>Onboarding tasks</t>
  </si>
  <si>
    <t>New joiner sees tasks assigned from their onboarding template</t>
  </si>
  <si>
    <t>Employee onboarded via an onboarding template with tasks assigned to the employee</t>
  </si>
  <si>
    <t xml:space="preserve">1. Sign in as the new joiner
2. Open My Workspace &gt; Onboarding Tasks</t>
  </si>
  <si>
    <t>Employee onboarded via an onboarding template with tasks assigned to the employee → Sign in as the new joiner → Open My Workspace &gt; Onboarding Tasks</t>
  </si>
  <si>
    <t>Tasks listed by stage with due dates and status Pending</t>
  </si>
  <si>
    <t>TC-ESS-096</t>
  </si>
  <si>
    <t>Employee completes an onboarding task</t>
  </si>
  <si>
    <t>New joiner with a Pending task</t>
  </si>
  <si>
    <t>Comment: Submitted signed NDA</t>
  </si>
  <si>
    <t xml:space="preserve">1. Open the task
2. Mark complete (add comment/attachment if required)
3. Save</t>
  </si>
  <si>
    <t>New joiner with a Pending task → Open the task → Mark complete (add comment/attachment if required) → Save</t>
  </si>
  <si>
    <t>Task Completed; stage progress updates on the HR onboarding view</t>
  </si>
  <si>
    <t>TC-ESS-097</t>
  </si>
  <si>
    <t>Task requiring an attachment cannot be completed without one</t>
  </si>
  <si>
    <t>Task configured with mandatory attachment</t>
  </si>
  <si>
    <t xml:space="preserve">1. Open the task
2. Complete without uploading</t>
  </si>
  <si>
    <t>Task configured with mandatory attachment → Open the task → Complete without uploading</t>
  </si>
  <si>
    <t>Validation message; task remains Pending</t>
  </si>
  <si>
    <t>TC-ESS-098</t>
  </si>
  <si>
    <t>Tasks assigned to HR/IT are not actionable by the employee</t>
  </si>
  <si>
    <t>Onboarding has tasks owned by HR/IT</t>
  </si>
  <si>
    <t>1. Open Onboarding Tasks as the new joiner</t>
  </si>
  <si>
    <t>Onboarding has tasks owned by HR/IT → Open Onboarding Tasks as the new joiner</t>
  </si>
  <si>
    <t>Only employee-owned tasks are actionable; others hidden or read-only</t>
  </si>
  <si>
    <t>TC-ESS-099</t>
  </si>
  <si>
    <t>Existing employee with no onboarding sees empty state</t>
  </si>
  <si>
    <t>1. Open Onboarding Tasks</t>
  </si>
  <si>
    <t>Logged in as an employee with access role Staff (User Level Team Member), login created via Core HR (initial password = employee code) → Open Onboarding Tasks</t>
  </si>
  <si>
    <t>Friendly empty state, no error</t>
  </si>
  <si>
    <t>TC-ESS-100</t>
  </si>
  <si>
    <t>Trainings page opens and renders correctly</t>
  </si>
  <si>
    <t xml:space="preserve">1. Sign in as the employee
2. Open My Workspace &gt; Trainings from the sidebar
3. Wait for the loading indicator to clear</t>
  </si>
  <si>
    <t>Logged in as an employee with access role Staff (User Level Team Member), login created via Core HR (initial password = employee code) → Sign in as the employee → Open My Workspace &gt; Trainings from the sidebar → Wait for the loading indicator to clear</t>
  </si>
  <si>
    <t>Page opens without login redirect, 404 or Blazor error; heading 'My Trainings' shown; assigned trainings list or empty state renders</t>
  </si>
  <si>
    <t>Linear 113 Trainings — page check</t>
  </si>
  <si>
    <t>TC-ESS-101</t>
  </si>
  <si>
    <t>My trainings</t>
  </si>
  <si>
    <t>Assigned training course appears for the employee</t>
  </si>
  <si>
    <t>A training course assigned to the employee (onboarding or HR)</t>
  </si>
  <si>
    <t>1. Open My Workspace &gt; Trainings</t>
  </si>
  <si>
    <t>A training course assigned to the employee (onboarding or HR) → Open My Workspace &gt; Trainings</t>
  </si>
  <si>
    <t>Course listed with category, duration/hours, due date and status</t>
  </si>
  <si>
    <t>TC-ESS-102</t>
  </si>
  <si>
    <t>Employee starts / completes a training and takes its assessment</t>
  </si>
  <si>
    <t>Assigned course with an assessment</t>
  </si>
  <si>
    <t xml:space="preserve">1. Open the course
2. Mark content complete
3. Take the assessment
4. Submit</t>
  </si>
  <si>
    <t>Assigned course with an assessment → Open the course → Mark content complete → Take the assessment → Submit</t>
  </si>
  <si>
    <t>Status Completed with score; result visible on Training Assessment Report for HR</t>
  </si>
  <si>
    <t>TC-ESS-103</t>
  </si>
  <si>
    <t>Employee cannot see courses not assigned to them</t>
  </si>
  <si>
    <t>1. Open Trainings</t>
  </si>
  <si>
    <t>Logged in as an employee with access role Staff (User Level Team Member), login created via Core HR (initial password = employee code) → Open Trainings</t>
  </si>
  <si>
    <t>Only own assignments shown</t>
  </si>
  <si>
    <t>TC-ESS-104</t>
  </si>
  <si>
    <t>Overdue training is highlighted</t>
  </si>
  <si>
    <t>Assigned course with due date in the past, not completed</t>
  </si>
  <si>
    <t>Assigned course with due date in the past, not completed → Open Trainings</t>
  </si>
  <si>
    <t>Course marked Overdue</t>
  </si>
  <si>
    <t>TC-ESS-105</t>
  </si>
  <si>
    <t>Course created in Onboarding &gt; Training Courses can be assigned and appears in ESS</t>
  </si>
  <si>
    <t xml:space="preserve">1. Create course (Training Courses)
2. Assign to employee
3. Sign in as employee
4. Open Trainings</t>
  </si>
  <si>
    <t>Logged in as HRMS admin amit (Amit Kumar Shaji, role HRMS / Administrator) → Create course (Training Courses) → Assign to employee → Sign in as employee → Open Trainings</t>
  </si>
  <si>
    <t>Course visible to the employee</t>
  </si>
  <si>
    <t>Linear 032 Training Courses — createTrainingCourse (create only)</t>
  </si>
  <si>
    <t>TC-ESS-106</t>
  </si>
  <si>
    <t xml:space="preserve">1. Sign in as the employee
2. Open My Workspace &gt; Resignation from the sidebar
3. Wait for the loading indicator to clear</t>
  </si>
  <si>
    <t>Logged in as an employee with access role Staff (User Level Team Member), login created via Core HR (initial password = employee code) → Sign in as the employee → Open My Workspace &gt; Resignation from the sidebar → Wait for the loading indicator to clear</t>
  </si>
  <si>
    <t>Page opens without login redirect, 404 or Blazor error; heading 'My Resignation' shown; form with 'Reason for Leaving *', 'Requested Last Working Day', 'Submit Resignation' renders</t>
  </si>
  <si>
    <t>TC-ESS-107</t>
  </si>
  <si>
    <t>Submit resignation</t>
  </si>
  <si>
    <t>Employee submits resignation with mandatory fields</t>
  </si>
  <si>
    <t>Logged in as an employee with access role Staff (User Level Team Member), login created via Core HR (initial password = employee code); no exit in progress</t>
  </si>
  <si>
    <t>Reason: Better Opportunity</t>
  </si>
  <si>
    <t xml:space="preserve">1. Open My Workspace &gt; Resignation
2. Reason for Leaving: Better Opportunity
3. Click 'Submit Resignation'
4. Confirm</t>
  </si>
  <si>
    <t>Logged in as an employee with access role Staff (User Level Team Member), login created via Core HR (initial password = employee code); no exit in progress → Open My Workspace &gt; Resignation → Reason for Leaving: Better Opportunity → Click 'Submit Resignation' → Confirm</t>
  </si>
  <si>
    <t>Success; status Pending approval; Tentative LWD = submission date + notice days (default 30); request visible to HR in /resignations</t>
  </si>
  <si>
    <t>Exit SRS — Tentative LWD = submission + notice days</t>
  </si>
  <si>
    <t>TC-ESS-108</t>
  </si>
  <si>
    <t>LWD: today+30; Alt e-mail: priya.alt@example.com; Alt mobile: 9876501234; Letter: resignation.pdf</t>
  </si>
  <si>
    <t xml:space="preserve">1. Fill Reason, Requested Last Working Day, Alternate Email, Alternate Mobile, Remarks, attach Resignation Letter
2. Submit</t>
  </si>
  <si>
    <t>Logged in as an employee with access role Staff (User Level Team Member), login created via Core HR (initial password = employee code); no exit in progress → Fill Reason, Requested Last Working Day, Alternate Email, Alternate Mobile, Remarks, attach Resignation Letter → Submit</t>
  </si>
  <si>
    <t>Saved with all values; attachment downloadable by HR</t>
  </si>
  <si>
    <t>TC-ESS-109</t>
  </si>
  <si>
    <t>Reason for Leaving missing</t>
  </si>
  <si>
    <t xml:space="preserve">1. Leave 'Reason for Leaving *' as '-- Select --'
2. Submit</t>
  </si>
  <si>
    <t>Logged in as an employee with access role Staff (User Level Team Member), login created via Core HR (initial password = employee code) → Leave 'Reason for Leaving *' as '-- Select --' → Submit</t>
  </si>
  <si>
    <t>Validation on Reason; nothing submitted</t>
  </si>
  <si>
    <t>TC-ESS-110</t>
  </si>
  <si>
    <t>Requested Last Working Day in the past is blocked</t>
  </si>
  <si>
    <t>LWD: yesterday</t>
  </si>
  <si>
    <t>1. Try to pick yesterday as Requested Last Working Day</t>
  </si>
  <si>
    <t>Logged in as an employee with access role Staff (User Level Team Member), login created via Core HR (initial password = employee code) → Try to pick yesterday as Requested Last Working Day</t>
  </si>
  <si>
    <t>Date picker min = today; past date not accepted</t>
  </si>
  <si>
    <t>ESS sets min=today (verified); HR Initiate Exit lacks min — RE-02</t>
  </si>
  <si>
    <t>TC-ESS-111</t>
  </si>
  <si>
    <t>Invalid Alternate Email format</t>
  </si>
  <si>
    <t>priya@</t>
  </si>
  <si>
    <t xml:space="preserve">1. Enter alternate e-mail priya@
2. Submit</t>
  </si>
  <si>
    <t>Logged in as an employee with access role Staff (User Level Team Member), login created via Core HR (initial password = employee code) → Enter alternate e-mail priya@ → Submit</t>
  </si>
  <si>
    <t>E-mail format validation</t>
  </si>
  <si>
    <t>TC-ESS-112</t>
  </si>
  <si>
    <t>Alternate Mobile with letters / too short</t>
  </si>
  <si>
    <t>98ab; 123</t>
  </si>
  <si>
    <t xml:space="preserve">1. Enter alternate mobile 98ab / 123
2. Submit</t>
  </si>
  <si>
    <t>Logged in as an employee with access role Staff (User Level Team Member), login created via Core HR (initial password = employee code) → Enter alternate mobile 98ab / 123 → Submit</t>
  </si>
  <si>
    <t>Phone validation message</t>
  </si>
  <si>
    <t>TC-ESS-113</t>
  </si>
  <si>
    <t>Resignation letter with disallowed file type / oversize</t>
  </si>
  <si>
    <t>tool.exe; 30MB.pdf</t>
  </si>
  <si>
    <t xml:space="preserve">1. Attach an .exe file
2. then a 30 MB PDF
3. Submit</t>
  </si>
  <si>
    <t>Logged in as an employee with access role Staff (User Level Team Member), login created via Core HR (initial password = employee code) → Attach an .exe file → then a 30 MB PDF → Submit</t>
  </si>
  <si>
    <t>Both refused with type/size message</t>
  </si>
  <si>
    <t>TC-ESS-114</t>
  </si>
  <si>
    <t>Second resignation while one is in progress is blocked</t>
  </si>
  <si>
    <t>Logged in as an employee with access role Staff (User Level Team Member), login created via Core HR (initial password = employee code); resignation already Pending/On Notice</t>
  </si>
  <si>
    <t>1. Open Resignation</t>
  </si>
  <si>
    <t>Logged in as an employee with access role Staff (User Level Team Member), login created via Core HR (initial password = employee code); resignation already Pending/On Notice → Open Resignation</t>
  </si>
  <si>
    <t>Form replaced by current status (or message "already OnNotice"); no second submit possible</t>
  </si>
  <si>
    <t>Known issue RE-03 wording: "OnNotice" without space</t>
  </si>
  <si>
    <t>Exit SRS — one exit in progress per employee</t>
  </si>
  <si>
    <t>TC-ESS-115</t>
  </si>
  <si>
    <t>Status tracking</t>
  </si>
  <si>
    <t>Employee sees approval status and effective LWD after HR/manager approval</t>
  </si>
  <si>
    <t>Resignation approved by the chain</t>
  </si>
  <si>
    <t>Resignation approved by the chain → Open Resignation</t>
  </si>
  <si>
    <t>Status Approved · On Notice; Effective LWD (Confirmed → Requested → Tentative) displayed</t>
  </si>
  <si>
    <t>Exit SRS — effective LWD resolution</t>
  </si>
  <si>
    <t>TC-ESS-116</t>
  </si>
  <si>
    <t>Employee withdraws a pending resignation</t>
  </si>
  <si>
    <t>Resignation Pending approval</t>
  </si>
  <si>
    <t xml:space="preserve">1. Open Resignation
2. Click Withdraw
3. Confirm with reason</t>
  </si>
  <si>
    <t>Resignation Pending approval → Open Resignation → Click Withdraw → Confirm with reason</t>
  </si>
  <si>
    <t>Status Withdrawn; approval retired; employee can submit again later</t>
  </si>
  <si>
    <t>Exit SRS — submit/withdraw own resignation</t>
  </si>
  <si>
    <t>TC-ESS-117</t>
  </si>
  <si>
    <t>Rejected resignation shows rejection remark</t>
  </si>
  <si>
    <t>Resignation rejected by approver</t>
  </si>
  <si>
    <t>Resignation rejected by approver → Open Resignation</t>
  </si>
  <si>
    <t>Status Rejected with remark; employee can raise a new one</t>
  </si>
  <si>
    <t>Known issue RE-03: Reject requires no reason on HR side</t>
  </si>
  <si>
    <t>TC-ESS-118</t>
  </si>
  <si>
    <t>Team Lead receives the direct report's resignation for approval</t>
  </si>
  <si>
    <t>Logged in as a Team Lead (access role Team Lead) with at least one direct report (Reports To = this Team Lead); resignation chain level 1 = Report Person</t>
  </si>
  <si>
    <t xml:space="preserve">1. Report submits resignation
2. Team Lead opens My Workspace &gt; Approvals</t>
  </si>
  <si>
    <t>Logged in as a Team Lead (access role Team Lead) with at least one direct report (Reports To = this Team Lead); resignation chain level 1 = Report Person → Report submits resignation → Team Lead opens My Workspace &gt; Approvals</t>
  </si>
  <si>
    <t>Resignation listed; Team Lead may approve/reject and propose a revised LWD</t>
  </si>
  <si>
    <t>TC-ESS-119</t>
  </si>
  <si>
    <t>Remarks with script tags are stored as text</t>
  </si>
  <si>
    <t>&lt;script&gt;alert(1)&lt;/script&gt;</t>
  </si>
  <si>
    <t xml:space="preserve">1. Remarks: &lt;script&gt;alert(1)&lt;/script&gt;
2. Submit
3. HR opens the resignation detail</t>
  </si>
  <si>
    <t>Logged in as an employee with access role Staff (User Level Team Member), login created via Core HR (initial password = employee code) → Remarks: &lt;script&gt;alert(1)&lt;/script&gt; → Submit → HR opens the resignation detail</t>
  </si>
  <si>
    <t>Text displayed escaped; no script runs</t>
  </si>
  <si>
    <t>TC-ESS-120</t>
  </si>
  <si>
    <t xml:space="preserve">1. Sign in as the employee
2. Open My Workspace &gt; Exit Tasks from the sidebar
3. Wait for the loading indicator to clear</t>
  </si>
  <si>
    <t>Logged in as an employee with access role Staff (User Level Team Member), login created via Core HR (initial password = employee code) → Sign in as the employee → Open My Workspace &gt; Exit Tasks from the sidebar → Wait for the loading indicator to clear</t>
  </si>
  <si>
    <t>Page opens without login redirect, 404 or Blazor error; heading 'My Exit Tasks' shown; task list or empty state renders</t>
  </si>
  <si>
    <t>TC-ESS-121</t>
  </si>
  <si>
    <t>Exit tasks</t>
  </si>
  <si>
    <t>Employee on notice sees exit checklist tasks assigned to them</t>
  </si>
  <si>
    <t>Resignation approved — checklist materialised</t>
  </si>
  <si>
    <t>1. Open My Workspace &gt; Exit Tasks</t>
  </si>
  <si>
    <t>Resignation approved — checklist materialised → Open My Workspace &gt; Exit Tasks</t>
  </si>
  <si>
    <t>Employee-owned tasks (e.g. Knowledge Transfer, asset return) listed with due date and status</t>
  </si>
  <si>
    <t>TC-ESS-122</t>
  </si>
  <si>
    <t>Employee completes an exit task</t>
  </si>
  <si>
    <t>Employee has a Pending exit task</t>
  </si>
  <si>
    <t>Notes: KT done with Rahul</t>
  </si>
  <si>
    <t xml:space="preserve">1. Open task
2. Add notes/attachment
3. Mark complete</t>
  </si>
  <si>
    <t>Employee has a Pending exit task → Open task → Add notes/attachment → Mark complete</t>
  </si>
  <si>
    <t>Task Completed; Exit Clearance board updates for HR</t>
  </si>
  <si>
    <t>TC-ESS-123</t>
  </si>
  <si>
    <t>Employee not in exit sees empty state</t>
  </si>
  <si>
    <t>1. Open Exit Tasks</t>
  </si>
  <si>
    <t>Logged in as an employee with access role Staff (User Level Team Member), login created via Core HR (initial password = employee code) → Open Exit Tasks</t>
  </si>
  <si>
    <t>Empty-state message, no error</t>
  </si>
  <si>
    <t>TC-ESS-124</t>
  </si>
  <si>
    <t>Settled tasks are read-only</t>
  </si>
  <si>
    <t>Task settled by HR</t>
  </si>
  <si>
    <t>1. Open the settled task</t>
  </si>
  <si>
    <t>Task settled by HR → Open the settled task</t>
  </si>
  <si>
    <t>No edit/complete controls; status immutable</t>
  </si>
  <si>
    <t>Exit SRS — settled items are immutable</t>
  </si>
  <si>
    <t>TC-ESS-125</t>
  </si>
  <si>
    <t>Tasks of other exiting employees not visible</t>
  </si>
  <si>
    <t>Only own tasks listed</t>
  </si>
  <si>
    <t>TC-ESS-126</t>
  </si>
  <si>
    <t xml:space="preserve">1. Sign in as the employee
2. Open My Workspace &gt; Exit Interview from the sidebar
3. Wait for the loading indicator to clear</t>
  </si>
  <si>
    <t>Logged in as an employee with access role Staff (User Level Team Member), login created via Core HR (initial password = employee code) → Sign in as the employee → Open My Workspace &gt; Exit Interview from the sidebar → Wait for the loading indicator to clear</t>
  </si>
  <si>
    <t>Page opens without login redirect, 404 or Blazor error; heading 'Exit Interview' shown; form or empty state renders</t>
  </si>
  <si>
    <t>TC-ESS-127</t>
  </si>
  <si>
    <t>Exit interview form</t>
  </si>
  <si>
    <t>Employee fills and submits the self-service exit interview form</t>
  </si>
  <si>
    <t>Exit interview in Form (self-service) mode assigned</t>
  </si>
  <si>
    <t xml:space="preserve">1. Open Exit Interview
2. Answer all questions
3. Submit</t>
  </si>
  <si>
    <t>Exit interview in Form (self-service) mode assigned → Open Exit Interview → Answer all questions → Submit</t>
  </si>
  <si>
    <t>Submitted; HR sees answers on the exit record; interview gate satisfied</t>
  </si>
  <si>
    <t>TC-ESS-128</t>
  </si>
  <si>
    <t>Mandatory question left blank</t>
  </si>
  <si>
    <t>Form-mode interview with mandatory questions</t>
  </si>
  <si>
    <t xml:space="preserve">1. Leave a mandatory question blank
2. Submit</t>
  </si>
  <si>
    <t>Form-mode interview with mandatory questions → Leave a mandatory question blank → Submit</t>
  </si>
  <si>
    <t>Validation; not submitted</t>
  </si>
  <si>
    <t>TC-ESS-129</t>
  </si>
  <si>
    <t>Submitted interview cannot be edited by the employee</t>
  </si>
  <si>
    <t>Interview submitted</t>
  </si>
  <si>
    <t>1. Reopen Exit Interview</t>
  </si>
  <si>
    <t>Interview submitted → Reopen Exit Interview</t>
  </si>
  <si>
    <t>Read-only view of answers</t>
  </si>
  <si>
    <t>TC-ESS-130</t>
  </si>
  <si>
    <t>Employee not in exit / HR-mode interview sees no form</t>
  </si>
  <si>
    <t>1. Open Exit Interview</t>
  </si>
  <si>
    <t>Logged in as an employee with access role Staff (User Level Team Member), login created via Core HR (initial password = employee code) → Open Exit Interview</t>
  </si>
  <si>
    <t>Empty state / "No exit interview assigned"</t>
  </si>
  <si>
    <t>TC-ESS-131</t>
  </si>
  <si>
    <t>Attendance page opens and renders correctly</t>
  </si>
  <si>
    <t xml:space="preserve">1. Sign in as the employee
2. Open My Workspace &gt; Attendance from the sidebar
3. Wait for the loading indicator to clear</t>
  </si>
  <si>
    <t>Logged in as an employee with access role Staff (User Level Team Member), login created via Core HR (initial password = employee code) → Sign in as the employee → Open My Workspace &gt; Attendance from the sidebar → Wait for the loading indicator to clear</t>
  </si>
  <si>
    <t>Page opens without login redirect, 404 or Blazor error; heading 'My Attendance' shown; tabs Dashboard, Requests, Calendar, History and buttons 'My Locations', 'Add Request' render</t>
  </si>
  <si>
    <t>Linear 117 Attendance — page check</t>
  </si>
  <si>
    <t>TC-ESS-132</t>
  </si>
  <si>
    <t>Attendance Dashboard shows today's status and month summary</t>
  </si>
  <si>
    <t>Logged in as an employee with access role Staff (User Level Team Member), login created via Core HR (initial password = employee code); attendance records exist</t>
  </si>
  <si>
    <t>1. Open My Workspace &gt; Attendance &gt; 'Dashboard'</t>
  </si>
  <si>
    <t>Logged in as an employee with access role Staff (User Level Team Member), login created via Core HR (initial password = employee code); attendance records exist → Open My Workspace &gt; Attendance &gt; 'Dashboard'</t>
  </si>
  <si>
    <t>Present/absent/late counts and today's punch times for the employee</t>
  </si>
  <si>
    <t>Needs attendance records from mobile/biometric punches. Module automation owned by teammates (base page checks in linear run)</t>
  </si>
  <si>
    <t>TC-ESS-133</t>
  </si>
  <si>
    <t>Calendar tab colours days by status</t>
  </si>
  <si>
    <t>1. Open Attendance &gt; 'Calendar'</t>
  </si>
  <si>
    <t>Logged in as an employee with access role Staff (User Level Team Member), login created via Core HR (initial password = employee code) → Open Attendance &gt; 'Calendar'</t>
  </si>
  <si>
    <t>Present/Absent/Leave/Holiday/Weekly-off days distinguished with a legend; approved leave days show as Leave</t>
  </si>
  <si>
    <t>TC-ESS-134</t>
  </si>
  <si>
    <t>History tab lists daily records with in/out and hours</t>
  </si>
  <si>
    <t xml:space="preserve">1. Open Attendance &gt; 'History'
2. Change month</t>
  </si>
  <si>
    <t>Logged in as an employee with access role Staff (User Level Team Member), login created via Core HR (initial password = employee code) → Open Attendance &gt; 'History' → Change month</t>
  </si>
  <si>
    <t>Daily rows with first in, last out, worked hours, status; month filter works</t>
  </si>
  <si>
    <t>TC-ESS-135</t>
  </si>
  <si>
    <t>'Add Request' raises an attendance correction</t>
  </si>
  <si>
    <t>Reason: Biometric not working</t>
  </si>
  <si>
    <t xml:space="preserve">1. Click 'Add Request'
2. choose Attendance Correction
3. fill date/time/reason
4. Submit</t>
  </si>
  <si>
    <t>Logged in as an employee with access role Staff (User Level Team Member), login created via Core HR (initial password = employee code) → Click 'Add Request' → choose Attendance Correction → fill date/time/reason → Submit</t>
  </si>
  <si>
    <t>Pending request in Attendance &gt; Requests and in My Workspace &gt; Requests</t>
  </si>
  <si>
    <t>TC-ESS-136</t>
  </si>
  <si>
    <t>Late In / Early Out request</t>
  </si>
  <si>
    <t>Reason: Hospital visit</t>
  </si>
  <si>
    <t xml:space="preserve">1. Add Request
2. Late In / Early Out
3. pick date and reason
4. Submit</t>
  </si>
  <si>
    <t>Logged in as an employee with access role Staff (User Level Team Member), login created via Core HR (initial password = employee code) → Add Request → Late In / Early Out → pick date and reason → Submit</t>
  </si>
  <si>
    <t>Pending request listed</t>
  </si>
  <si>
    <t>TC-ESS-137</t>
  </si>
  <si>
    <t>Web check-in is not available (mobile/device only)</t>
  </si>
  <si>
    <t xml:space="preserve">1. Open Attendance
2. Look for a Check In button</t>
  </si>
  <si>
    <t>Logged in as an employee with access role Staff (User Level Team Member), login created via Core HR (initial password = employee code) → Open Attendance → Look for a Check In button</t>
  </si>
  <si>
    <t>No web punch; punches come from mobile app / biometric</t>
  </si>
  <si>
    <t>Attendance check-in needs mobile/biometric device. Module automation owned by teammates (base page checks in linear run)</t>
  </si>
  <si>
    <t>TC-ESS-138</t>
  </si>
  <si>
    <t>Approved leave reflects on attendance calendar</t>
  </si>
  <si>
    <t>Employee has an approved leave day</t>
  </si>
  <si>
    <t>1. Open Attendance &gt; Calendar on that date</t>
  </si>
  <si>
    <t>Employee has an approved leave day → Open Attendance &gt; Calendar on that date</t>
  </si>
  <si>
    <t>Day shows Leave (not Absent)</t>
  </si>
  <si>
    <t>TC-ESS-139</t>
  </si>
  <si>
    <t>Employee sees only own attendance</t>
  </si>
  <si>
    <t>1. Open Attendance History</t>
  </si>
  <si>
    <t>Logged in as an employee with access role Staff (User Level Team Member), login created via Core HR (initial password = employee code) → Open Attendance History</t>
  </si>
  <si>
    <t>Only own records; no employee picker for other employees</t>
  </si>
  <si>
    <t>TC-ESS-140</t>
  </si>
  <si>
    <t>Team Lead approves a report's attendance correction</t>
  </si>
  <si>
    <t>Logged in as a Team Lead (access role Team Lead) with at least one direct report (Reports To = this Team Lead); report raised a correction</t>
  </si>
  <si>
    <t xml:space="preserve">1. Open My Workspace &gt; Approvals
2. Approve</t>
  </si>
  <si>
    <t>Logged in as a Team Lead (access role Team Lead) with at least one direct report (Reports To = this Team Lead); report raised a correction → Open My Workspace &gt; Approvals → Approve</t>
  </si>
  <si>
    <t>Correction approved; report's History updated for that date</t>
  </si>
  <si>
    <t>TC-ESS-141</t>
  </si>
  <si>
    <t>Correction for a finalized/locked period is refused</t>
  </si>
  <si>
    <t>Attendance for last month finalized and locked</t>
  </si>
  <si>
    <t>1. Add Request for a date in the locked month</t>
  </si>
  <si>
    <t>Attendance for last month finalized and locked → Add Request for a date in the locked month</t>
  </si>
  <si>
    <t>Refused with "period locked" message</t>
  </si>
  <si>
    <t>Consolidated SRS §2 — finalize + lock</t>
  </si>
  <si>
    <t>TC-ESS-142</t>
  </si>
  <si>
    <t>Shift page opens and renders correctly</t>
  </si>
  <si>
    <t xml:space="preserve">1. Sign in as the employee
2. Open My Workspace &gt; Shift from the sidebar
3. Wait for the loading indicator to clear</t>
  </si>
  <si>
    <t>Logged in as an employee with access role Staff (User Level Team Member), login created via Core HR (initial password = employee code) → Sign in as the employee → Open My Workspace &gt; Shift from the sidebar → Wait for the loading indicator to clear</t>
  </si>
  <si>
    <t>Page opens without login redirect, 404 or Blazor error; heading 'My Shift' shown; current shift / roster renders</t>
  </si>
  <si>
    <t>Linear 118 Shift — page check</t>
  </si>
  <si>
    <t>TC-ESS-143</t>
  </si>
  <si>
    <t>My shift</t>
  </si>
  <si>
    <t>Employee sees the assigned shift with timings and weekly off</t>
  </si>
  <si>
    <t>Logged in as an employee with access role Staff (User Level Team Member), login created via Core HR (initial password = employee code); shift roster assigned</t>
  </si>
  <si>
    <t>1. Open My Workspace &gt; Shift</t>
  </si>
  <si>
    <t>Logged in as an employee with access role Staff (User Level Team Member), login created via Core HR (initial password = employee code); shift roster assigned → Open My Workspace &gt; Shift</t>
  </si>
  <si>
    <t>Shift name, start/end time, grace, break and weekly offs shown for the current period</t>
  </si>
  <si>
    <t>TC-ESS-144</t>
  </si>
  <si>
    <t>Upcoming roster change is shown</t>
  </si>
  <si>
    <t>Roster changes next week</t>
  </si>
  <si>
    <t xml:space="preserve">1. Open Shift
2. navigate to next week</t>
  </si>
  <si>
    <t>Roster changes next week → Open Shift → navigate to next week</t>
  </si>
  <si>
    <t>Next week shows the new shift</t>
  </si>
  <si>
    <t>TC-ESS-145</t>
  </si>
  <si>
    <t>No shift assigned shows message</t>
  </si>
  <si>
    <t>Employee with no shift</t>
  </si>
  <si>
    <t>1. Open Shift</t>
  </si>
  <si>
    <t>Employee with no shift → Open Shift</t>
  </si>
  <si>
    <t>Message "No shift assigned" or default shift</t>
  </si>
  <si>
    <t>TC-ESS-146</t>
  </si>
  <si>
    <t>Locations page opens and renders correctly</t>
  </si>
  <si>
    <t xml:space="preserve">1. Sign in as the employee
2. Open My Workspace &gt; Locations from the sidebar
3. Wait for the loading indicator to clear</t>
  </si>
  <si>
    <t>Logged in as an employee with access role Staff (User Level Team Member), login created via Core HR (initial password = employee code) → Sign in as the employee → Open My Workspace &gt; Locations from the sidebar → Wait for the loading indicator to clear</t>
  </si>
  <si>
    <t>Page opens without login redirect, 404 or Blazor error; heading 'My Locations' shown; list/map of permitted work locations renders</t>
  </si>
  <si>
    <t>Linear 119 Locations — page check</t>
  </si>
  <si>
    <t>TC-ESS-147</t>
  </si>
  <si>
    <t>My locations</t>
  </si>
  <si>
    <t>Employee sees the geofenced locations permitted for punching</t>
  </si>
  <si>
    <t>Logged in as an employee with access role Staff (User Level Team Member), login created via Core HR (initial password = employee code); branch geofence configured</t>
  </si>
  <si>
    <t>1. Open My Workspace &gt; Locations</t>
  </si>
  <si>
    <t>Logged in as an employee with access role Staff (User Level Team Member), login created via Core HR (initial password = employee code); branch geofence configured → Open My Workspace &gt; Locations</t>
  </si>
  <si>
    <t>Location name, address/coordinates and radius listed</t>
  </si>
  <si>
    <t>TC-ESS-148</t>
  </si>
  <si>
    <t>Work Location request from Locations</t>
  </si>
  <si>
    <t>Location: Client site, Kakkanad</t>
  </si>
  <si>
    <t>1. Request an additional work location (if offered) or via Requests &gt; New Request &gt; Work Location</t>
  </si>
  <si>
    <t>Logged in as an employee with access role Staff (User Level Team Member), login created via Core HR (initial password = employee code) → Request an additional work location (if offered) or via Requests &gt; New Request &gt; Work Location</t>
  </si>
  <si>
    <t>Request Pending</t>
  </si>
  <si>
    <t>TC-ESS-149</t>
  </si>
  <si>
    <t>Locations of other branches not exposed</t>
  </si>
  <si>
    <t>1. Open Locations</t>
  </si>
  <si>
    <t>Logged in as an employee with access role Staff (User Level Team Member), login created via Core HR (initial password = employee code) → Open Locations</t>
  </si>
  <si>
    <t>Only own permitted locations listed</t>
  </si>
  <si>
    <t>TC-ESS-150</t>
  </si>
  <si>
    <t>Documents page opens and renders correctly</t>
  </si>
  <si>
    <t xml:space="preserve">1. Sign in as the employee
2. Open My Workspace &gt; Documents from the sidebar
3. Wait for the loading indicator to clear</t>
  </si>
  <si>
    <t>Logged in as an employee with access role Staff (User Level Team Member), login created via Core HR (initial password = employee code) → Sign in as the employee → Open My Workspace &gt; Documents from the sidebar → Wait for the loading indicator to clear</t>
  </si>
  <si>
    <t>Page opens without login redirect, 404 or Blazor error; heading 'My Documents' shown; summary tiles (Total, Verified, Pending Verification, Rejected, Recently Uploaded, Expiring in 30/15/7 days, Expired) and 'Upload' render</t>
  </si>
  <si>
    <t>Linear 120 Documents — page check</t>
  </si>
  <si>
    <t>TC-ESS-151</t>
  </si>
  <si>
    <t>Upload document</t>
  </si>
  <si>
    <t>Upload a document with mandatory fields</t>
  </si>
  <si>
    <t>Category: ID Proof; Type: PAN CARD; Number: ABCDE1234F; File: pan.pdf</t>
  </si>
  <si>
    <t xml:space="preserve">1. Click 'Upload'
2. Category: ID Proof
3. Document Type: PAN CARD
4. Document Number
5. File (front) PDF
6. Save</t>
  </si>
  <si>
    <t>Logged in as an employee with access role Staff (User Level Team Member), login created via Core HR (initial password = employee code) → Click 'Upload' → Category: ID Proof → Document Type: PAN CARD → Document Number → File (front) PDF → Save</t>
  </si>
  <si>
    <t>Success; document listed with status Pending verification; Total and Pending Verification tiles +1</t>
  </si>
  <si>
    <t>TC-ESS-152</t>
  </si>
  <si>
    <t>Upload with all fields incl. back side, expiry, authority, description</t>
  </si>
  <si>
    <t>Passport M1234567, expiry +5 years, front.jpg, back.jpg</t>
  </si>
  <si>
    <t xml:space="preserve">1. Upload
2. ID Proof / Passport
3. Number
4. Expiry Date
5. Issuing Authority: Passport Seva, Ministry of External Affairs
6. front + back image
7. Description
8. Save</t>
  </si>
  <si>
    <t>Logged in as an employee with access role Staff (User Level Team Member), login created via Core HR (initial password = employee code) → Upload → ID Proof / Passport → Number → Expiry Date → Issuing Authority: Passport Seva, Ministry of External Affairs → front + back image → Description → Save</t>
  </si>
  <si>
    <t>Saved with all values; both sides viewable</t>
  </si>
  <si>
    <t>TC-ESS-153</t>
  </si>
  <si>
    <t>Category missing</t>
  </si>
  <si>
    <t xml:space="preserve">1. Upload
2. leave 'Category *' as Choose
3. Save</t>
  </si>
  <si>
    <t>Logged in as an employee with access role Staff (User Level Team Member), login created via Core HR (initial password = employee code) → Upload → leave 'Category *' as Choose → Save</t>
  </si>
  <si>
    <t>Validation on Category</t>
  </si>
  <si>
    <t>TC-ESS-154</t>
  </si>
  <si>
    <t>Document Type missing / depends on Category</t>
  </si>
  <si>
    <t xml:space="preserve">1. Upload
2. pick Category
3. leave 'Document Type *' as Choose
4. Save</t>
  </si>
  <si>
    <t>Logged in as an employee with access role Staff (User Level Team Member), login created via Core HR (initial password = employee code) → Upload → pick Category → leave 'Document Type *' as Choose → Save</t>
  </si>
  <si>
    <t>Validation on Document Type; Document Type list is filtered by the chosen Category (empty until Category picked)</t>
  </si>
  <si>
    <t>TC-ESS-155</t>
  </si>
  <si>
    <t>File missing</t>
  </si>
  <si>
    <t xml:space="preserve">1. Upload
2. Category + Type
3. no file in 'File (front)'
4. Save</t>
  </si>
  <si>
    <t>Logged in as an employee with access role Staff (User Level Team Member), login created via Core HR (initial password = employee code) → Upload → Category + Type → no file in 'File (front)' → Save</t>
  </si>
  <si>
    <t>Validation on File; nothing saved</t>
  </si>
  <si>
    <t>TC-ESS-156</t>
  </si>
  <si>
    <t>Disallowed file type rejected</t>
  </si>
  <si>
    <t>malware_test.exe</t>
  </si>
  <si>
    <t xml:space="preserve">1. Upload
2. attach .exe / .bat / .js file
3. Save</t>
  </si>
  <si>
    <t>Logged in as an employee with access role Staff (User Level Team Member), login created via Core HR (initial password = employee code) → Upload → attach .exe / .bat / .js file → Save</t>
  </si>
  <si>
    <t>Rejected — only PDF / image / office doc allowed</t>
  </si>
  <si>
    <t>Form label: 'File (front) — PDF / image / office doc'</t>
  </si>
  <si>
    <t>TC-ESS-157</t>
  </si>
  <si>
    <t>Oversized file rejected</t>
  </si>
  <si>
    <t>25 MB PDF</t>
  </si>
  <si>
    <t xml:space="preserve">1. Upload
2. attach a 25 MB PDF
3. Save</t>
  </si>
  <si>
    <t>Logged in as an employee with access role Staff (User Level Team Member), login created via Core HR (initial password = employee code) → Upload → attach a 25 MB PDF → Save</t>
  </si>
  <si>
    <t>Size-limit message; nothing saved</t>
  </si>
  <si>
    <t>TC-ESS-158</t>
  </si>
  <si>
    <t>Renamed executable (fake .pdf extension)</t>
  </si>
  <si>
    <t>fake.pdf (PE binary)</t>
  </si>
  <si>
    <t xml:space="preserve">1. Rename an .exe to .pdf
2. Upload</t>
  </si>
  <si>
    <t>Logged in as an employee with access role Staff (User Level Team Member), login created via Core HR (initial password = employee code) → Rename an .exe to .pdf → Upload</t>
  </si>
  <si>
    <t>Rejected by content check, or stored and never executed/served inline as executable</t>
  </si>
  <si>
    <t>TC-ESS-159</t>
  </si>
  <si>
    <t>'This document has no expiry' disables Expiry Date</t>
  </si>
  <si>
    <t xml:space="preserve">1. Upload
2. tick 'This document has no expiry'</t>
  </si>
  <si>
    <t>Logged in as an employee with access role Staff (User Level Team Member), login created via Core HR (initial password = employee code) → Upload → tick 'This document has no expiry'</t>
  </si>
  <si>
    <t>Expiry Date disabled/cleared; document never counts in Expiring tiles</t>
  </si>
  <si>
    <t>TC-ESS-160</t>
  </si>
  <si>
    <t>Expiry date in the past</t>
  </si>
  <si>
    <t>1. Upload with Expiry Date = yesterday</t>
  </si>
  <si>
    <t>Logged in as an employee with access role Staff (User Level Team Member), login created via Core HR (initial password = employee code) → Upload with Expiry Date = yesterday</t>
  </si>
  <si>
    <t>Refused, or saved and counted in Expired tile with warning</t>
  </si>
  <si>
    <t>TC-ESS-161</t>
  </si>
  <si>
    <t>Document Number disabled until type chosen / format per type</t>
  </si>
  <si>
    <t>PAN: 12345</t>
  </si>
  <si>
    <t xml:space="preserve">1. Open Upload
2. observe Document Number
3. choose PAN CARD and enter 12345</t>
  </si>
  <si>
    <t>Logged in as an employee with access role Staff (User Level Team Member), login created via Core HR (initial password = employee code) → Open Upload → observe Document Number → choose PAN CARD and enter 12345</t>
  </si>
  <si>
    <t>Number disabled until type chosen; invalid PAN format flagged (if format validation configured)</t>
  </si>
  <si>
    <t>TC-ESS-162</t>
  </si>
  <si>
    <t>Expiry tiles</t>
  </si>
  <si>
    <t>Expiring in 30/15/7 days tiles count correctly</t>
  </si>
  <si>
    <t>Documents with expiry in 5, 12, 25 days</t>
  </si>
  <si>
    <t xml:space="preserve">1. Open Documents
2. Read tiles
3. click each tile</t>
  </si>
  <si>
    <t>Documents with expiry in 5, 12, 25 days → Open Documents → Read tiles → click each tile</t>
  </si>
  <si>
    <t>7-day=1, 15-day=2, 30-day=3 (cumulative per design); clicking filters the list</t>
  </si>
  <si>
    <t>TC-ESS-163</t>
  </si>
  <si>
    <t>List &amp; filter</t>
  </si>
  <si>
    <t>Search, type and verification filters; Clear</t>
  </si>
  <si>
    <t>Logged in as an employee with access role Staff (User Level Team Member), login created via Core HR (initial password = employee code); several documents</t>
  </si>
  <si>
    <t>Search: PAN</t>
  </si>
  <si>
    <t xml:space="preserve">1. Type in 'Search name, number or authority'
2. choose type 'Aadhar card'
3. choose 'Verified'
4. click 'Clear'</t>
  </si>
  <si>
    <t>Logged in as an employee with access role Staff (User Level Team Member), login created via Core HR (initial password = employee code); several documents → Type in 'Search name, number or authority' → choose type 'Aadhar card' → choose 'Verified' → click 'Clear'</t>
  </si>
  <si>
    <t>Filters narrow the list correctly; Clear resets all</t>
  </si>
  <si>
    <t>TC-ESS-164</t>
  </si>
  <si>
    <t>Versioning</t>
  </si>
  <si>
    <t>Re-upload creates a new version; 'Show previous versions' shows history</t>
  </si>
  <si>
    <t>An uploaded PAN CARD exists</t>
  </si>
  <si>
    <t xml:space="preserve">1. Upload PAN CARD again
2. tick 'Show previous versions'</t>
  </si>
  <si>
    <t>An uploaded PAN CARD exists → Upload PAN CARD again → tick 'Show previous versions'</t>
  </si>
  <si>
    <t>Latest version current; older versions listed when checkbox ticked</t>
  </si>
  <si>
    <t>TC-ESS-165</t>
  </si>
  <si>
    <t>Verification</t>
  </si>
  <si>
    <t>HR verifies / rejects the uploaded document — status reflects in ESS</t>
  </si>
  <si>
    <t>Logged in as HRMS admin amit (Amit Kumar Shaji, role HRMS / Administrator); employee uploaded a document</t>
  </si>
  <si>
    <t xml:space="preserve">1. As admin verify one document and reject another with reason in Core HR / Document Compliance
2. As employee reload Documents</t>
  </si>
  <si>
    <t>Logged in as HRMS admin amit (Amit Kumar Shaji, role HRMS / Administrator); employee uploaded a document → As admin verify one document and reject another with reason in Core HR / Document Compliance → As employee reload Documents</t>
  </si>
  <si>
    <t>Verified and Rejected tiles update; rejected reason visible</t>
  </si>
  <si>
    <t>TC-ESS-166</t>
  </si>
  <si>
    <t>'Reports' opens own document reports</t>
  </si>
  <si>
    <t>1. Click 'Reports'</t>
  </si>
  <si>
    <t>Logged in as an employee with access role Staff (User Level Team Member), login created via Core HR (initial password = employee code) → Click 'Reports'</t>
  </si>
  <si>
    <t>Report shows only the employee's own documents</t>
  </si>
  <si>
    <t>TC-ESS-167</t>
  </si>
  <si>
    <t>Employee cannot download another employee's document by URL</t>
  </si>
  <si>
    <t xml:space="preserve">1. Obtain a document file URL of another employee (as admin)
2. Open it as Staff</t>
  </si>
  <si>
    <t>Logged in as an employee with access role Staff (User Level Team Member), login created via Core HR (initial password = employee code) → Obtain a document file URL of another employee (as admin) → Open it as Staff</t>
  </si>
  <si>
    <t>Access denied/404; file not served</t>
  </si>
  <si>
    <t>TC-ESS-168</t>
  </si>
  <si>
    <t>Delete a Pending document with confirmation</t>
  </si>
  <si>
    <t>Logged in as an employee with access role Staff (User Level Team Member), login created via Core HR (initial password = employee code); a Pending-verification document</t>
  </si>
  <si>
    <t xml:space="preserve">1. Click delete on the row
2. Cancel
3. Delete again
4. Confirm</t>
  </si>
  <si>
    <t>Logged in as an employee with access role Staff (User Level Team Member), login created via Core HR (initial password = employee code); a Pending-verification document → Click delete on the row → Cancel → Delete again → Confirm</t>
  </si>
  <si>
    <t>Cancel keeps it; confirm removes it (soft delete) and tiles decrement; verified documents cannot be deleted by the employee</t>
  </si>
  <si>
    <t>TC-ESS-169</t>
  </si>
  <si>
    <t>Letters page opens and renders correctly</t>
  </si>
  <si>
    <t xml:space="preserve">1. Sign in as the employee
2. Open My Workspace &gt; Letters from the sidebar
3. Wait for the loading indicator to clear</t>
  </si>
  <si>
    <t>Logged in as an employee with access role Staff (User Level Team Member), login created via Core HR (initial password = employee code) → Sign in as the employee → Open My Workspace &gt; Letters from the sidebar → Wait for the loading indicator to clear</t>
  </si>
  <si>
    <t>Page opens without login redirect, 404 or Blazor error; heading 'My Letters' shown; letters list or empty state renders</t>
  </si>
  <si>
    <t>Linear 121 Letters — page check</t>
  </si>
  <si>
    <t>TC-ESS-170</t>
  </si>
  <si>
    <t>My letters</t>
  </si>
  <si>
    <t>Letter generated by HR appears in My Letters</t>
  </si>
  <si>
    <t>HR generated a letter for the employee (Core HR &gt; Generate Letter)</t>
  </si>
  <si>
    <t xml:space="preserve">1. Sign in as the employee
2. Open My Workspace &gt; Letters</t>
  </si>
  <si>
    <t>HR generated a letter for the employee (Core HR &gt; Generate Letter) → Sign in as the employee → Open My Workspace &gt; Letters</t>
  </si>
  <si>
    <t>Letter listed with type, date, issued by; opens with merged employee details and letterhead</t>
  </si>
  <si>
    <t>Linear 007 Generate Letter — generateLetter (HR side)</t>
  </si>
  <si>
    <t>Consolidated SRS §4</t>
  </si>
  <si>
    <t>TC-ESS-171</t>
  </si>
  <si>
    <t>View / print a letter</t>
  </si>
  <si>
    <t>At least one letter issued</t>
  </si>
  <si>
    <t xml:space="preserve">1. Open the letter
2. Print / save as PDF from browser</t>
  </si>
  <si>
    <t>At least one letter issued → Open the letter → Print / save as PDF from browser</t>
  </si>
  <si>
    <t>Letter renders as HTML with all tokens resolved; prints cleanly</t>
  </si>
  <si>
    <t>Consolidated SRS §4 — stored as HTML, user prints/saves as PDF</t>
  </si>
  <si>
    <t>TC-ESS-172</t>
  </si>
  <si>
    <t>Acknowledge</t>
  </si>
  <si>
    <t>Acknowledge a letter once</t>
  </si>
  <si>
    <t>Unacknowledged letter</t>
  </si>
  <si>
    <t xml:space="preserve">1. Open letter
2. Click Acknowledge
3. Confirm</t>
  </si>
  <si>
    <t>Unacknowledged letter → Open letter → Click Acknowledge → Confirm</t>
  </si>
  <si>
    <t>Status Acknowledged with date/time; Acknowledge button no longer available</t>
  </si>
  <si>
    <t>Consolidated SRS §4 — acknowledged exactly once</t>
  </si>
  <si>
    <t>TC-ESS-173</t>
  </si>
  <si>
    <t>Second acknowledgement not possible</t>
  </si>
  <si>
    <t>Letter already acknowledged</t>
  </si>
  <si>
    <t>1. Reopen letter</t>
  </si>
  <si>
    <t>Letter already acknowledged → Reopen letter</t>
  </si>
  <si>
    <t>No Acknowledge action; acknowledgement timestamp unchanged</t>
  </si>
  <si>
    <t>TC-ESS-174</t>
  </si>
  <si>
    <t>Self-request</t>
  </si>
  <si>
    <t>Self-request an Experience / Address Proof / NOC / Service Certificate letter</t>
  </si>
  <si>
    <t>Logged in as an employee with access role Staff (User Level Team Member), login created via Core HR (initial password = employee code); templates for these types active</t>
  </si>
  <si>
    <t xml:space="preserve">1. Open Letters
2. Request letter
3. choose Address Proof
4. Submit</t>
  </si>
  <si>
    <t>Logged in as an employee with access role Staff (User Level Team Member), login created via Core HR (initial password = employee code); templates for these types active → Open Letters → Request letter → choose Address Proof → Submit</t>
  </si>
  <si>
    <t>Letter generated without approval and listed immediately</t>
  </si>
  <si>
    <t>Consolidated SRS §4 — self-request limited to 4 types, no approval</t>
  </si>
  <si>
    <t>TC-ESS-175</t>
  </si>
  <si>
    <t>Other letter types cannot be self-requested</t>
  </si>
  <si>
    <t>1. Open the self-request type list</t>
  </si>
  <si>
    <t>Logged in as an employee with access role Staff (User Level Team Member), login created via Core HR (initial password = employee code) → Open the self-request type list</t>
  </si>
  <si>
    <t>Only Experience, Address Proof, NOC, Service Certificate offered (no Offer/Appointment/Relieving/Increment)</t>
  </si>
  <si>
    <t>TC-ESS-176</t>
  </si>
  <si>
    <t>Self-request when no active template exists</t>
  </si>
  <si>
    <t>No active NOC template</t>
  </si>
  <si>
    <t>1. Request NOC</t>
  </si>
  <si>
    <t>No active NOC template → Request NOC</t>
  </si>
  <si>
    <t>Clear message that the letter type is unavailable; no blank letter</t>
  </si>
  <si>
    <t>TC-ESS-177</t>
  </si>
  <si>
    <t>Employee cannot open another employee's letter by URL</t>
  </si>
  <si>
    <t>1. Open another employee's letter URL (GUID)</t>
  </si>
  <si>
    <t>Logged in as an employee with access role Staff (User Level Team Member), login created via Core HR (initial password = employee code) → Open another employee's letter URL (GUID)</t>
  </si>
  <si>
    <t>TC-ESS-178</t>
  </si>
  <si>
    <t>Token rendering</t>
  </si>
  <si>
    <t>Unknown token renders blank, not raw {{Token}}</t>
  </si>
  <si>
    <t>Template contains an unknown token</t>
  </si>
  <si>
    <t>1. Open the letter in ESS</t>
  </si>
  <si>
    <t>Template contains an unknown token → Open the letter in ESS</t>
  </si>
  <si>
    <t>Unknown token blank; rest of letter fine</t>
  </si>
  <si>
    <t>Known issue RX-04: Relieving letter showed unfilled [tokens]</t>
  </si>
  <si>
    <t>Consolidated SRS §4 — unknown token resolves blank</t>
  </si>
  <si>
    <t>TC-ESS-179</t>
  </si>
  <si>
    <t>Pay page opens and renders correctly</t>
  </si>
  <si>
    <t xml:space="preserve">1. Sign in as the employee
2. Open My Workspace &gt; Pay from the sidebar
3. Wait for the loading indicator to clear</t>
  </si>
  <si>
    <t>Logged in as an employee with access role Staff (User Level Team Member), login created via Core HR (initial password = employee code) → Sign in as the employee → Open My Workspace &gt; Pay from the sidebar → Wait for the loading indicator to clear</t>
  </si>
  <si>
    <t>Page opens without login redirect, 404 or Blazor error; heading 'My Payslips' shown; payslip list by month / empty state renders</t>
  </si>
  <si>
    <t>Linear 122 Pay — page check</t>
  </si>
  <si>
    <t>TC-ESS-180</t>
  </si>
  <si>
    <t>Employee sees payslips of finalised payroll months</t>
  </si>
  <si>
    <t>Payroll finalised for last month for this employee</t>
  </si>
  <si>
    <t>1. Open My Workspace &gt; Pay</t>
  </si>
  <si>
    <t>Payroll finalised for last month for this employee → Open My Workspace &gt; Pay</t>
  </si>
  <si>
    <t>Month listed with gross, deductions and net pay</t>
  </si>
  <si>
    <t>TC-ESS-181</t>
  </si>
  <si>
    <t>Download payslip</t>
  </si>
  <si>
    <t>A finalised payslip exists</t>
  </si>
  <si>
    <t>1. Click download/view on the month</t>
  </si>
  <si>
    <t>A finalised payslip exists → Click download/view on the month</t>
  </si>
  <si>
    <t>Payslip opens/downloads with company, employee, earnings, deductions, LOP days, net pay in INR (₹, Indian digit grouping)</t>
  </si>
  <si>
    <t>TC-ESS-182</t>
  </si>
  <si>
    <t>Unfinalised (draft) payroll month not shown</t>
  </si>
  <si>
    <t>Current month payroll in draft</t>
  </si>
  <si>
    <t>1. Open Pay</t>
  </si>
  <si>
    <t>Current month payroll in draft → Open Pay</t>
  </si>
  <si>
    <t>Draft month not visible to employee</t>
  </si>
  <si>
    <t>TC-ESS-183</t>
  </si>
  <si>
    <t>LOP days on payslip match approved unpaid leave / absence</t>
  </si>
  <si>
    <t>Employee had 1 LOP day in the month</t>
  </si>
  <si>
    <t>1. Open payslip for that month</t>
  </si>
  <si>
    <t>Employee had 1 LOP day in the month → Open payslip for that month</t>
  </si>
  <si>
    <t>LOP 1 day and the matching deduction shown</t>
  </si>
  <si>
    <t>TC-ESS-184</t>
  </si>
  <si>
    <t>Salary history / revision visible to employee</t>
  </si>
  <si>
    <t>Salary revision applied</t>
  </si>
  <si>
    <t>1. Open Pay (salary history section)</t>
  </si>
  <si>
    <t>Salary revision applied → Open Pay (salary history section)</t>
  </si>
  <si>
    <t>ESS salary history lists the revision with effective date</t>
  </si>
  <si>
    <t>Consolidated SRS §5 — ESS salary history</t>
  </si>
  <si>
    <t>TC-ESS-185</t>
  </si>
  <si>
    <t>Payslip of another employee not accessible by URL/parameter tampering</t>
  </si>
  <si>
    <t xml:space="preserve">1. Open own payslip
2. change the id/GUID in the URL/request to another employee's</t>
  </si>
  <si>
    <t>Logged in as an employee with access role Staff (User Level Team Member), login created via Core HR (initial password = employee code) → Open own payslip → change the id/GUID in the URL/request to another employee's</t>
  </si>
  <si>
    <t>Access denied; no salary data leaked</t>
  </si>
  <si>
    <t>TC-ESS-186</t>
  </si>
  <si>
    <t>New joiner with no payroll sees empty state</t>
  </si>
  <si>
    <t>Brand-new employee</t>
  </si>
  <si>
    <t>Brand-new employee → Open Pay</t>
  </si>
  <si>
    <t>Empty state, no error</t>
  </si>
  <si>
    <t>TC-ESS-187</t>
  </si>
  <si>
    <t>Tax page opens and renders correctly</t>
  </si>
  <si>
    <t xml:space="preserve">1. Sign in as the employee
2. Open My Workspace &gt; Tax from the sidebar
3. Wait for the loading indicator to clear</t>
  </si>
  <si>
    <t>Logged in as an employee with access role Staff (User Level Team Member), login created via Core HR (initial password = employee code) → Sign in as the employee → Open My Workspace &gt; Tax from the sidebar → Wait for the loading indicator to clear</t>
  </si>
  <si>
    <t>Page opens without login redirect, 404 or Blazor error; heading 'My Tax' shown; tax regime / declaration sections render</t>
  </si>
  <si>
    <t>Linear 123 Tax — page check</t>
  </si>
  <si>
    <t>TC-ESS-188</t>
  </si>
  <si>
    <t>Tax declaration</t>
  </si>
  <si>
    <t>Choose tax regime for the financial year</t>
  </si>
  <si>
    <t>FY 2026-2027; Regime: Old</t>
  </si>
  <si>
    <t xml:space="preserve">1. Open My Workspace &gt; Tax
2. Pick New / Old regime
3. Save</t>
  </si>
  <si>
    <t>Logged in as an employee with access role Staff (User Level Team Member), login created via Core HR (initial password = employee code) → Open My Workspace &gt; Tax → Pick New / Old regime → Save</t>
  </si>
  <si>
    <t>Regime saved; projections recalculate</t>
  </si>
  <si>
    <t>TC-ESS-189</t>
  </si>
  <si>
    <t>Declare investments (80C, HRA rent, 80D) and save</t>
  </si>
  <si>
    <t>80C: 150000; 80D: 25000; Rent: 15000</t>
  </si>
  <si>
    <t xml:space="preserve">1. Enter 80C 150000, 80D 25000, monthly rent 15000
2. Save</t>
  </si>
  <si>
    <t>Logged in as an employee with access role Staff (User Level Team Member), login created via Core HR (initial password = employee code) → Enter 80C 150000, 80D 25000, monthly rent 15000 → Save</t>
  </si>
  <si>
    <t>Saved; taxable income projection reduced accordingly</t>
  </si>
  <si>
    <t>TC-ESS-190</t>
  </si>
  <si>
    <t>Amount above statutory cap (80C &gt; 1,50,000)</t>
  </si>
  <si>
    <t>80C: 200000</t>
  </si>
  <si>
    <t xml:space="preserve">1. Enter 80C 200000
2. Save</t>
  </si>
  <si>
    <t>Logged in as an employee with access role Staff (User Level Team Member), login created via Core HR (initial password = employee code) → Enter 80C 200000 → Save</t>
  </si>
  <si>
    <t>TC-ESS-191</t>
  </si>
  <si>
    <t>Negative / non-numeric amounts</t>
  </si>
  <si>
    <t>-500; abc</t>
  </si>
  <si>
    <t xml:space="preserve">1. Enter -500 and abc
2. Save</t>
  </si>
  <si>
    <t>Logged in as an employee with access role Staff (User Level Team Member), login created via Core HR (initial password = employee code) → Enter -500 and abc → Save</t>
  </si>
  <si>
    <t>TC-ESS-192</t>
  </si>
  <si>
    <t>Upload proofs for declarations</t>
  </si>
  <si>
    <t>rent.pdf</t>
  </si>
  <si>
    <t xml:space="preserve">1. Attach rent receipts PDF
2. Save</t>
  </si>
  <si>
    <t>Logged in as an employee with access role Staff (User Level Team Member), login created via Core HR (initial password = employee code) → Attach rent receipts PDF → Save</t>
  </si>
  <si>
    <t>Proof stored, status pending verification</t>
  </si>
  <si>
    <t>TC-ESS-193</t>
  </si>
  <si>
    <t>Declaration locked after window closes</t>
  </si>
  <si>
    <t>Declaration window closed by payroll admin</t>
  </si>
  <si>
    <t>1. Open Tax</t>
  </si>
  <si>
    <t>Declaration window closed by payroll admin → Open Tax</t>
  </si>
  <si>
    <t>Fields read-only with message</t>
  </si>
  <si>
    <t>TC-ESS-194</t>
  </si>
  <si>
    <t xml:space="preserve">1. Sign in as the employee
2. Open My Workspace &gt; Previous Employer (12B) from the sidebar
3. Wait for the loading indicator to clear</t>
  </si>
  <si>
    <t>Logged in as an employee with access role Staff (User Level Team Member), login created via Core HR (initial password = employee code) → Sign in as the employee → Open My Workspace &gt; Previous Employer (12B) from the sidebar → Wait for the loading indicator to clear</t>
  </si>
  <si>
    <t>Page opens without login redirect, 404 or Blazor error; heading 'Previous Employer (Form 12B)' shown; 'Financial Year :' selector (2026-2027, 2025-2026) renders</t>
  </si>
  <si>
    <t>Linear 124 Previous Employer (12B) — page check</t>
  </si>
  <si>
    <t>TC-ESS-195</t>
  </si>
  <si>
    <t>Form 12B</t>
  </si>
  <si>
    <t>Enter previous employer income and TDS for the FY</t>
  </si>
  <si>
    <t>Employer: Infosys Ltd; TAN: BLRI12345C; Gross: 450000; TDS: 22000</t>
  </si>
  <si>
    <t xml:space="preserve">1. Select FY 2026-2027
2. Enter employer name, TAN, period, gross salary, TDS deducted
3. Save</t>
  </si>
  <si>
    <t>Employee joined mid-year → Select FY 2026-2027 → Enter employer name, TAN, period, gross salary, TDS deducted → Save</t>
  </si>
  <si>
    <t>Saved; included in tax computation for the FY</t>
  </si>
  <si>
    <t>TC-ESS-196</t>
  </si>
  <si>
    <t>Switch financial year shows that year's data</t>
  </si>
  <si>
    <t>Data saved for 2025-2026</t>
  </si>
  <si>
    <t>1. Change 'Financial Year :' to 2025-2026</t>
  </si>
  <si>
    <t>Data saved for 2025-2026 → Change 'Financial Year :' to 2025-2026</t>
  </si>
  <si>
    <t>Data for that FY shown; 2026-2027 data unaffected</t>
  </si>
  <si>
    <t>TC-ESS-197</t>
  </si>
  <si>
    <t>TDS greater than gross salary</t>
  </si>
  <si>
    <t xml:space="preserve">1. Gross 100000, TDS 200000
2. Save</t>
  </si>
  <si>
    <t>Logged in as an employee with access role Staff (User Level Team Member), login created via Core HR (initial password = employee code) → Gross 100000, TDS 200000 → Save</t>
  </si>
  <si>
    <t>TC-ESS-198</t>
  </si>
  <si>
    <t>Invalid TAN format / mandatory fields empty</t>
  </si>
  <si>
    <t>TAN: 1234</t>
  </si>
  <si>
    <t xml:space="preserve">1. TAN: 1234
2. leave employer name empty
3. Save</t>
  </si>
  <si>
    <t>Logged in as an employee with access role Staff (User Level Team Member), login created via Core HR (initial password = employee code) → TAN: 1234 → leave employer name empty → Save</t>
  </si>
  <si>
    <t>Validation on TAN and employer name</t>
  </si>
  <si>
    <t>TC-ESS-199</t>
  </si>
  <si>
    <t>Period outside the selected financial year</t>
  </si>
  <si>
    <t xml:space="preserve">1. FY 2026-2027, period from 01-01-2025
2. Save</t>
  </si>
  <si>
    <t>Logged in as an employee with access role Staff (User Level Team Member), login created via Core HR (initial password = employee code) → FY 2026-2027, period from 01-01-2025 → Save</t>
  </si>
  <si>
    <t>Validation: period must fall in the FY</t>
  </si>
  <si>
    <t>TC-ESS-200</t>
  </si>
  <si>
    <t>Probation page opens and renders correctly</t>
  </si>
  <si>
    <t xml:space="preserve">1. Sign in as the employee
2. Open My Workspace &gt; Probation from the sidebar
3. Wait for the loading indicator to clear</t>
  </si>
  <si>
    <t>Logged in as an employee with access role Staff (User Level Team Member), login created via Core HR (initial password = employee code) → Sign in as the employee → Open My Workspace &gt; Probation from the sidebar → Wait for the loading indicator to clear</t>
  </si>
  <si>
    <t>Page opens without login redirect, 404 or Blazor error; heading 'My Probation' shown; probation status or empty state renders</t>
  </si>
  <si>
    <t>Linear 125 Probation — page check</t>
  </si>
  <si>
    <t>TC-ESS-201</t>
  </si>
  <si>
    <t>Employee on probation sees start, end date and status</t>
  </si>
  <si>
    <t>Employee within probation</t>
  </si>
  <si>
    <t>1. Open My Workspace &gt; Probation</t>
  </si>
  <si>
    <t>Employee within probation → Open My Workspace &gt; Probation</t>
  </si>
  <si>
    <t>Probation start, scheduled end/confirmation date, status In Probation; reviews listed</t>
  </si>
  <si>
    <t>TC-ESS-202</t>
  </si>
  <si>
    <t>Confirmed employee sees Confirmed status</t>
  </si>
  <si>
    <t>Employee confirmed by HR</t>
  </si>
  <si>
    <t>1. Open Probation</t>
  </si>
  <si>
    <t>Employee confirmed by HR → Open Probation</t>
  </si>
  <si>
    <t>Status Confirmed with confirmation date; matches Core HR Probation tab and Lifecycle event "Confirmed"</t>
  </si>
  <si>
    <t>TC-ESS-203</t>
  </si>
  <si>
    <t>Extended probation shows new end date</t>
  </si>
  <si>
    <t>HR extended probation</t>
  </si>
  <si>
    <t>HR extended probation → Open Probation</t>
  </si>
  <si>
    <t>Extended end date and reason shown</t>
  </si>
  <si>
    <t>TC-ESS-204</t>
  </si>
  <si>
    <t>Team Lead sees probation reviews due for reports (if supported)</t>
  </si>
  <si>
    <t>1. Open Probation as Team Lead</t>
  </si>
  <si>
    <t>Logged in as a Team Lead (access role Team Lead) with at least one direct report (Reports To = this Team Lead) → Open Probation as Team Lead</t>
  </si>
  <si>
    <t>Own probation info; reports' reviews only if Team Lead is reviewer</t>
  </si>
  <si>
    <t>TC-ESS-205</t>
  </si>
  <si>
    <t>Staff cannot open HR admin routes by direct URL</t>
  </si>
  <si>
    <t>1. Open /employees, /payroll-processing, /leave-types, /approval/config, /access-role/27, /resignations directly</t>
  </si>
  <si>
    <t>Logged in as an employee with access role Staff (User Level Team Member), login created via Core HR (initial password = employee code) → Open /employees, /payroll-processing, /leave-types, /approval/config, /access-role/27, /resignations directly</t>
  </si>
  <si>
    <t>Each shows access-denied / redirect; no admin data rendered</t>
  </si>
  <si>
    <t>Consolidated SRS §0 — every screen and endpoint gated by permission</t>
  </si>
  <si>
    <t>TC-ESS-206</t>
  </si>
  <si>
    <t>ESS API calls scoped to the token's employee</t>
  </si>
  <si>
    <t xml:space="preserve">1. Open DevTools Network
2. Load ESS pages
3. Replay an ESS API call changing the employee id/GUID parameter</t>
  </si>
  <si>
    <t>Logged in as an employee with access role Staff (User Level Team Member), login created via Core HR (initial password = employee code) → Open DevTools Network → Load ESS pages → Replay an ESS API call changing the employee id/GUID parameter</t>
  </si>
  <si>
    <t>Server returns 403/empty or own data only — never the other employee</t>
  </si>
  <si>
    <t>Consolidated SRS §0 — tenant from token, row-level scope</t>
  </si>
  <si>
    <t>TC-ESS-207</t>
  </si>
  <si>
    <t>Team Lead sees team data only where ESS offers a team view</t>
  </si>
  <si>
    <t>1. Compare Directory, Team Calendar and Approvals content with a Staff user</t>
  </si>
  <si>
    <t>Logged in as a Team Lead (access role Team Lead) with at least one direct report (Reports To = this Team Lead) → Compare Directory, Team Calendar and Approvals content with a Staff user</t>
  </si>
  <si>
    <t>Team Lead extra visibility limited to own reports; payslips, documents, tax of reports never visible</t>
  </si>
  <si>
    <t>TC-ESS-208</t>
  </si>
  <si>
    <t>New employee first login with employee code as password</t>
  </si>
  <si>
    <t>Employee created via Core HR with Login Username and Can Login ticked</t>
  </si>
  <si>
    <t>Username: as set; Password: employee code</t>
  </si>
  <si>
    <t xml:space="preserve">1. Open login page
2. company code pbhrms
3. username
4. password = employee code
5. Sign in</t>
  </si>
  <si>
    <t>Employee created via Core HR with Login Username and Can Login ticked → Open login page → company code pbhrms → username → password = employee code → Sign in</t>
  </si>
  <si>
    <t>Login succeeds and lands on ESS; employee prompted / able to change password via forgot-password flow</t>
  </si>
  <si>
    <t>Linear 056 Leave Approval — employeeAppliesManagerApproves (employee login)</t>
  </si>
  <si>
    <t>Core HR SRS — initial password = Employee Code</t>
  </si>
  <si>
    <t>TC-ESS-209</t>
  </si>
  <si>
    <t>Employee created with Can Login unchecked</t>
  </si>
  <si>
    <t>1. Try to sign in with username / employee code</t>
  </si>
  <si>
    <t>Employee created with Can Login unchecked → Try to sign in with username / employee code</t>
  </si>
  <si>
    <t>Login refused with a message</t>
  </si>
  <si>
    <t>TC-HD-001</t>
  </si>
  <si>
    <t>My Support Tickets page opens</t>
  </si>
  <si>
    <t xml:space="preserve">1. Open Helpdesk &gt; Support Tickets
2. Wait for loading to clear
3. Inspect the page</t>
  </si>
  <si>
    <t>Logged in as HRMS admin (amit) → Open Helpdesk &gt; Support Tickets → Wait for loading to clear → Inspect the page</t>
  </si>
  <si>
    <t>Heading 'My Support Tickets'; 'New Ticket' button; table of own tickets with ticket no., subject, category, priority, status, date and 'View'; Previous/Next paging</t>
  </si>
  <si>
    <t>Linear 126 Support Tickets — page check</t>
  </si>
  <si>
    <t>TC-HD-002</t>
  </si>
  <si>
    <t>Raise ticket</t>
  </si>
  <si>
    <t>Raise a ticket with all mandatory fields</t>
  </si>
  <si>
    <t>Subject: Unable to connect to office VPN from home (Auto …); Description: VPN client shows "Connection timed out"…</t>
  </si>
  <si>
    <t xml:space="preserve">1. Click 'New Ticket'
2. Enter Subject
3. Enter Description
4. Select Category (first available)
5. Select Priority = Medium
6. Click Submit</t>
  </si>
  <si>
    <t>Logged in as HRMS admin (amit) → Click 'New Ticket' → Enter Subject → Enter Description → Select Category (first available) → Select Priority = Medium → Click Submit</t>
  </si>
  <si>
    <t>Success message; ticket listed on My Support Tickets with code TKT-YYYYMM-NNN, status New, priority Medium</t>
  </si>
  <si>
    <t>Linear 126 Support Tickets — raiseTicket</t>
  </si>
  <si>
    <t>Also covered by module spec tests/08_helpdesk/helpdesk_workflow.spec.js H1</t>
  </si>
  <si>
    <t>TC-HD-003</t>
  </si>
  <si>
    <t>New Ticket form opens at /ess/helpdesk/create with all fields</t>
  </si>
  <si>
    <t xml:space="preserve">1. Open Support Tickets
2. Click 'New Ticket'
3. Inspect the form</t>
  </si>
  <si>
    <t>Logged in as HRMS admin (amit) → Open Support Tickets → Click 'New Ticket' → Inspect the form</t>
  </si>
  <si>
    <t>Fields Subject *, Description *, Category * ("-- Select Category --"), Priority * (Low/Medium/High) with required markers; Submit and Cancel/Back</t>
  </si>
  <si>
    <t>/ess/helpdesk/create</t>
  </si>
  <si>
    <t>TC-HD-004</t>
  </si>
  <si>
    <t>Category options load asynchronously</t>
  </si>
  <si>
    <t xml:space="preserve">1. Click 'New Ticket'
2. Open the Category dropdown immediately
3. Re-open after 2 s</t>
  </si>
  <si>
    <t>Logged in as HRMS admin (amit) → Click 'New Ticket' → Open the Category dropdown immediately → Re-open after 2 s</t>
  </si>
  <si>
    <t>Categories appear once loaded; Submit not possible with only "-- Select Category --"</t>
  </si>
  <si>
    <t>TC-HD-005</t>
  </si>
  <si>
    <t>Raise a ticket with each priority Low / Medium / High</t>
  </si>
  <si>
    <t xml:space="preserve">1. Raise three tickets with priority Low, Medium and High
2. Open My Support Tickets
3. Compare the priority column</t>
  </si>
  <si>
    <t>Logged in as HRMS admin (amit) → Raise three tickets with priority Low, Medium and High → Open My Support Tickets → Compare the priority column</t>
  </si>
  <si>
    <t>Each ticket shows the chosen priority (with its badge colour) in employee and admin lists</t>
  </si>
  <si>
    <t>TC-HD-006</t>
  </si>
  <si>
    <t>Default priority on a new ticket</t>
  </si>
  <si>
    <t xml:space="preserve">1. Click 'New Ticket'
2. Observe Priority
3. Submit without changing it (other fields valid)</t>
  </si>
  <si>
    <t>Logged in as HRMS admin (amit) → Click 'New Ticket' → Observe Priority → Submit without changing it (other fields valid)</t>
  </si>
  <si>
    <t>Priority defaults to Low and is saved as Low</t>
  </si>
  <si>
    <t>TC-HD-007</t>
  </si>
  <si>
    <t>Employee (Staff) can raise a ticket</t>
  </si>
  <si>
    <t>Logged in as an employee (Staff) with login</t>
  </si>
  <si>
    <t>Subject: Laptop slow after update (Auto …)</t>
  </si>
  <si>
    <t xml:space="preserve">1. Open My Workspace / Helpdesk &gt; Support Tickets
2. Click New Ticket
3. Fill all fields
4. Submit</t>
  </si>
  <si>
    <t>Logged in as an employee (Staff) with login → Open My Workspace / Helpdesk &gt; Support Tickets → Click New Ticket → Fill all fields → Submit</t>
  </si>
  <si>
    <t>Ticket listed under the employee’s tickets and on the admin Helpdesk Dashboard as New</t>
  </si>
  <si>
    <t>TC-HD-008</t>
  </si>
  <si>
    <t>Subject is mandatory</t>
  </si>
  <si>
    <t xml:space="preserve">1. Click 'New Ticket'
2. Leave Subject blank
3. Fill other fields
4. Submit</t>
  </si>
  <si>
    <t>Logged in as HRMS admin (amit) → Click 'New Ticket' → Leave Subject blank → Fill other fields → Submit</t>
  </si>
  <si>
    <t>Validation message on Subject; not created</t>
  </si>
  <si>
    <t>TC-HD-009</t>
  </si>
  <si>
    <t>Description is mandatory</t>
  </si>
  <si>
    <t xml:space="preserve">1. Click 'New Ticket'
2. Leave Description blank
3. Fill other fields
4. Submit</t>
  </si>
  <si>
    <t>Logged in as HRMS admin (amit) → Click 'New Ticket' → Leave Description blank → Fill other fields → Submit</t>
  </si>
  <si>
    <t>Validation message on Description; not created</t>
  </si>
  <si>
    <t>TC-HD-010</t>
  </si>
  <si>
    <t>Category is mandatory</t>
  </si>
  <si>
    <t xml:space="preserve">1. Click 'New Ticket'
2. Leave Category '-- Select Category --'
3. Fill other fields
4. Submit</t>
  </si>
  <si>
    <t>Logged in as HRMS admin (amit) → Click 'New Ticket' → Leave Category '-- Select Category --' → Fill other fields → Submit</t>
  </si>
  <si>
    <t>Validation message on Category; not created</t>
  </si>
  <si>
    <t>TC-HD-011</t>
  </si>
  <si>
    <t>Submit on an empty form shows all messages</t>
  </si>
  <si>
    <t xml:space="preserve">1. Click 'New Ticket'
2. Click Submit without input
3. Inspect the messages</t>
  </si>
  <si>
    <t>Logged in as HRMS admin (amit) → Click 'New Ticket' → Click Submit without input → Inspect the messages</t>
  </si>
  <si>
    <t>Messages for Subject, Description and Category together; nothing created</t>
  </si>
  <si>
    <t>TC-HD-012</t>
  </si>
  <si>
    <t>Subject with spaces only is refused</t>
  </si>
  <si>
    <t>"   "</t>
  </si>
  <si>
    <t xml:space="preserve">1. Click 'New Ticket'
2. Enter only spaces in Subject and Description
3. Submit</t>
  </si>
  <si>
    <t>Logged in as HRMS admin (amit) → Click 'New Ticket' → Enter only spaces in Subject and Description → Submit</t>
  </si>
  <si>
    <t>Refused as blank</t>
  </si>
  <si>
    <t>TC-HD-013</t>
  </si>
  <si>
    <t>Subject maximum length</t>
  </si>
  <si>
    <t xml:space="preserve">1. Click 'New Ticket'
2. Enter a 255-character subject, then a 1000-character one
3. Submit</t>
  </si>
  <si>
    <t>Logged in as HRMS admin (amit) → Click 'New Ticket' → Enter a 255-character subject, then a 1000-character one → Submit</t>
  </si>
  <si>
    <t>Within limit saves; over limit blocked/trimmed with a message, no server error</t>
  </si>
  <si>
    <t>TC-HD-014</t>
  </si>
  <si>
    <t>Long description with line breaks is preserved</t>
  </si>
  <si>
    <t xml:space="preserve">1. Click 'New Ticket'
2. Enter a multi-paragraph 2000-character description
3. Submit
4. View the ticket</t>
  </si>
  <si>
    <t>Logged in as HRMS admin (amit) → Click 'New Ticket' → Enter a multi-paragraph 2000-character description → Submit → View the ticket</t>
  </si>
  <si>
    <t>Saved; View shows the full text with line breaks</t>
  </si>
  <si>
    <t>TC-HD-015</t>
  </si>
  <si>
    <t>Special characters and HTML in subject/description are stored safely</t>
  </si>
  <si>
    <t xml:space="preserve">1. Click 'New Ticket'
2. Enter &lt;script&gt;alert(1)&lt;/script&gt; and &amp; &lt; &gt; " ' in Subject/Description
3. Submit
4. View as admin</t>
  </si>
  <si>
    <t>Logged in as HRMS admin (amit) → Click 'New Ticket' → Enter &lt;script&gt;alert(1)&lt;/script&gt; and &amp; &lt; &gt; " ' in Subject/Description → Submit → View as admin</t>
  </si>
  <si>
    <t>Text shown literally/escaped; no script executes in employee or admin views</t>
  </si>
  <si>
    <t>TC-HD-016</t>
  </si>
  <si>
    <t>Double-clicking Submit does not create duplicates</t>
  </si>
  <si>
    <t xml:space="preserve">1. Fill the New Ticket form
2. Double-click Submit quickly
3. Open My Support Tickets</t>
  </si>
  <si>
    <t>Logged in as HRMS admin (amit) → Fill the New Ticket form → Double-click Submit quickly → Open My Support Tickets</t>
  </si>
  <si>
    <t>Exactly one ticket created</t>
  </si>
  <si>
    <t>TC-HD-017</t>
  </si>
  <si>
    <t>Cancel / back discards the new ticket</t>
  </si>
  <si>
    <t xml:space="preserve">1. Click 'New Ticket'
2. Fill some fields
3. Click Cancel/Back</t>
  </si>
  <si>
    <t>Logged in as HRMS admin (amit) → Click 'New Ticket' → Fill some fields → Click Cancel/Back</t>
  </si>
  <si>
    <t>Returns to My Support Tickets; no ticket created</t>
  </si>
  <si>
    <t>TC-HD-018</t>
  </si>
  <si>
    <t>My tickets</t>
  </si>
  <si>
    <t>Ticket number format and uniqueness</t>
  </si>
  <si>
    <t xml:space="preserve">1. Raise two tickets
2. Open My Support Tickets
3. Compare codes</t>
  </si>
  <si>
    <t>Logged in as HRMS admin (amit) → Raise two tickets → Open My Support Tickets → Compare codes</t>
  </si>
  <si>
    <t>Codes follow TKT-YYYYMM-NNN and are unique, sequential</t>
  </si>
  <si>
    <t>TC-HD-019</t>
  </si>
  <si>
    <t>Newest tickets listed first</t>
  </si>
  <si>
    <t xml:space="preserve">1. Raise a ticket
2. Open My Support Tickets
3. Inspect order</t>
  </si>
  <si>
    <t>Logged in as HRMS admin (amit) → Raise a ticket → Open My Support Tickets → Inspect order</t>
  </si>
  <si>
    <t>New ticket at the top</t>
  </si>
  <si>
    <t>TC-HD-020</t>
  </si>
  <si>
    <t>Employee sees only own tickets</t>
  </si>
  <si>
    <t>Employee A and B each have tickets</t>
  </si>
  <si>
    <t xml:space="preserve">1. Log in as A
2. Open Support Tickets
3. Look for B’s ticket</t>
  </si>
  <si>
    <t>Employee A and B each have tickets → Log in as A → Open Support Tickets → Look for B’s ticket</t>
  </si>
  <si>
    <t>Only A's tickets listed</t>
  </si>
  <si>
    <t>TC-HD-021</t>
  </si>
  <si>
    <t>Pagination Previous / Next</t>
  </si>
  <si>
    <t>&gt;10 tickets</t>
  </si>
  <si>
    <t xml:space="preserve">1. Open Support Tickets
2. Click Next
3. Click Previous</t>
  </si>
  <si>
    <t>&gt;10 tickets → Open Support Tickets → Click Next → Click Previous</t>
  </si>
  <si>
    <t>Pages change; Previous disabled on page 1, Next disabled on last page</t>
  </si>
  <si>
    <t>TC-HD-022</t>
  </si>
  <si>
    <t>Empty state for a user with no tickets</t>
  </si>
  <si>
    <t>User without tickets</t>
  </si>
  <si>
    <t xml:space="preserve">1. Log in
2. Open Support Tickets
3. Inspect the list</t>
  </si>
  <si>
    <t>User without tickets → Log in → Open Support Tickets → Inspect the list</t>
  </si>
  <si>
    <t>Friendly "no tickets" message and New Ticket button</t>
  </si>
  <si>
    <t>TC-HD-023</t>
  </si>
  <si>
    <t>View ticket</t>
  </si>
  <si>
    <t>Employee views own ticket details</t>
  </si>
  <si>
    <t>Ticket raised by the user</t>
  </si>
  <si>
    <t xml:space="preserve">1. Open Support Tickets
2. Click 'View' on the ticket
3. Inspect details</t>
  </si>
  <si>
    <t>Ticket raised by the user → Open Support Tickets → Click 'View' on the ticket → Inspect details</t>
  </si>
  <si>
    <t>Shows code, subject, description, category, priority, status, created date and history/responses</t>
  </si>
  <si>
    <t>Also covered by module spec tests/08_helpdesk/helpdesk_workflow.spec.js H2</t>
  </si>
  <si>
    <t>TC-HD-024</t>
  </si>
  <si>
    <t>Employee sees status changes made by the helpdesk</t>
  </si>
  <si>
    <t>Admin moved the ticket to In Progress</t>
  </si>
  <si>
    <t xml:space="preserve">1. Log in as the raiser
2. Open the ticket via View
3. Check status</t>
  </si>
  <si>
    <t>Admin moved the ticket to In Progress → Log in as the raiser → Open the ticket via View → Check status</t>
  </si>
  <si>
    <t>Status In Progress shown on list and view</t>
  </si>
  <si>
    <t>TC-HD-025</t>
  </si>
  <si>
    <t>Internal notes are not visible to the employee</t>
  </si>
  <si>
    <t>Admin added an internal note</t>
  </si>
  <si>
    <t xml:space="preserve">1. Log in as the raiser
2. Open the ticket via View
3. Search the page for the note text</t>
  </si>
  <si>
    <t>Admin added an internal note → Log in as the raiser → Open the ticket via View → Search the page for the note text</t>
  </si>
  <si>
    <t>The internal note text is not shown anywhere to the employee</t>
  </si>
  <si>
    <t>TC-HD-026</t>
  </si>
  <si>
    <t>Employee sees resolution notes after resolve</t>
  </si>
  <si>
    <t>Ticket resolved with notes</t>
  </si>
  <si>
    <t xml:space="preserve">1. Log in as the raiser
2. Open the ticket
3. Check resolution</t>
  </si>
  <si>
    <t>Ticket resolved with notes → Log in as the raiser → Open the ticket → Check resolution</t>
  </si>
  <si>
    <t>Status Resolved; resolution notes displayed</t>
  </si>
  <si>
    <t>TC-HD-027</t>
  </si>
  <si>
    <t>Employee adds a reply/comment on an open ticket</t>
  </si>
  <si>
    <t>Open ticket</t>
  </si>
  <si>
    <t>Reply: Still failing after restart</t>
  </si>
  <si>
    <t xml:space="preserve">1. Open the ticket via View
2. Type a reply in the comment box
3. Send
4. Check admin Manage view</t>
  </si>
  <si>
    <t>Open ticket → Open the ticket via View → Type a reply in the comment box → Send → Check admin Manage view</t>
  </si>
  <si>
    <t>Reply listed in ticket history and visible to the helpdesk</t>
  </si>
  <si>
    <t>Verify the reply/comment control exists on the current build</t>
  </si>
  <si>
    <t>TC-HD-028</t>
  </si>
  <si>
    <t>Employee cannot view another employee’s ticket by URL</t>
  </si>
  <si>
    <t>Ticket id belonging to another employee</t>
  </si>
  <si>
    <t xml:space="preserve">1. Log in as employee A
2. Open the View URL of B’s ticket directly
3. Inspect</t>
  </si>
  <si>
    <t>Ticket id belonging to another employee → Log in as employee A → Open the View URL of B’s ticket directly → Inspect</t>
  </si>
  <si>
    <t>TC-HD-029</t>
  </si>
  <si>
    <t>Employee reopens a resolved ticket</t>
  </si>
  <si>
    <t>Own ticket Resolved</t>
  </si>
  <si>
    <t xml:space="preserve">1. Open the ticket
2. Click Reopen (if offered)
3. Enter reason
4. Confirm</t>
  </si>
  <si>
    <t>Own ticket Resolved → Open the ticket → Click Reopen (if offered) → Enter reason → Confirm</t>
  </si>
  <si>
    <t>Status Reopened; visible on admin dashboard under Reopened</t>
  </si>
  <si>
    <t>APP-05 (for product confirmation): Resolve is terminal — no separate Close control in admin Manage; Reopen appears after resolve</t>
  </si>
  <si>
    <t>TC-HD-030</t>
  </si>
  <si>
    <t>Raiser is notified on status change and resolution</t>
  </si>
  <si>
    <t>Ticket raised by employee</t>
  </si>
  <si>
    <t xml:space="preserve">1. Admin updates status and resolves
2. Log in as the raiser
3. Check notifications/e-mail</t>
  </si>
  <si>
    <t>Ticket raised by employee → Admin updates status and resolves → Log in as the raiser → Check notifications/e-mail</t>
  </si>
  <si>
    <t>Notification for each status change and resolution</t>
  </si>
  <si>
    <t>TC-HD-031</t>
  </si>
  <si>
    <t>Logged-out access to My Support Tickets redirects to login</t>
  </si>
  <si>
    <t xml:space="preserve">1. Log in to hrms-test.progbiz.in (company pbhrms) as stated in the preconditions
2. Open /ess/helpdesk/my-tickets directly
3. Observe</t>
  </si>
  <si>
    <t>Logged out → Log in to hrms-test.progbiz.in (company pbhrms) as stated in the preconditions → Open /ess/helpdesk/my-tickets directly → Observe</t>
  </si>
  <si>
    <t>TC-HD-032</t>
  </si>
  <si>
    <t>Helpdesk Dashboard opens with search, filters and ticket list</t>
  </si>
  <si>
    <t xml:space="preserve">1. Open Helpdesk &gt; Helpdesk Dashboard
2. Wait for loading
3. Inspect</t>
  </si>
  <si>
    <t>Logged in as HRMS admin (amit) → Open Helpdesk &gt; Helpdesk Dashboard → Wait for loading → Inspect</t>
  </si>
  <si>
    <t>Search box and 'Search' button; Status filter (All, New, Acknowledged, Assigned, In Progress, On Hold, Resolved, Closed, Reopened); Priority filter (Low, Medium, High, All); page size 10/25/50/100; rows with 'Manage'</t>
  </si>
  <si>
    <t>Linear 128 Helpdesk Dashboard — page check</t>
  </si>
  <si>
    <t>TC-HD-033</t>
  </si>
  <si>
    <t>New ticket from an employee appears as New</t>
  </si>
  <si>
    <t>Employee just raised a ticket</t>
  </si>
  <si>
    <t xml:space="preserve">1. Open the dashboard
2. Search the ticket code
3. Inspect the row</t>
  </si>
  <si>
    <t>Employee just raised a ticket → Open the dashboard → Search the ticket code → Inspect the row</t>
  </si>
  <si>
    <t>Row shows code, subject, raised by, category, priority, status New, created date, Manage</t>
  </si>
  <si>
    <t>Also covered by module spec tests/08_helpdesk/helpdesk_workflow.spec.js H3</t>
  </si>
  <si>
    <t>TC-HD-034</t>
  </si>
  <si>
    <t>Search by ticket code</t>
  </si>
  <si>
    <t>Ticket exists</t>
  </si>
  <si>
    <t>TKT-202610-001</t>
  </si>
  <si>
    <t xml:space="preserve">1. Enter the TKT code in Search
2. Click Search
3. Inspect</t>
  </si>
  <si>
    <t>Ticket exists → Enter the TKT code in Search → Click Search → Inspect</t>
  </si>
  <si>
    <t>Only that ticket listed</t>
  </si>
  <si>
    <t>Linear 128 Helpdesk Dashboard — ticketLifecycle</t>
  </si>
  <si>
    <t>TC-HD-035</t>
  </si>
  <si>
    <t>Search by subject text</t>
  </si>
  <si>
    <t>VPN</t>
  </si>
  <si>
    <t xml:space="preserve">1. Enter part of a subject
2. Click Search
3. Inspect</t>
  </si>
  <si>
    <t>Logged in as HRMS admin (amit) → Enter part of a subject → Click Search → Inspect</t>
  </si>
  <si>
    <t>Matching tickets listed</t>
  </si>
  <si>
    <t>TC-HD-036</t>
  </si>
  <si>
    <t>Search by employee name</t>
  </si>
  <si>
    <t xml:space="preserve">1. Enter a raiser name
2. Click Search
3. Inspect</t>
  </si>
  <si>
    <t>Logged in as HRMS admin (amit) → Enter a raiser name → Click Search → Inspect</t>
  </si>
  <si>
    <t>That employee’s tickets</t>
  </si>
  <si>
    <t>TC-HD-037</t>
  </si>
  <si>
    <t xml:space="preserve">1. Search "zzzz-none"
2. Click Search
3. Inspect</t>
  </si>
  <si>
    <t>Logged in as HRMS admin (amit) → Search "zzzz-none" → Click Search → Inspect</t>
  </si>
  <si>
    <t>Empty message; no error</t>
  </si>
  <si>
    <t>TC-HD-038</t>
  </si>
  <si>
    <t>Status filter = New</t>
  </si>
  <si>
    <t>At least one ticket in status New</t>
  </si>
  <si>
    <t xml:space="preserve">1. Open the dashboard
2. Select Status = New
3. Inspect rows</t>
  </si>
  <si>
    <t>At least one ticket in status New → Open the dashboard → Select Status = New → Inspect rows</t>
  </si>
  <si>
    <t>Only New tickets listed</t>
  </si>
  <si>
    <t>TC-HD-039</t>
  </si>
  <si>
    <t>Status filter = Acknowledged</t>
  </si>
  <si>
    <t>At least one ticket in status Acknowledged</t>
  </si>
  <si>
    <t xml:space="preserve">1. Open the dashboard
2. Select Status = Acknowledged
3. Inspect rows</t>
  </si>
  <si>
    <t>At least one ticket in status Acknowledged → Open the dashboard → Select Status = Acknowledged → Inspect rows</t>
  </si>
  <si>
    <t>Only Acknowledged tickets listed</t>
  </si>
  <si>
    <t>TC-HD-040</t>
  </si>
  <si>
    <t>Status filter = Assigned</t>
  </si>
  <si>
    <t>At least one ticket in status Assigned</t>
  </si>
  <si>
    <t xml:space="preserve">1. Open the dashboard
2. Select Status = Assigned
3. Inspect rows</t>
  </si>
  <si>
    <t>At least one ticket in status Assigned → Open the dashboard → Select Status = Assigned → Inspect rows</t>
  </si>
  <si>
    <t>Only Assigned tickets listed</t>
  </si>
  <si>
    <t>TC-HD-041</t>
  </si>
  <si>
    <t>Status filter = In Progress</t>
  </si>
  <si>
    <t>At least one ticket in status In Progress</t>
  </si>
  <si>
    <t xml:space="preserve">1. Open the dashboard
2. Select Status = In Progress
3. Inspect rows</t>
  </si>
  <si>
    <t>At least one ticket in status In Progress → Open the dashboard → Select Status = In Progress → Inspect rows</t>
  </si>
  <si>
    <t>Only In Progress tickets listed</t>
  </si>
  <si>
    <t>TC-HD-042</t>
  </si>
  <si>
    <t>Status filter = On Hold</t>
  </si>
  <si>
    <t>At least one ticket in status On Hold</t>
  </si>
  <si>
    <t xml:space="preserve">1. Open the dashboard
2. Select Status = On Hold
3. Inspect rows</t>
  </si>
  <si>
    <t>At least one ticket in status On Hold → Open the dashboard → Select Status = On Hold → Inspect rows</t>
  </si>
  <si>
    <t>Only On Hold tickets listed</t>
  </si>
  <si>
    <t>TC-HD-043</t>
  </si>
  <si>
    <t>Status filter = Resolved</t>
  </si>
  <si>
    <t>At least one ticket in status Resolved</t>
  </si>
  <si>
    <t xml:space="preserve">1. Open the dashboard
2. Select Status = Resolved
3. Inspect rows</t>
  </si>
  <si>
    <t>At least one ticket in status Resolved → Open the dashboard → Select Status = Resolved → Inspect rows</t>
  </si>
  <si>
    <t>Only Resolved tickets listed</t>
  </si>
  <si>
    <t>TC-HD-044</t>
  </si>
  <si>
    <t>Status filter = Closed</t>
  </si>
  <si>
    <t>At least one ticket in status Closed</t>
  </si>
  <si>
    <t xml:space="preserve">1. Open the dashboard
2. Select Status = Closed
3. Inspect rows</t>
  </si>
  <si>
    <t>At least one ticket in status Closed → Open the dashboard → Select Status = Closed → Inspect rows</t>
  </si>
  <si>
    <t>Only Closed tickets listed</t>
  </si>
  <si>
    <t>TC-HD-045</t>
  </si>
  <si>
    <t>Status filter = Reopened</t>
  </si>
  <si>
    <t>At least one ticket in status Reopened</t>
  </si>
  <si>
    <t xml:space="preserve">1. Open the dashboard
2. Select Status = Reopened
3. Inspect rows</t>
  </si>
  <si>
    <t>At least one ticket in status Reopened → Open the dashboard → Select Status = Reopened → Inspect rows</t>
  </si>
  <si>
    <t>Only Reopened tickets listed</t>
  </si>
  <si>
    <t>TC-HD-046</t>
  </si>
  <si>
    <t>Priority filter Low / Medium / High / All</t>
  </si>
  <si>
    <t xml:space="preserve">1. Select Priority High
2. Select Low
3. Select All</t>
  </si>
  <si>
    <t>Logged in as HRMS admin (amit) → Select Priority High → Select Low → Select All</t>
  </si>
  <si>
    <t>Rows match the priority; All shows every priority</t>
  </si>
  <si>
    <t>TC-HD-047</t>
  </si>
  <si>
    <t>Combined status + priority + search</t>
  </si>
  <si>
    <t xml:space="preserve">1. Select Status In Progress
2. Select Priority High
3. Enter search text and Search</t>
  </si>
  <si>
    <t>Logged in as HRMS admin (amit) → Select Status In Progress → Select Priority High → Enter search text and Search</t>
  </si>
  <si>
    <t>Rows satisfy all criteria</t>
  </si>
  <si>
    <t>TC-HD-048</t>
  </si>
  <si>
    <t>Default Priority filter value</t>
  </si>
  <si>
    <t xml:space="preserve">1. Open the dashboard fresh
2. Inspect the Priority filter
3. Compare the list with Status=All</t>
  </si>
  <si>
    <t>Logged in as HRMS admin (amit) → Open the dashboard fresh → Inspect the Priority filter → Compare the list with Status=All</t>
  </si>
  <si>
    <t>Default should be "All" so no tickets are hidden on load</t>
  </si>
  <si>
    <t>Priority options captured in order Low, Medium, High, All — verify the initial selection is All, not Low</t>
  </si>
  <si>
    <t>TC-HD-049</t>
  </si>
  <si>
    <t>Page size 10/25/50/100 and paging</t>
  </si>
  <si>
    <t>&gt;25 tickets</t>
  </si>
  <si>
    <t xml:space="preserve">1. Change page size to 25
2. Then 50
3. Navigate pages</t>
  </si>
  <si>
    <t>&gt;25 tickets → Change page size to 25 → Then 50 → Navigate pages</t>
  </si>
  <si>
    <t>Row count follows page size; paging consistent</t>
  </si>
  <si>
    <t>TC-HD-050</t>
  </si>
  <si>
    <t>Dashboard summary counts (if shown) match the list</t>
  </si>
  <si>
    <t xml:space="preserve">1. Note status counters
2. Filter by each status
3. Compare</t>
  </si>
  <si>
    <t>Logged in as HRMS admin (amit) → Note status counters → Filter by each status → Compare</t>
  </si>
  <si>
    <t>Counts equal filtered rows</t>
  </si>
  <si>
    <t>TC-HD-051</t>
  </si>
  <si>
    <t>Open a ticket's Manage view</t>
  </si>
  <si>
    <t xml:space="preserve">1. Search the ticket
2. Click 'Manage'
3. Inspect</t>
  </si>
  <si>
    <t>Ticket exists → Search the ticket → Click 'Manage' → Inspect</t>
  </si>
  <si>
    <t>URL /ess/helpdesk/admin/ticket/&lt;id&gt;; ticket details, status control, Assign, Add Internal Note, Resolve Ticket card</t>
  </si>
  <si>
    <t>/ess/helpdesk/admin/ticket/&lt;id&gt;</t>
  </si>
  <si>
    <t>TC-HD-052</t>
  </si>
  <si>
    <t>Staff user cannot open the Helpdesk Dashboard</t>
  </si>
  <si>
    <t xml:space="preserve">1. Check sidebar for Helpdesk Dashboard
2. Navigate to /ess/helpdesk/admin directly
3. Inspect</t>
  </si>
  <si>
    <t>Logged in as an employee (Staff) with login → Check sidebar for Helpdesk Dashboard → Navigate to /ess/helpdesk/admin directly → Inspect</t>
  </si>
  <si>
    <t>Menu hidden; direct URL denied; no other employees’ tickets visible</t>
  </si>
  <si>
    <t>TC-HD-053</t>
  </si>
  <si>
    <t>Staff user cannot open a Manage URL directly</t>
  </si>
  <si>
    <t xml:space="preserve">1. Open /ess/helpdesk/admin/ticket/&lt;id&gt; directly
2. Inspect
3. Try an action</t>
  </si>
  <si>
    <t>Logged in as an employee (Staff) with login → Open /ess/helpdesk/admin/ticket/&lt;id&gt; directly → Inspect → Try an action</t>
  </si>
  <si>
    <t>Access denied; no status change possible</t>
  </si>
  <si>
    <t>TC-HD-054</t>
  </si>
  <si>
    <t xml:space="preserve">1. Open /ess/helpdesk/admin directly
2. Observe
3. Log in</t>
  </si>
  <si>
    <t>Logged out → Open /ess/helpdesk/admin directly → Observe → Log in</t>
  </si>
  <si>
    <t>TC-HD-055</t>
  </si>
  <si>
    <t>Update status</t>
  </si>
  <si>
    <t>Update status New → Acknowledged</t>
  </si>
  <si>
    <t>Ticket in status New; Manage view open as HRMS admin</t>
  </si>
  <si>
    <t xml:space="preserve">1. Select New Status = Acknowledged
2. Click 'Update Status'
3. Return to dashboard and search</t>
  </si>
  <si>
    <t>Ticket in status New; Manage view open as HRMS admin → Select New Status = Acknowledged → Click 'Update Status' → Return to dashboard and search</t>
  </si>
  <si>
    <t>Success; list shows Acknowledged; raiser sees Acknowledged</t>
  </si>
  <si>
    <t>TC-HD-056</t>
  </si>
  <si>
    <t>Update status → In Progress</t>
  </si>
  <si>
    <t xml:space="preserve">1. Select New Status = In Progress
2. Click 'Update Status'
3. Reload the dashboard and search the ticket</t>
  </si>
  <si>
    <t>Ticket in status New; Manage view open as HRMS admin → Select New Status = In Progress → Click 'Update Status' → Reload the dashboard and search the ticket</t>
  </si>
  <si>
    <t>Success; list shows In Progress</t>
  </si>
  <si>
    <t>Also covered by module spec tests/08_helpdesk/helpdesk_workflow.spec.js H4</t>
  </si>
  <si>
    <t>TC-HD-057</t>
  </si>
  <si>
    <t>Update status → On Hold</t>
  </si>
  <si>
    <t>Ticket In Progress; Manage open</t>
  </si>
  <si>
    <t xml:space="preserve">1. Select New Status = On Hold
2. Click 'Update Status'
3. Reload</t>
  </si>
  <si>
    <t>Ticket In Progress; Manage open → Select New Status = On Hold → Click 'Update Status' → Reload</t>
  </si>
  <si>
    <t>Status On Hold in admin and employee views</t>
  </si>
  <si>
    <t>TC-HD-058</t>
  </si>
  <si>
    <t>Resume from On Hold → In Progress</t>
  </si>
  <si>
    <t>Ticket On Hold</t>
  </si>
  <si>
    <t xml:space="preserve">1. Select In Progress
2. Click 'Update Status'
3. Reload</t>
  </si>
  <si>
    <t>Ticket On Hold → Select In Progress → Click 'Update Status' → Reload</t>
  </si>
  <si>
    <t>Status In Progress</t>
  </si>
  <si>
    <t>TC-HD-059</t>
  </si>
  <si>
    <t>Update Status without selecting a new status</t>
  </si>
  <si>
    <t xml:space="preserve">1. Leave New Status unselected/unchanged
2. Click 'Update Status'
3. Inspect</t>
  </si>
  <si>
    <t>Ticket in status New; Manage view open as HRMS admin → Leave New Status unselected/unchanged → Click 'Update Status' → Inspect</t>
  </si>
  <si>
    <t>Message asking to choose a status, or no-op without a misleading success</t>
  </si>
  <si>
    <t>TC-HD-060</t>
  </si>
  <si>
    <t>Status change is recorded in ticket history</t>
  </si>
  <si>
    <t xml:space="preserve">1. Change status twice
2. Reload Manage
3. Inspect history/timeline</t>
  </si>
  <si>
    <t>Ticket in status New; Manage view open as HRMS admin → Change status twice → Reload Manage → Inspect history/timeline</t>
  </si>
  <si>
    <t>Each change listed with actor and timestamp</t>
  </si>
  <si>
    <t>TC-HD-061</t>
  </si>
  <si>
    <t>Status change with a comment/remark (if offered)</t>
  </si>
  <si>
    <t>Remark: Investigating VPN gateway</t>
  </si>
  <si>
    <t xml:space="preserve">1. Select a status
2. Enter remark
3. Update Status</t>
  </si>
  <si>
    <t>Ticket in status New; Manage view open as HRMS admin → Select a status → Enter remark → Update Status</t>
  </si>
  <si>
    <t>Remark stored with the status change</t>
  </si>
  <si>
    <t>TC-HD-062</t>
  </si>
  <si>
    <t>Assign a ticket to a helpdesk agent</t>
  </si>
  <si>
    <t>Assignee: Arjun Nair</t>
  </si>
  <si>
    <t xml:space="preserve">1. Select an assignee (uniquely named employee)
2. Click 'Assign'
3. Reload dashboard</t>
  </si>
  <si>
    <t>Ticket in status New; Manage view open as HRMS admin → Select an assignee (uniquely named employee) → Click 'Assign' → Reload dashboard</t>
  </si>
  <si>
    <t>Success; status Assigned; Assigned To shows the agent</t>
  </si>
  <si>
    <t>Also covered by module spec tests/08_helpdesk/helpdesk_workflow.spec.js H8</t>
  </si>
  <si>
    <t>TC-HD-063</t>
  </si>
  <si>
    <t>After assignment admin Manage shows only Reassign</t>
  </si>
  <si>
    <t>Ticket assigned to another user</t>
  </si>
  <si>
    <t xml:space="preserve">1. Re-open Manage as admin
2. Inspect available actions
3. Compare with unassigned ticket</t>
  </si>
  <si>
    <t>Ticket assigned to another user → Re-open Manage as admin → Inspect available actions → Compare with unassigned ticket</t>
  </si>
  <si>
    <t>Reassign available; Update Status / Resolve not available to the admin</t>
  </si>
  <si>
    <t>APP-04 (for product confirmation): once assigned, the admin Manage view offers only Reassign; Update Status/Resolve move to the assignee</t>
  </si>
  <si>
    <t>TC-HD-064</t>
  </si>
  <si>
    <t>Assignee can Update Status and Resolve</t>
  </si>
  <si>
    <t>Ticket assigned to user X; logged in as X</t>
  </si>
  <si>
    <t xml:space="preserve">1. Open the ticket Manage view
2. Update status to In Progress
3. Resolve with notes</t>
  </si>
  <si>
    <t>Ticket assigned to user X; logged in as X → Open the ticket Manage view → Update status to In Progress → Resolve with notes</t>
  </si>
  <si>
    <t>Both actions succeed for the assignee</t>
  </si>
  <si>
    <t>TC-HD-065</t>
  </si>
  <si>
    <t>Reassign a ticket to another agent</t>
  </si>
  <si>
    <t>Ticket assigned to agent A</t>
  </si>
  <si>
    <t>B: Ada Lovelace</t>
  </si>
  <si>
    <t xml:space="preserve">1. Open Manage
2. Select agent B in the reassign picker
3. Click 'Reassign'
4. Reload</t>
  </si>
  <si>
    <t>Ticket assigned to agent A → Open Manage → Select agent B in the reassign picker → Click 'Reassign' → Reload</t>
  </si>
  <si>
    <t>Assigned To = B; B can act, A no longer can</t>
  </si>
  <si>
    <t>TC-HD-066</t>
  </si>
  <si>
    <t>Assign without selecting an assignee</t>
  </si>
  <si>
    <t xml:space="preserve">1. Leave assignee empty
2. Click 'Assign'
3. Inspect</t>
  </si>
  <si>
    <t>Ticket in status New; Manage view open as HRMS admin → Leave assignee empty → Click 'Assign' → Inspect</t>
  </si>
  <si>
    <t>Validation message; unchanged</t>
  </si>
  <si>
    <t>TC-HD-067</t>
  </si>
  <si>
    <t>Assignee picker distinguishes duplicate names</t>
  </si>
  <si>
    <t xml:space="preserve">1. Open the assignee picker
2. Look for duplicate names (e.g. two "Aaradhya")
3. Inspect</t>
  </si>
  <si>
    <t>Ticket in status New; Manage view open as HRMS admin → Open the assignee picker → Look for duplicate names (e.g. two "Aaradhya") → Inspect</t>
  </si>
  <si>
    <t>Each entry carries a code/e-mail so the right person can be chosen</t>
  </si>
  <si>
    <t>Tenant has duplicate "Aaradhya" employees</t>
  </si>
  <si>
    <t>TC-HD-068</t>
  </si>
  <si>
    <t>Assignee is notified of the assignment</t>
  </si>
  <si>
    <t xml:space="preserve">1. Assign to user X
2. Log in as X
3. Check notifications</t>
  </si>
  <si>
    <t>Ticket in status New; Manage view open as HRMS admin → Assign to user X → Log in as X → Check notifications</t>
  </si>
  <si>
    <t>X receives an assignment notification</t>
  </si>
  <si>
    <t>TC-HD-069</t>
  </si>
  <si>
    <t>Internal note</t>
  </si>
  <si>
    <t>Add an internal note</t>
  </si>
  <si>
    <t>Note: Checked the VPN gateway logs, account locked (Auto …)</t>
  </si>
  <si>
    <t xml:space="preserve">1. Click 'Add Internal Note'
2. Enter text in the note box
3. Click 'Add Note'
4. Reload Manage</t>
  </si>
  <si>
    <t>Ticket in status New; Manage view open as HRMS admin → Click 'Add Internal Note' → Enter text in the note box → Click 'Add Note' → Reload Manage</t>
  </si>
  <si>
    <t>Note shown on the ticket labelled "Not visible to employee", with author and time</t>
  </si>
  <si>
    <t>Also covered by module spec tests/08_helpdesk/helpdesk_workflow.spec.js H5</t>
  </si>
  <si>
    <t>TC-HD-070</t>
  </si>
  <si>
    <t>Empty internal note is refused</t>
  </si>
  <si>
    <t xml:space="preserve">1. Click 'Add Internal Note'
2. Leave note blank
3. Click 'Add Note'</t>
  </si>
  <si>
    <t>Ticket in status New; Manage view open as HRMS admin → Click 'Add Internal Note' → Leave note blank → Click 'Add Note'</t>
  </si>
  <si>
    <t>Validation message; no empty note</t>
  </si>
  <si>
    <t>TC-HD-071</t>
  </si>
  <si>
    <t>Internal note hidden from the raiser</t>
  </si>
  <si>
    <t>Internal note added</t>
  </si>
  <si>
    <t xml:space="preserve">1. Log in as raiser
2. Open the ticket via View
3. Search the note text</t>
  </si>
  <si>
    <t>Internal note added → Log in as raiser → Open the ticket via View → Search the note text</t>
  </si>
  <si>
    <t>Note not visible</t>
  </si>
  <si>
    <t>TC-HD-072</t>
  </si>
  <si>
    <t>Multiple notes listed in order</t>
  </si>
  <si>
    <t xml:space="preserve">1. Add two notes
2. Reload
3. Inspect order</t>
  </si>
  <si>
    <t>Ticket in status New; Manage view open as HRMS admin → Add two notes → Reload → Inspect order</t>
  </si>
  <si>
    <t>Both notes shown chronologically</t>
  </si>
  <si>
    <t>TC-HD-073</t>
  </si>
  <si>
    <t>Resolve</t>
  </si>
  <si>
    <t>Resolve a ticket with resolution notes</t>
  </si>
  <si>
    <t>Unlocked the VPN account and confirmed the user can connect.</t>
  </si>
  <si>
    <t xml:space="preserve">1. Enter Resolution Notes
2. Click 'Resolve Ticket'
3. Reload dashboard</t>
  </si>
  <si>
    <t>Ticket In Progress; Manage open → Enter Resolution Notes → Click 'Resolve Ticket' → Reload dashboard</t>
  </si>
  <si>
    <t>Success; status Resolved; raiser sees Resolved with notes</t>
  </si>
  <si>
    <t>Also covered by module spec tests/08_helpdesk/helpdesk_workflow.spec.js H6</t>
  </si>
  <si>
    <t>TC-HD-074</t>
  </si>
  <si>
    <t>Resolve without resolution notes is refused</t>
  </si>
  <si>
    <t>Ticket In Progress</t>
  </si>
  <si>
    <t xml:space="preserve">1. Leave Resolution Notes blank
2. Click 'Resolve Ticket'
3. Inspect</t>
  </si>
  <si>
    <t>Ticket In Progress → Leave Resolution Notes blank → Click 'Resolve Ticket' → Inspect</t>
  </si>
  <si>
    <t>Validation "Resolution Notes" required; unchanged</t>
  </si>
  <si>
    <t>TC-HD-075</t>
  </si>
  <si>
    <t>Resolved ticket is terminal in admin Manage; Reopen offered</t>
  </si>
  <si>
    <t>Resolved ticket</t>
  </si>
  <si>
    <t xml:space="preserve">1. Open Manage
2. Inspect controls
3. Look for Close</t>
  </si>
  <si>
    <t>Resolved ticket → Open Manage → Inspect controls → Look for Close</t>
  </si>
  <si>
    <t>No Update Status/Resolve; Reopen available; no separate Close</t>
  </si>
  <si>
    <t>APP-05 (for product confirmation): Resolve is terminal — no separate Close control in admin Manage; Reopen appears after resolve. Also covered by module spec tests/08_helpdesk/helpdesk_workflow.spec.js H7</t>
  </si>
  <si>
    <t>TC-HD-076</t>
  </si>
  <si>
    <t>Close</t>
  </si>
  <si>
    <t>Close a resolved ticket (if Closed status is reachable)</t>
  </si>
  <si>
    <t xml:space="preserve">1. Open Manage
2. Choose Close / status Closed
3. Confirm</t>
  </si>
  <si>
    <t>Resolved ticket → Open Manage → Choose Close / status Closed → Confirm</t>
  </si>
  <si>
    <t>Status Closed; ticket read-only for both sides</t>
  </si>
  <si>
    <t>Closed exists in the status filter but no Close control found in admin Manage — APP-05 (for product confirmation): Resolve is terminal — no separate Close control in admin Manage; Reopen appears after resolve</t>
  </si>
  <si>
    <t>TC-HD-077</t>
  </si>
  <si>
    <t>Reopen</t>
  </si>
  <si>
    <t>Admin reopens a resolved ticket</t>
  </si>
  <si>
    <t xml:space="preserve">1. Open Manage
2. Click 'Reopen'
3. Confirm
4. Reload dashboard</t>
  </si>
  <si>
    <t>Resolved ticket → Open Manage → Click 'Reopen' → Confirm → Reload dashboard</t>
  </si>
  <si>
    <t>Status Reopened; Update Status/Resolve available again</t>
  </si>
  <si>
    <t>TC-HD-078</t>
  </si>
  <si>
    <t>Reopened ticket can be resolved again</t>
  </si>
  <si>
    <t>Reopened ticket</t>
  </si>
  <si>
    <t xml:space="preserve">1. Update status to In Progress
2. Resolve with notes
3. Reload</t>
  </si>
  <si>
    <t>Reopened ticket → Update status to In Progress → Resolve with notes → Reload</t>
  </si>
  <si>
    <t>Resolved again; history shows both resolutions</t>
  </si>
  <si>
    <t>TC-HD-079</t>
  </si>
  <si>
    <t>Full lifecycle New → Acknowledged → Assigned → In Progress → On Hold → In Progress → Resolved → Reopened</t>
  </si>
  <si>
    <t>Employee ticket; two agents</t>
  </si>
  <si>
    <t xml:space="preserve">1. Acknowledge
2. Assign to agent
3. Agent moves to In Progress then On Hold then In Progress
4. Agent resolves with notes
5. Raiser/admin reopens</t>
  </si>
  <si>
    <t>Employee ticket; two agents → Acknowledge → Assign to agent → Agent moves to In Progress then On Hold then In Progress → Agent resolves with notes → Raiser/admin reopens</t>
  </si>
  <si>
    <t>Every transition accepted and recorded; raiser sees each status</t>
  </si>
  <si>
    <t>TC-HD-080</t>
  </si>
  <si>
    <t>Invalid transition from Resolved directly to On Hold is not offered</t>
  </si>
  <si>
    <t xml:space="preserve">1. Open Manage
2. Inspect status options
3. Attempt On Hold</t>
  </si>
  <si>
    <t>Resolved ticket → Open Manage → Inspect status options → Attempt On Hold</t>
  </si>
  <si>
    <t>Not offered/refused</t>
  </si>
  <si>
    <t>TC-HD-081</t>
  </si>
  <si>
    <t>Concurrent update by two agents</t>
  </si>
  <si>
    <t>Two browser sessions on the same ticket</t>
  </si>
  <si>
    <t xml:space="preserve">1. Session 1 resolves
2. Session 2 then updates status
3. Reload</t>
  </si>
  <si>
    <t>Two browser sessions on the same ticket → Session 1 resolves → Session 2 then updates status → Reload</t>
  </si>
  <si>
    <t>Second action refused or reflects latest state; no inconsistent status</t>
  </si>
  <si>
    <t>TC-HD-082</t>
  </si>
  <si>
    <t>SLA / priority</t>
  </si>
  <si>
    <t>High priority tickets visually highlighted</t>
  </si>
  <si>
    <t>High priority ticket</t>
  </si>
  <si>
    <t xml:space="preserve">1. Open the dashboard
2. Inspect the row
3. Compare with Low</t>
  </si>
  <si>
    <t>High priority ticket → Open the dashboard → Inspect the row → Compare with Low</t>
  </si>
  <si>
    <t>Priority badge colour distinguishes High</t>
  </si>
  <si>
    <t>TC-HD-083</t>
  </si>
  <si>
    <t>Admin can change ticket priority (if offered)</t>
  </si>
  <si>
    <t xml:space="preserve">1. Change priority to High
2. Save
3. Reload</t>
  </si>
  <si>
    <t>Ticket in status New; Manage view open as HRMS admin → Change priority to High → Save → Reload</t>
  </si>
  <si>
    <t>Priority updated in admin and employee lists</t>
  </si>
  <si>
    <t>Verify a priority control exists in Manage on the current build</t>
  </si>
  <si>
    <t>TC-HD-084</t>
  </si>
  <si>
    <t>SLA / due time shown and breach flagged (if configured)</t>
  </si>
  <si>
    <t>SLA configured per priority</t>
  </si>
  <si>
    <t xml:space="preserve">1. Raise High ticket
2. Leave unattended past SLA
3. Open dashboard</t>
  </si>
  <si>
    <t>SLA configured per priority → Raise High ticket → Leave unattended past SLA → Open dashboard</t>
  </si>
  <si>
    <t>Ticket flagged overdue/breached</t>
  </si>
  <si>
    <t>No SLA fields observed in the captured form maps — confirm with product</t>
  </si>
  <si>
    <t>TC-HD-085</t>
  </si>
  <si>
    <t>Raiser notified when ticket resolved</t>
  </si>
  <si>
    <t>Ticket resolved</t>
  </si>
  <si>
    <t xml:space="preserve">1. Log in as raiser
2. Open notifications
3. Open the ticket</t>
  </si>
  <si>
    <t>Ticket resolved → Log in as raiser → Open notifications → Open the ticket</t>
  </si>
  <si>
    <t>Resolution notification present and links to the ticket</t>
  </si>
  <si>
    <t>TC-HD-086</t>
  </si>
  <si>
    <t>Admin notified of a new ticket</t>
  </si>
  <si>
    <t>Employee raises a ticket</t>
  </si>
  <si>
    <t xml:space="preserve">1. Log in as helpdesk admin
2. Open notifications
3. Open the ticket</t>
  </si>
  <si>
    <t>Employee raises a ticket → Log in as helpdesk admin → Open notifications → Open the ticket</t>
  </si>
  <si>
    <t>New-ticket notification present</t>
  </si>
  <si>
    <t>TC-HD-087</t>
  </si>
  <si>
    <t>Ticket counts reflected on ESS dashboard widgets (if present)</t>
  </si>
  <si>
    <t>Employee with open tickets</t>
  </si>
  <si>
    <t xml:space="preserve">1. Open My Workspace
2. Inspect helpdesk widget
3. Compare with My Support Tickets</t>
  </si>
  <si>
    <t>Employee with open tickets → Open My Workspace → Inspect helpdesk widget → Compare with My Support Tickets</t>
  </si>
  <si>
    <t>Counts consistent</t>
  </si>
  <si>
    <t>TC-HD-088</t>
  </si>
  <si>
    <t>Dashboard search returns quickly</t>
  </si>
  <si>
    <t>100+ tickets</t>
  </si>
  <si>
    <t xml:space="preserve">1. Search a code
2. Measure time
3. Repeat with filters</t>
  </si>
  <si>
    <t>100+ tickets → Search a code → Measure time → Repeat with filters</t>
  </si>
  <si>
    <t>Results within ~3 s</t>
  </si>
  <si>
    <t>TC-E2E-001</t>
  </si>
  <si>
    <t>Hire-to-Onboard</t>
  </si>
  <si>
    <t>Hire-to-onboard</t>
  </si>
  <si>
    <t>Raise a job requisition and approve it</t>
  </si>
  <si>
    <t>Designation: SOFTWARE TESTER; Vacancies: 1</t>
  </si>
  <si>
    <t xml:space="preserve">1. Open Recruitment &gt; Job Requisitions
2. Raise requisition for SOFTWARE TESTER (Department, Branch, vacancies, justification)
3. Submit
4. Approve as the configured approver</t>
  </si>
  <si>
    <t>Logged in as HRMS admin amit (Amit Kumar Shaji, role HRMS / Administrator) → Open Recruitment &gt; Job Requisitions → Raise requisition for SOFTWARE TESTER (Department, Branch, vacancies, justification) → Submit → Approve as the configured approver</t>
  </si>
  <si>
    <t>Requisition status Approved and available for creating an opening</t>
  </si>
  <si>
    <t>TC-E2E-002</t>
  </si>
  <si>
    <t>Duplicate requisition for the same role asks to raise it anyway</t>
  </si>
  <si>
    <t>Logged in as HRMS admin amit (Amit Kumar Shaji, role HRMS / Administrator); an open requisition for SOFTWARE TESTER exists</t>
  </si>
  <si>
    <t xml:space="preserve">1. Raise a new requisition for SOFTWARE TESTER
2. Observe prompt
3. Choose to raise anyway</t>
  </si>
  <si>
    <t>Logged in as HRMS admin amit (Amit Kumar Shaji, role HRMS / Administrator); an open requisition for SOFTWARE TESTER exists → Raise a new requisition for SOFTWARE TESTER → Observe prompt → Choose to raise anyway</t>
  </si>
  <si>
    <t>Prompt 'raise it anyway' shown; on confirm a second requisition is created</t>
  </si>
  <si>
    <t>TC-E2E-003</t>
  </si>
  <si>
    <t>Create and publish job opening from the approved requisition</t>
  </si>
  <si>
    <t>Logged in as HRMS admin amit (Amit Kumar Shaji, role HRMS / Administrator); approved requisition</t>
  </si>
  <si>
    <t>Branch: Main Branch; Vacancies: 1</t>
  </si>
  <si>
    <t xml:space="preserve">1. Open Job Board
2. Add Job Opening linked to the requisition
3. Status Published
4. Save</t>
  </si>
  <si>
    <t>Logged in as HRMS admin amit (Amit Kumar Shaji, role HRMS / Administrator); approved requisition → Open Job Board → Add Job Opening linked to the requisition → Status Published → Save</t>
  </si>
  <si>
    <t>Opening listed with JOB code, Published, 0/1 filled; visible on public career page /careers/&lt;tenant-guid&gt;</t>
  </si>
  <si>
    <t>TC-E2E-004</t>
  </si>
  <si>
    <t>Unpublished opening does not appear on the career page</t>
  </si>
  <si>
    <t>Logged in as HRMS admin amit (Amit Kumar Shaji, role HRMS / Administrator); an opening in Draft</t>
  </si>
  <si>
    <t xml:space="preserve">1. Open /careers/&lt;tenant-guid&gt; in a logged-out browser
2. Look for the draft opening</t>
  </si>
  <si>
    <t>Logged in as HRMS admin amit (Amit Kumar Shaji, role HRMS / Administrator); an opening in Draft → Open /careers/&lt;tenant-guid&gt; in a logged-out browser → Look for the draft opening</t>
  </si>
  <si>
    <t>Draft opening absent; only Published openings listed</t>
  </si>
  <si>
    <t>TC-E2E-005</t>
  </si>
  <si>
    <t>HR adds a candidate manually against the opening (Source Manual)</t>
  </si>
  <si>
    <t>Logged in as HRMS admin amit (Amit Kumar Shaji, role HRMS / Administrator); published opening</t>
  </si>
  <si>
    <t xml:space="preserve">1. Open Job Board
2. Add candidate with name, e-mail, phone, resume
3. Save</t>
  </si>
  <si>
    <t>Logged in as HRMS admin amit (Amit Kumar Shaji, role HRMS / Administrator); published opening → Open Job Board → Add candidate with name, e-mail, phone, resume → Save</t>
  </si>
  <si>
    <t>Candidate in the opening pipeline with Source "Manual"</t>
  </si>
  <si>
    <t>TC-E2E-006</t>
  </si>
  <si>
    <t>Candidate self-applies via the public career page (Source Portal)</t>
  </si>
  <si>
    <t>Logged-out browser; published opening</t>
  </si>
  <si>
    <t>Email: anita.menon@example.com; City: Kochi</t>
  </si>
  <si>
    <t xml:space="preserve">1. Open /careers/&lt;tenant-guid&gt;
2. Apply Now on the opening
3. First Name*, Last Name, Email*, Gender*, Mobile*, City* (type-ahead), Resume*, experience, expected joining/salary
4. Submit
5. As admin open Job Applications</t>
  </si>
  <si>
    <t>Logged-out browser; published opening → Open /careers/&lt;tenant-guid&gt; → Apply Now on the opening → First Name*, Last Name, Email*, Gender*, Mobile*, City* (type-ahead), Resume*, experience, expected joining/salary → Submit → As admin open Job Applications</t>
  </si>
  <si>
    <t>Confirmation shown to the candidate; application appears in Job Applications with Source "Portal"</t>
  </si>
  <si>
    <t>TC-E2E-007</t>
  </si>
  <si>
    <t>Career page Apply Now mandatory fields</t>
  </si>
  <si>
    <t>Logged-out browser</t>
  </si>
  <si>
    <t xml:space="preserve">1. Apply Now
2. submit with First Name, Email, Gender, Mobile, City, Resume empty</t>
  </si>
  <si>
    <t>Logged-out browser → Apply Now → submit with First Name, Email, Gender, Mobile, City, Resume empty</t>
  </si>
  <si>
    <t>Validation on each mandatory field; no application created</t>
  </si>
  <si>
    <t>TC-E2E-008</t>
  </si>
  <si>
    <t>Send take-home assessment and evaluate it by the interview panel</t>
  </si>
  <si>
    <t>Logged in as HRMS admin amit (Amit Kumar Shaji, role HRMS / Administrator); candidate in pipeline; interview panel assigned</t>
  </si>
  <si>
    <t xml:space="preserve">1. Assessments &gt; send take-home assignment to candidate
2. (candidate submits via e-mailed link)
3. Panel member opens submission and evaluates</t>
  </si>
  <si>
    <t>Logged in as HRMS admin amit (Amit Kumar Shaji, role HRMS / Administrator); candidate in pipeline; interview panel assigned → Assessments &gt; send take-home assignment to candidate → (candidate submits via e-mailed link) → Panel member opens submission and evaluates</t>
  </si>
  <si>
    <t>Assessment status Sent → Submitted → Evaluated; sender who is not on the panel sees "View only"</t>
  </si>
  <si>
    <t>TC-E2E-009</t>
  </si>
  <si>
    <t>Candidate submission of the assignment via e-mailed link</t>
  </si>
  <si>
    <t>Assessment sent</t>
  </si>
  <si>
    <t xml:space="preserve">1. Open the link from the candidate e-mail
2. Upload answer
3. Submit</t>
  </si>
  <si>
    <t>Assessment sent → Open the link from the candidate e-mail → Upload answer → Submit</t>
  </si>
  <si>
    <t>Submission received and visible to the panel</t>
  </si>
  <si>
    <t>Needs the e-mailed candidate link which the tests cannot receive</t>
  </si>
  <si>
    <t>TC-E2E-010</t>
  </si>
  <si>
    <t>Schedule interview, conduct and submit scorecard</t>
  </si>
  <si>
    <t>Logged in as HRMS admin amit (Amit Kumar Shaji, role HRMS / Administrator); candidate in pipeline</t>
  </si>
  <si>
    <t xml:space="preserve">1. Interview Schedules &gt; schedule round with panel in the future
2. Mark Completed
3. Submit feedback scorecard with ratings and recommendation</t>
  </si>
  <si>
    <t>Logged in as HRMS admin amit (Amit Kumar Shaji, role HRMS / Administrator); candidate in pipeline → Interview Schedules &gt; schedule round with panel in the future → Mark Completed → Submit feedback scorecard with ratings and recommendation</t>
  </si>
  <si>
    <t>Interview Completed with scorecard; candidate stage advances</t>
  </si>
  <si>
    <t>TC-E2E-011</t>
  </si>
  <si>
    <t>Interview cannot be booked in the past; no two open interviews per candidate</t>
  </si>
  <si>
    <t>Logged in as HRMS admin amit (Amit Kumar Shaji, role HRMS / Administrator); candidate with an open interview</t>
  </si>
  <si>
    <t xml:space="preserve">1. Try to schedule an interview with a past date
2. Try to schedule a second open interview for the same candidate</t>
  </si>
  <si>
    <t>Logged in as HRMS admin amit (Amit Kumar Shaji, role HRMS / Administrator); candidate with an open interview → Try to schedule an interview with a past date → Try to schedule a second open interview for the same candidate</t>
  </si>
  <si>
    <t>Both refused with messages</t>
  </si>
  <si>
    <t>TC-E2E-012</t>
  </si>
  <si>
    <t>Offer only after interview Completed; offer approved, sent and accepted</t>
  </si>
  <si>
    <t>Logged in as HRMS admin amit (Amit Kumar Shaji, role HRMS / Administrator); interview Completed</t>
  </si>
  <si>
    <t>CTC: 600000; Joining: today+15</t>
  </si>
  <si>
    <t xml:space="preserve">1. Offers &gt; create offer (CTC, joining date)
2. Approve
3. Send
4. Record acceptance</t>
  </si>
  <si>
    <t>Logged in as HRMS admin amit (Amit Kumar Shaji, role HRMS / Administrator); interview Completed → Offers &gt; create offer (CTC, joining date) → Approve → Send → Record acceptance</t>
  </si>
  <si>
    <t>Offer Approved → Sent → Accepted; candidate moves to Offer Acceptance</t>
  </si>
  <si>
    <t>TC-E2E-013</t>
  </si>
  <si>
    <t>Offer blocked for a candidate whose interview is not Completed</t>
  </si>
  <si>
    <t>Logged in as HRMS admin amit (Amit Kumar Shaji, role HRMS / Administrator); candidate with Scheduled interview</t>
  </si>
  <si>
    <t>1. Try to create an offer for the candidate</t>
  </si>
  <si>
    <t>Logged in as HRMS admin amit (Amit Kumar Shaji, role HRMS / Administrator); candidate with Scheduled interview → Try to create an offer for the candidate</t>
  </si>
  <si>
    <t>Candidate not offerable / message shown</t>
  </si>
  <si>
    <t>TC-E2E-014</t>
  </si>
  <si>
    <t>Pre-boarding invite sent after acceptance</t>
  </si>
  <si>
    <t>Logged in as HRMS admin amit (Amit Kumar Shaji, role HRMS / Administrator); offer accepted</t>
  </si>
  <si>
    <t>1. Offer Acceptance &gt; send pre-boarding invite</t>
  </si>
  <si>
    <t>Logged in as HRMS admin amit (Amit Kumar Shaji, role HRMS / Administrator); offer accepted → Offer Acceptance &gt; send pre-boarding invite</t>
  </si>
  <si>
    <t>Invite status Sent; candidate e-mail queued</t>
  </si>
  <si>
    <t>TC-E2E-015</t>
  </si>
  <si>
    <t>Candidate completes pre-boarding form from e-mailed link</t>
  </si>
  <si>
    <t>Pre-boarding invite sent</t>
  </si>
  <si>
    <t xml:space="preserve">1. Open link
2. fill personal, bank, documents
3. Submit</t>
  </si>
  <si>
    <t>Pre-boarding invite sent → Open link → fill personal, bank, documents → Submit</t>
  </si>
  <si>
    <t>Pre-boarding data visible to HR</t>
  </si>
  <si>
    <t>Needs the e-mailed pre-boarding link which the tests cannot receive</t>
  </si>
  <si>
    <t>TC-E2E-016</t>
  </si>
  <si>
    <t>Convert to employee: onboarding starts and employee exists in Core HR</t>
  </si>
  <si>
    <t>Pre-boarding complete</t>
  </si>
  <si>
    <t xml:space="preserve">1. Start onboarding with a template
2. Convert/create employee
3. Open Core HR &gt; Employee</t>
  </si>
  <si>
    <t>Pre-boarding complete → Start onboarding with a template → Convert/create employee → Open Core HR &gt; Employee</t>
  </si>
  <si>
    <t>Employee record with code, designation, joining date = offer joining date (no −1 day shift), login created; onboarding tasks assigned</t>
  </si>
  <si>
    <t>Known issue DEF-001: joining date saved −1 day in onboarding</t>
  </si>
  <si>
    <t>TC-E2E-017</t>
  </si>
  <si>
    <t>New employee logs in and sees onboarding tasks and auto leave pattern</t>
  </si>
  <si>
    <t>Employee converted from candidate with login</t>
  </si>
  <si>
    <t xml:space="preserve">1. Sign in with username + employee code
2. Open My Workspace &gt; Onboarding Tasks
3. Open Leave &gt; Balance List</t>
  </si>
  <si>
    <t>Employee converted from candidate with login → Sign in with username + employee code → Open My Workspace &gt; Onboarding Tasks → Open Leave &gt; Balance List</t>
  </si>
  <si>
    <t>Tasks visible; leave pattern auto-assigned with balances</t>
  </si>
  <si>
    <t>TC-E2E-018</t>
  </si>
  <si>
    <t>Opening filled count and requisition closure after hire</t>
  </si>
  <si>
    <t>Candidate hired against a 1-vacancy opening</t>
  </si>
  <si>
    <t>1. Open Job Board and Job Requisitions</t>
  </si>
  <si>
    <t>Candidate hired against a 1-vacancy opening → Open Job Board and Job Requisitions</t>
  </si>
  <si>
    <t>Opening shows 1/1 filled (closed or no longer accepting); requisition fulfilled</t>
  </si>
  <si>
    <t>TC-E2E-019</t>
  </si>
  <si>
    <t>Onboarding template cannot be saved with an empty stage</t>
  </si>
  <si>
    <t xml:space="preserve">1. Onboarding Templates &gt; add template with one stage and no tasks
2. Save</t>
  </si>
  <si>
    <t>Logged in as HRMS admin amit (Amit Kumar Shaji, role HRMS / Administrator) → Onboarding Templates &gt; add template with one stage and no tasks → Save</t>
  </si>
  <si>
    <t>Refused with message</t>
  </si>
  <si>
    <t>TC-E2E-020</t>
  </si>
  <si>
    <t>Referral-to-Hire-to-Reward</t>
  </si>
  <si>
    <t>Employee refers a candidate via Refer &amp; Earn</t>
  </si>
  <si>
    <t>Logged in as an employee (referrer)</t>
  </si>
  <si>
    <t xml:space="preserve">1. My Workspace / Referral &gt; Refer &amp; Earn
2. Refer a Candidate
3. First/Last name, Email, Gender, phone, how you know, resume
4. Submit Referral</t>
  </si>
  <si>
    <t>Logged in as an employee (referrer) → My Workspace / Referral &gt; Refer &amp; Earn → Refer a Candidate → First/Last name, Email, Gender, phone, how you know, resume → Submit Referral</t>
  </si>
  <si>
    <t>Referral detail page opens; status Submitted</t>
  </si>
  <si>
    <t>TC-E2E-021</t>
  </si>
  <si>
    <t>Referral must be assigned to an opening before Accept &amp; add to pipeline</t>
  </si>
  <si>
    <t>Logged in as HRMS admin amit (Amit Kumar Shaji, role HRMS / Administrator); new referral</t>
  </si>
  <si>
    <t xml:space="preserve">1. Referral Dashboard &gt; open referral
2. Click Accept &amp; add to pipeline without opening
3. Assign opening
4. Accept</t>
  </si>
  <si>
    <t>Logged in as HRMS admin amit (Amit Kumar Shaji, role HRMS / Administrator); new referral → Referral Dashboard &gt; open referral → Click Accept &amp; add to pipeline without opening → Assign opening → Accept</t>
  </si>
  <si>
    <t>First attempt blocked; after assigning, candidate created in the opening pipeline</t>
  </si>
  <si>
    <t>TC-E2E-022</t>
  </si>
  <si>
    <t>Referral accepted into pipeline</t>
  </si>
  <si>
    <t xml:space="preserve">1. Advance the candidate through interview → offer → hired
2. Check referral status after each
3. Try setting a manual status</t>
  </si>
  <si>
    <t>Referral accepted into pipeline → Advance the candidate through interview → offer → hired → Check referral status after each → Try setting a manual status</t>
  </si>
  <si>
    <t>Referral status mirrors the ATS stage; manual status overwritten on next stage change</t>
  </si>
  <si>
    <t>TC-E2E-023</t>
  </si>
  <si>
    <t>Referred candidate hired</t>
  </si>
  <si>
    <t>1. Open Referral Dashboard rewards</t>
  </si>
  <si>
    <t>Referred candidate hired → Open Referral Dashboard rewards</t>
  </si>
  <si>
    <t>Reward Pending for the referrer per Reward Policy amount</t>
  </si>
  <si>
    <t>TC-E2E-024</t>
  </si>
  <si>
    <t>Approve and pay referral reward</t>
  </si>
  <si>
    <t>Pending reward exists</t>
  </si>
  <si>
    <t xml:space="preserve">1. Approve reward
2. Mark paid / push to payroll</t>
  </si>
  <si>
    <t>Pending reward exists → Approve reward → Mark paid / push to payroll</t>
  </si>
  <si>
    <t>Reward Approved → Paid; referrer sees it in Refer &amp; Earn</t>
  </si>
  <si>
    <t>Approving/paying referral rewards is never automated</t>
  </si>
  <si>
    <t>TC-E2E-025</t>
  </si>
  <si>
    <t>Duplicate referral of an existing candidate is refused</t>
  </si>
  <si>
    <t>Person already a candidate</t>
  </si>
  <si>
    <t>1. Refer the same e-mail/phone</t>
  </si>
  <si>
    <t>Person already a candidate → Refer the same e-mail/phone</t>
  </si>
  <si>
    <t>Duplicate warning; no second referral</t>
  </si>
  <si>
    <t>TC-E2E-026</t>
  </si>
  <si>
    <t>Referrer sees only own referrals</t>
  </si>
  <si>
    <t>Two employees have referrals</t>
  </si>
  <si>
    <t xml:space="preserve">1. Sign in as referrer A
2. open Refer &amp; Earn</t>
  </si>
  <si>
    <t>Two employees have referrals → Sign in as referrer A → open Refer &amp; Earn</t>
  </si>
  <si>
    <t>Only A's referrals listed</t>
  </si>
  <si>
    <t>TC-E2E-027</t>
  </si>
  <si>
    <t>Leave-to-Payroll</t>
  </si>
  <si>
    <t>Leave lifecycle</t>
  </si>
  <si>
    <t>Create leave type and leave pattern</t>
  </si>
  <si>
    <t xml:space="preserve">1. Leave Types &gt; create type (name without digits)
2. Leave Patterns &gt; create pattern including the type</t>
  </si>
  <si>
    <t>Logged in as HRMS admin amit (Amit Kumar Shaji, role HRMS / Administrator) → Leave Types &gt; create type (name without digits) → Leave Patterns &gt; create pattern including the type</t>
  </si>
  <si>
    <t>Type and pattern saved; names with digits rejected</t>
  </si>
  <si>
    <t>Linear 049 Leave Types — createLeaveType; Linear 050 Leave Patterns — createLeavePattern</t>
  </si>
  <si>
    <t>TC-E2E-028</t>
  </si>
  <si>
    <t>New employee automatically receives a leave pattern; overlapping second pattern refused</t>
  </si>
  <si>
    <t>Employee just created in Core HR</t>
  </si>
  <si>
    <t xml:space="preserve">1. Open Leave Assignment for the employee
2. Assign another pattern overlapping the period</t>
  </si>
  <si>
    <t>Employee just created in Core HR → Open Leave Assignment for the employee → Assign another pattern overlapping the period</t>
  </si>
  <si>
    <t>Auto pattern present; overlapping assignment refused</t>
  </si>
  <si>
    <t>TC-E2E-029</t>
  </si>
  <si>
    <t>Holiday created and assigned to branch excludes the day from leave count</t>
  </si>
  <si>
    <t xml:space="preserve">1. Holidays &gt; create holiday
2. Holiday Assignment &gt; toggle on for Main Branch
3. Employee applies leave spanning it</t>
  </si>
  <si>
    <t>Logged in as HRMS admin amit (Amit Kumar Shaji, role HRMS / Administrator) → Holidays &gt; create holiday → Holiday Assignment &gt; toggle on for Main Branch → Employee applies leave spanning it</t>
  </si>
  <si>
    <t>Holiday listed for Main Branch (or "+N more"); leave days exclude the holiday</t>
  </si>
  <si>
    <t>Linear 053 Holidays — createHoliday; Linear 054 Holiday Assignment — assignHoliday</t>
  </si>
  <si>
    <t>TC-E2E-030</t>
  </si>
  <si>
    <t>HR applies leave on behalf of employee — balance drops</t>
  </si>
  <si>
    <t xml:space="preserve">1. Apply Leave for Employee &gt; employee code
2. Casual Leave 1 day
3. Submit
4. Approve</t>
  </si>
  <si>
    <t>Logged in as HRMS admin amit (Amit Kumar Shaji, role HRMS / Administrator) → Apply Leave for Employee &gt; employee code → Casual Leave 1 day → Submit → Approve</t>
  </si>
  <si>
    <t>Request approved; employee balance decreases by 1</t>
  </si>
  <si>
    <t>TC-E2E-031</t>
  </si>
  <si>
    <t>Employee applies, manager approves, employee sees Approved and balance</t>
  </si>
  <si>
    <t>Run employee with login and Casual balance</t>
  </si>
  <si>
    <t xml:space="preserve">1. Employee applies Casual Leave in ESS
2. Manager opens Leave Approval &gt; View details &gt; Approve Leave Request? &gt; Yes, Approve
3. Employee rechecks</t>
  </si>
  <si>
    <t>Run employee with login and Casual balance → Employee applies Casual Leave in ESS → Manager opens Leave Approval &gt; View details &gt; Approve Leave Request? &gt; Yes, Approve → Employee rechecks</t>
  </si>
  <si>
    <t>Pending + reserved → Approved; Available −1, Used +1; Leave Approval row shows first name only</t>
  </si>
  <si>
    <t>TC-E2E-032</t>
  </si>
  <si>
    <t>Rejected leave releases the reserved day</t>
  </si>
  <si>
    <t>Pending leave</t>
  </si>
  <si>
    <t xml:space="preserve">1. Manager rejects with remark
2. Employee checks Balance List</t>
  </si>
  <si>
    <t>Pending leave → Manager rejects with remark → Employee checks Balance List</t>
  </si>
  <si>
    <t>Status Rejected; Reserved back to previous; Available unchanged</t>
  </si>
  <si>
    <t>TC-E2E-033</t>
  </si>
  <si>
    <t>Approved leave synced to attendance</t>
  </si>
  <si>
    <t>Approved leave on date D</t>
  </si>
  <si>
    <t xml:space="preserve">1. Run Attendance Sync
2. Open employee attendance for D</t>
  </si>
  <si>
    <t>Approved leave on date D → Run Attendance Sync → Open employee attendance for D</t>
  </si>
  <si>
    <t>D shows Leave, not Absent</t>
  </si>
  <si>
    <t>TC-E2E-034</t>
  </si>
  <si>
    <t>Unpaid leave / unapproved absence becomes LOP in payroll</t>
  </si>
  <si>
    <t>Employee with 1 day LWP and 1 day absent without leave in the month</t>
  </si>
  <si>
    <t xml:space="preserve">1. Finalize + lock attendance
2. Run payroll for the month
3. Open payslip</t>
  </si>
  <si>
    <t>Employee with 1 day LWP and 1 day absent without leave in the month → Finalize + lock attendance → Run payroll for the month → Open payslip</t>
  </si>
  <si>
    <t>LOP = 2 days; deduction = monthly gross / per-day divisor × 2</t>
  </si>
  <si>
    <t>Finalising/paying payroll runs never automated. Module automation owned by teammates (base page checks in linear run)</t>
  </si>
  <si>
    <t>TC-E2E-035</t>
  </si>
  <si>
    <t>Absence offset against leave balance at attendance lock</t>
  </si>
  <si>
    <t>Employee absent 1 day with Casual balance available; offset policy on</t>
  </si>
  <si>
    <t xml:space="preserve">1. Lock attendance
2. check leave ledger</t>
  </si>
  <si>
    <t>Employee absent 1 day with Casual balance available; offset policy on → Lock attendance → check leave ledger</t>
  </si>
  <si>
    <t>Absence debited from leave per policy, LOP not charged</t>
  </si>
  <si>
    <t>TC-E2E-036</t>
  </si>
  <si>
    <t>Year-end carry-forward and lapse</t>
  </si>
  <si>
    <t>Leave type with carry-forward max 5</t>
  </si>
  <si>
    <t xml:space="preserve">1. Run year-end processing
2. Check Balance List new year</t>
  </si>
  <si>
    <t>Leave type with carry-forward max 5 → Run year-end processing → Check Balance List new year</t>
  </si>
  <si>
    <t>Up to 5 days carried; excess lapsed; ledger entries written</t>
  </si>
  <si>
    <t>In-progress carry-expiry test (Bill vs Steve) 2026-10</t>
  </si>
  <si>
    <t>TC-E2E-037</t>
  </si>
  <si>
    <t>Salary-Revision-to-Payroll</t>
  </si>
  <si>
    <t>Salary revision</t>
  </si>
  <si>
    <t>Raise salary revision, approve via chain, applied to salary structure</t>
  </si>
  <si>
    <t>Logged in as HRMS admin amit (Amit Kumar Shaji, role HRMS / Administrator); employee with salary structure</t>
  </si>
  <si>
    <t>New CTC: 720000; Effective: 1st of last month</t>
  </si>
  <si>
    <t xml:space="preserve">1. Salary Revision &gt; raise revision with new CTC and effective date
2. Approve all levels
3. Open employee salary</t>
  </si>
  <si>
    <t>Logged in as HRMS admin amit (Amit Kumar Shaji, role HRMS / Administrator); employee with salary structure → Salary Revision &gt; raise revision with new CTC and effective date → Approve all levels → Open employee salary</t>
  </si>
  <si>
    <t>Revision Approved and applied; Core HR history gets salary revision event; employee ESS salary history updated</t>
  </si>
  <si>
    <t>Consolidated SRS §5</t>
  </si>
  <si>
    <t>TC-E2E-038</t>
  </si>
  <si>
    <t>Back-dated revision produces arrears in next payroll</t>
  </si>
  <si>
    <t>Revision effective 1st of last month approved after last payroll</t>
  </si>
  <si>
    <t xml:space="preserve">1. Run current month payroll
2. open payslip</t>
  </si>
  <si>
    <t>Revision effective 1st of last month approved after last payroll → Run current month payroll → open payslip</t>
  </si>
  <si>
    <t>Arrears component = (new − old monthly) for the missed month</t>
  </si>
  <si>
    <t>Payroll run finalisation never automated. Module automation owned by teammates (base page checks in linear run)</t>
  </si>
  <si>
    <t>TC-E2E-039</t>
  </si>
  <si>
    <t>Increment letter generated after revision</t>
  </si>
  <si>
    <t>Revision applied</t>
  </si>
  <si>
    <t xml:space="preserve">1. Generate increment letter from Letters
2. Employee opens My Workspace &gt; Letters</t>
  </si>
  <si>
    <t>Revision applied → Generate increment letter from Letters → Employee opens My Workspace &gt; Letters</t>
  </si>
  <si>
    <t>Letter shows old/new CTC and effective date</t>
  </si>
  <si>
    <t>TC-E2E-040</t>
  </si>
  <si>
    <t>Rejected revision leaves pay unchanged</t>
  </si>
  <si>
    <t>Revision pending</t>
  </si>
  <si>
    <t xml:space="preserve">1. Reject with remark
2. Check salary structure</t>
  </si>
  <si>
    <t>Revision pending → Reject with remark → Check salary structure</t>
  </si>
  <si>
    <t>No change to salary; requester notified</t>
  </si>
  <si>
    <t>TC-E2E-041</t>
  </si>
  <si>
    <t>Resignation-to-Relieving</t>
  </si>
  <si>
    <t>Exit lifecycle</t>
  </si>
  <si>
    <t>Employee submits resignation in ESS; manager and HR approve</t>
  </si>
  <si>
    <t>Employee with Reports To = Team Lead</t>
  </si>
  <si>
    <t xml:space="preserve">1. Employee: My Workspace &gt; Resignation &gt; Submit
2. Team Lead approves in Approvals
3. HR approves</t>
  </si>
  <si>
    <t>Employee with Reports To = Team Lead → Employee: My Workspace &gt; Resignation &gt; Submit → Team Lead approves in Approvals → HR approves</t>
  </si>
  <si>
    <t>Status On Notice; checklist materialised; F&amp;F seeded</t>
  </si>
  <si>
    <t>Exit SRS workflow</t>
  </si>
  <si>
    <t>TC-E2E-042</t>
  </si>
  <si>
    <t>Notice period actions: extend / early release / waive</t>
  </si>
  <si>
    <t xml:space="preserve">1. HR extends notice by 10 days
2. then early-releases</t>
  </si>
  <si>
    <t>Exit On Notice → HR extends notice by 10 days → then early-releases</t>
  </si>
  <si>
    <t>Effective LWD recalculated each time; shortfall shown</t>
  </si>
  <si>
    <t>TC-E2E-043</t>
  </si>
  <si>
    <t>Clearance tasks completed by employee and departments</t>
  </si>
  <si>
    <t xml:space="preserve">1. Employee completes Exit Tasks
2. IT/Admin settle asset return items</t>
  </si>
  <si>
    <t>Exit On Notice → Employee completes Exit Tasks → IT/Admin settle asset return items</t>
  </si>
  <si>
    <t>All mandatory clearance items settled</t>
  </si>
  <si>
    <t>TC-E2E-044</t>
  </si>
  <si>
    <t>Exit interview completed by employee (Form mode)</t>
  </si>
  <si>
    <t>Exit On Notice; Form-mode interview</t>
  </si>
  <si>
    <t>1. Employee submits My Workspace &gt; Exit Interview</t>
  </si>
  <si>
    <t>Exit On Notice; Form-mode interview → Employee submits My Workspace &gt; Exit Interview</t>
  </si>
  <si>
    <t>Interview gate satisfied</t>
  </si>
  <si>
    <t>Known issue RX-02: interview can be Completed with zero answers</t>
  </si>
  <si>
    <t>TC-E2E-045</t>
  </si>
  <si>
    <t>F&amp;F settlement calculated and completed</t>
  </si>
  <si>
    <t>Clearance settled</t>
  </si>
  <si>
    <t xml:space="preserve">1. Open F&amp;F
2. Recalculate
3. add ad-hoc components
4. Complete</t>
  </si>
  <si>
    <t>Clearance settled → Open F&amp;F → Recalculate → add ad-hoc components → Complete</t>
  </si>
  <si>
    <t>F&amp;F Completed with leave encashment, notice recovery, gratuity as applicable; record becomes final</t>
  </si>
  <si>
    <t>Approving/settling F&amp;F never automated</t>
  </si>
  <si>
    <t>TC-E2E-046</t>
  </si>
  <si>
    <t>Relieving and Experience letters issued and visible in ESS</t>
  </si>
  <si>
    <t>F&amp;F Completed</t>
  </si>
  <si>
    <t xml:space="preserve">1. Issue Relieving + Experience letters from the exit
2. Employee opens My Workspace &gt; Letters</t>
  </si>
  <si>
    <t>F&amp;F Completed → Issue Relieving + Experience letters from the exit → Employee opens My Workspace &gt; Letters</t>
  </si>
  <si>
    <t>Both letters with resolved tokens; not issuable before LWD/F&amp;F</t>
  </si>
  <si>
    <t>Known issues RX-04/05</t>
  </si>
  <si>
    <t>TC-E2E-047</t>
  </si>
  <si>
    <t>Exit closure validates all gates and lists blockers</t>
  </si>
  <si>
    <t>Exit with one gate open</t>
  </si>
  <si>
    <t>1. Click Close exit</t>
  </si>
  <si>
    <t>Exit with one gate open → Click Close exit</t>
  </si>
  <si>
    <t>All blockers listed together; closure blocked</t>
  </si>
  <si>
    <t>Exit SRS — closure validates every gate</t>
  </si>
  <si>
    <t>TC-E2E-048</t>
  </si>
  <si>
    <t>After closure employee login is disabled and status Relieved/Archived</t>
  </si>
  <si>
    <t>Exit closed after LWD</t>
  </si>
  <si>
    <t xml:space="preserve">1. Try to sign in as the exited employee
2. Check Core HR status and Directory</t>
  </si>
  <si>
    <t>Exit closed after LWD → Try to sign in as the exited employee → Check Core HR status and Directory</t>
  </si>
  <si>
    <t>Login refused; status set by exit workflow; employee not in Directory; rehire eligibility recorded</t>
  </si>
  <si>
    <t>Closing exits never automated</t>
  </si>
  <si>
    <t>TC-E2E-049</t>
  </si>
  <si>
    <t>Withdrawn resignation restores normal status</t>
  </si>
  <si>
    <t>Resignation Pending</t>
  </si>
  <si>
    <t xml:space="preserve">1. Employee withdraws
2. Check Core HR status and approvals</t>
  </si>
  <si>
    <t>Resignation Pending → Employee withdraws → Check Core HR status and approvals</t>
  </si>
  <si>
    <t>Pipeline closed, approval retired, status Active</t>
  </si>
  <si>
    <t>TC-E2E-050</t>
  </si>
  <si>
    <t>Helpdesk Ticket Lifecycle</t>
  </si>
  <si>
    <t>Employee raises a support ticket</t>
  </si>
  <si>
    <t>Logged in as employee</t>
  </si>
  <si>
    <t>Subject: Unable to connect to office VPN from home (Auto …)</t>
  </si>
  <si>
    <t xml:space="preserve">1. Helpdesk &gt; Support Tickets &gt; New Ticket
2. Subject, Description, Category, Priority Medium
3. Submit</t>
  </si>
  <si>
    <t>Logged in as employee → Helpdesk &gt; Support Tickets &gt; New Ticket → Subject, Description, Category, Priority Medium → Submit</t>
  </si>
  <si>
    <t>Ticket TKT-YYYYMM-NNN listed as Open in My Support Tickets</t>
  </si>
  <si>
    <t>TC-E2E-051</t>
  </si>
  <si>
    <t>Admin moves ticket to In Progress, adds internal note, resolves</t>
  </si>
  <si>
    <t>Ticket Open</t>
  </si>
  <si>
    <t xml:space="preserve">1. Helpdesk Dashboard &gt; Manage
2. New Status In Progress &gt; Update
3. Add Internal Note
4. Resolution Notes &gt; Resolve</t>
  </si>
  <si>
    <t>Ticket Open → Helpdesk Dashboard &gt; Manage → New Status In Progress &gt; Update → Add Internal Note → Resolution Notes &gt; Resolve</t>
  </si>
  <si>
    <t>Status In Progress then Resolved; note saved</t>
  </si>
  <si>
    <t>TC-E2E-052</t>
  </si>
  <si>
    <t>Internal note is not visible to the employee</t>
  </si>
  <si>
    <t>Ticket with internal note</t>
  </si>
  <si>
    <t>1. Employee opens the ticket (View)</t>
  </si>
  <si>
    <t>Ticket with internal note → Employee opens the ticket (View)</t>
  </si>
  <si>
    <t>Note absent; marked "Not visible to employee" on admin side</t>
  </si>
  <si>
    <t>TC-E2E-053</t>
  </si>
  <si>
    <t>Assigning hands Update/Resolve to the assignee</t>
  </si>
  <si>
    <t xml:space="preserve">1. Admin assigns to agent B
2. Sign in as B
3. Open ticket</t>
  </si>
  <si>
    <t>Ticket Open → Admin assigns to agent B → Sign in as B → Open ticket</t>
  </si>
  <si>
    <t>B can Update and Resolve; status changes reflect for employee</t>
  </si>
  <si>
    <t>TC-E2E-054</t>
  </si>
  <si>
    <t>Employee sees status changes and resolution notes; ticket appears in Requests</t>
  </si>
  <si>
    <t>1. Employee opens My Support Tickets and My Workspace &gt; Requests &gt; Helpdesk Ticket</t>
  </si>
  <si>
    <t>Resolved ticket → Employee opens My Support Tickets and My Workspace &gt; Requests &gt; Helpdesk Ticket</t>
  </si>
  <si>
    <t>Status Resolved with resolution notes in both places</t>
  </si>
  <si>
    <t>TC-E2E-055</t>
  </si>
  <si>
    <t>Employee cannot view other employees' tickets</t>
  </si>
  <si>
    <t>Two employees with tickets</t>
  </si>
  <si>
    <t>1. Employee A opens B's ticket URL</t>
  </si>
  <si>
    <t>Two employees with tickets → Employee A opens B's ticket URL</t>
  </si>
  <si>
    <t>TC-E2E-056</t>
  </si>
  <si>
    <t>Letters Across Modules</t>
  </si>
  <si>
    <t>Template created and letter generated for an employee</t>
  </si>
  <si>
    <t xml:space="preserve">1. Letter Templates &gt; create template with tokens
2. Generate Letter for the run employee
3. Employee opens My Letters</t>
  </si>
  <si>
    <t>Logged in as HRMS admin amit (Amit Kumar Shaji, role HRMS / Administrator) → Letter Templates &gt; create template with tokens → Generate Letter for the run employee → Employee opens My Letters</t>
  </si>
  <si>
    <t>Letter merged with real data; visible and acknowledgeable in ESS</t>
  </si>
  <si>
    <t>Linear 006 Letter Templates — createLetterTemplate; Linear 007 Generate Letter — generateLetter</t>
  </si>
  <si>
    <t>TC-E2E-057</t>
  </si>
  <si>
    <t>Offer letter from Recruitment uses candidate tokens</t>
  </si>
  <si>
    <t>Offer approved</t>
  </si>
  <si>
    <t>1. Generate/send offer letter</t>
  </si>
  <si>
    <t>Offer approved → Generate/send offer letter</t>
  </si>
  <si>
    <t>Candidate name, designation, CTC, joining date resolved</t>
  </si>
  <si>
    <t>TC-E2E-058</t>
  </si>
  <si>
    <t>Template used</t>
  </si>
  <si>
    <t>1. Try to delete it</t>
  </si>
  <si>
    <t>Template used → Try to delete it</t>
  </si>
  <si>
    <t>Refused; deactivate offered</t>
  </si>
  <si>
    <t>TC-E2E-059</t>
  </si>
  <si>
    <t>Letter issue writes LetterIssued history on employee</t>
  </si>
  <si>
    <t>1. Open Core HR employee History</t>
  </si>
  <si>
    <t>Letter generated → Open Core HR employee History</t>
  </si>
  <si>
    <t>LetterIssued event with date and user</t>
  </si>
  <si>
    <t>TC-E2E-060</t>
  </si>
  <si>
    <t>Approval Engine Chains</t>
  </si>
  <si>
    <t>Approval chain</t>
  </si>
  <si>
    <t>Two-level chain: L1 Report Person, L2 Designation HR Manager</t>
  </si>
  <si>
    <t>Leave workflow configured with 2 levels</t>
  </si>
  <si>
    <t xml:space="preserve">1. Employee applies leave
2. L1 approves
3. L2 approves</t>
  </si>
  <si>
    <t>Leave workflow configured with 2 levels → Employee applies leave → L1 approves → L2 approves</t>
  </si>
  <si>
    <t>After L1: still Pending at L2; after L2: Approved and committed; Track shows both</t>
  </si>
  <si>
    <t>Approval Engine</t>
  </si>
  <si>
    <t>TC-E2E-061</t>
  </si>
  <si>
    <t>Workflow for a type with zero levels</t>
  </si>
  <si>
    <t>1. Raise that request</t>
  </si>
  <si>
    <t>Workflow for a type with zero levels → Raise that request</t>
  </si>
  <si>
    <t>Approved immediately, no approval rows</t>
  </si>
  <si>
    <t>TC-E2E-062</t>
  </si>
  <si>
    <t>Rejection at L1 closes the chain</t>
  </si>
  <si>
    <t>2-level chain</t>
  </si>
  <si>
    <t>1. L1 rejects with remark</t>
  </si>
  <si>
    <t>2-level chain → L1 rejects with remark</t>
  </si>
  <si>
    <t>Rejected; L2 never sees it; requester notified</t>
  </si>
  <si>
    <t>TC-E2E-063</t>
  </si>
  <si>
    <t>Workflow edit does not change in-flight requests</t>
  </si>
  <si>
    <t>Request Pending under old chain</t>
  </si>
  <si>
    <t xml:space="preserve">1. Edit the workflow levels
2. Track the request</t>
  </si>
  <si>
    <t>Request Pending under old chain → Edit the workflow levels → Track the request</t>
  </si>
  <si>
    <t>Request follows original levels; Track flags the difference</t>
  </si>
  <si>
    <t>Approval Engine — levels frozen at raise</t>
  </si>
  <si>
    <t>TC-E2E-064</t>
  </si>
  <si>
    <t>Workflow assignment routes employees to the correct workflow</t>
  </si>
  <si>
    <t>Two workflows for Leave; one assigned to a department</t>
  </si>
  <si>
    <t>1. Employee of that department applies</t>
  </si>
  <si>
    <t>Two workflows for Leave; one assigned to a department → Employee of that department applies</t>
  </si>
  <si>
    <t>Request uses the assigned workflow</t>
  </si>
  <si>
    <t>See Workflow Assignment sweep WA-01..04</t>
  </si>
  <si>
    <t>TC-E2E-065</t>
  </si>
  <si>
    <t>Notifications &amp; E-mails</t>
  </si>
  <si>
    <t>Approver notified on submission; requester on decision</t>
  </si>
  <si>
    <t>Leave chain configured; SMTP enabled</t>
  </si>
  <si>
    <t xml:space="preserve">1. Employee applies leave
2. Check approver bell + e-mail
3. Approve
4. Check employee bell + e-mail</t>
  </si>
  <si>
    <t>Leave chain configured; SMTP enabled → Employee applies leave → Check approver bell + e-mail → Approve → Check employee bell + e-mail</t>
  </si>
  <si>
    <t>In-app notification and e-mail at each step with correct links</t>
  </si>
  <si>
    <t>TC-E2E-066</t>
  </si>
  <si>
    <t>Candidate e-mails for application, interview, offer, pre-boarding</t>
  </si>
  <si>
    <t>Candidate with real test mailbox</t>
  </si>
  <si>
    <t>1. Progress candidate through stages</t>
  </si>
  <si>
    <t>Candidate with real test mailbox → Progress candidate through stages</t>
  </si>
  <si>
    <t>An e-mail per stage with correct name/details</t>
  </si>
  <si>
    <t>Tests cannot receive candidate e-mails</t>
  </si>
  <si>
    <t>TC-E2E-067</t>
  </si>
  <si>
    <t>E-mail failure does not block the transaction</t>
  </si>
  <si>
    <t>SMTP misconfigured in test tenant</t>
  </si>
  <si>
    <t>1. Approve a leave</t>
  </si>
  <si>
    <t>SMTP misconfigured in test tenant → Approve a leave</t>
  </si>
  <si>
    <t>Approval saved; e-mail failure logged only</t>
  </si>
  <si>
    <t>Consolidated SRS §0 — e-mail best-effort</t>
  </si>
  <si>
    <t>TC-E2E-068</t>
  </si>
  <si>
    <t>Notification deep link opens the right record and respects permission</t>
  </si>
  <si>
    <t>Notification received</t>
  </si>
  <si>
    <t>1. Click the notification</t>
  </si>
  <si>
    <t>Notification received → Click the notification</t>
  </si>
  <si>
    <t>Opens the exact request; if user lost permission, access denied</t>
  </si>
  <si>
    <t>TC-NFR-001</t>
  </si>
  <si>
    <t>Security — Authentication</t>
  </si>
  <si>
    <t>Valid login with company code, username and password</t>
  </si>
  <si>
    <t>Active user account</t>
  </si>
  <si>
    <t>Company: pbhrms; User: amit</t>
  </si>
  <si>
    <t xml:space="preserve">1. Open the login page
2. Enter company code pbhrms, username, password
3. Sign in</t>
  </si>
  <si>
    <t>Active user account → Open the login page → Enter company code pbhrms, username, password → Sign in</t>
  </si>
  <si>
    <t>Login succeeds; JWT stored; user lands on dashboard</t>
  </si>
  <si>
    <t>Linear run — userSession login (all pages)</t>
  </si>
  <si>
    <t>TC-NFR-002</t>
  </si>
  <si>
    <t>Wrong password shows a generic error</t>
  </si>
  <si>
    <t>Active user</t>
  </si>
  <si>
    <t xml:space="preserve">1. Enter valid username with wrong password
2. Sign in</t>
  </si>
  <si>
    <t>Active user → Enter valid username with wrong password → Sign in</t>
  </si>
  <si>
    <t>Generic "invalid username or password" — does not reveal which part was wrong</t>
  </si>
  <si>
    <t>TC-NFR-003</t>
  </si>
  <si>
    <t>Unknown username / wrong company code</t>
  </si>
  <si>
    <t xml:space="preserve">1. Sign in with unknown username
2. then with company code xyz</t>
  </si>
  <si>
    <t>Sign in with unknown username → then with company code xyz</t>
  </si>
  <si>
    <t>Generic error; no user enumeration</t>
  </si>
  <si>
    <t>TC-NFR-004</t>
  </si>
  <si>
    <t>Repeated failed logins lock or throttle the account</t>
  </si>
  <si>
    <t>Active test user</t>
  </si>
  <si>
    <t>1. Enter a wrong password 5–10 times</t>
  </si>
  <si>
    <t>Active test user → Enter a wrong password 5–10 times</t>
  </si>
  <si>
    <t>Account locked / CAPTCHA / delay applied; message explains lockout</t>
  </si>
  <si>
    <t>Verify configured lockout threshold</t>
  </si>
  <si>
    <t>TC-NFR-005</t>
  </si>
  <si>
    <t>Inactive / relieved employee cannot log in</t>
  </si>
  <si>
    <t>Employee status Inactive or exit closed</t>
  </si>
  <si>
    <t xml:space="preserve">1. Sign in with their credentials
2. Sign out</t>
  </si>
  <si>
    <t>Employee status Inactive or exit closed → Sign in with their credentials → Sign out</t>
  </si>
  <si>
    <t>Login refused</t>
  </si>
  <si>
    <t>TC-NFR-006</t>
  </si>
  <si>
    <t>Password field masked and not autocompleted insecurely</t>
  </si>
  <si>
    <t xml:space="preserve">1. Inspect the password field
2. Sign out</t>
  </si>
  <si>
    <t>Inspect the password field → Sign out</t>
  </si>
  <si>
    <t>type=password; value never visible in DOM/URL</t>
  </si>
  <si>
    <t>TC-NFR-007</t>
  </si>
  <si>
    <t>Credentials never sent in the URL</t>
  </si>
  <si>
    <t xml:space="preserve">1. Sign in with DevTools Network open
2. Sign out</t>
  </si>
  <si>
    <t>Sign in with DevTools Network open → Sign out</t>
  </si>
  <si>
    <t>Login uses POST body over HTTPS; no credentials in query string or logs</t>
  </si>
  <si>
    <t>TC-NFR-008</t>
  </si>
  <si>
    <t>Password</t>
  </si>
  <si>
    <t>Change password enforces strength rules</t>
  </si>
  <si>
    <t>Logged in user</t>
  </si>
  <si>
    <t xml:space="preserve">1. Change password to "123"
2. "password"
3. "Abcd@1234"</t>
  </si>
  <si>
    <t>Logged in user → Change password to "123" → "password" → "Abcd@1234"</t>
  </si>
  <si>
    <t>Weak passwords rejected with rule text (min length, upper/lower/digit/special); strong accepted</t>
  </si>
  <si>
    <t>TC-NFR-009</t>
  </si>
  <si>
    <t>Forgot password flow sends reset link and link expires</t>
  </si>
  <si>
    <t>User with test e-mail</t>
  </si>
  <si>
    <t xml:space="preserve">1. Click Forgot password
2. enter username/e-mail
3. use link
4. reuse link</t>
  </si>
  <si>
    <t>User with test e-mail → Click Forgot password → enter username/e-mail → use link → reuse link</t>
  </si>
  <si>
    <t>Reset works once; reused/expired link refused</t>
  </si>
  <si>
    <t>Needs e-mailed reset link</t>
  </si>
  <si>
    <t>TC-NFR-010</t>
  </si>
  <si>
    <t>Initial password = employee code must be changeable</t>
  </si>
  <si>
    <t>New employee</t>
  </si>
  <si>
    <t xml:space="preserve">1. Login with code
2. change password
3. log in with old code</t>
  </si>
  <si>
    <t>New employee → Login with code → change password → log in with old code</t>
  </si>
  <si>
    <t>Old code no longer works</t>
  </si>
  <si>
    <t>Core HR SRS — first password = Employee Code; forgot-password flow</t>
  </si>
  <si>
    <t>TC-NFR-011</t>
  </si>
  <si>
    <t>Logout invalidates the session</t>
  </si>
  <si>
    <t>Logged in</t>
  </si>
  <si>
    <t xml:space="preserve">1. Click Logout
2. press Back
3. open a protected URL</t>
  </si>
  <si>
    <t>Logged in → Click Logout → press Back → open a protected URL</t>
  </si>
  <si>
    <t>Login page shown; cached pages do not show data; API calls return 401</t>
  </si>
  <si>
    <t>TC-NFR-012</t>
  </si>
  <si>
    <t>Idle session timeout</t>
  </si>
  <si>
    <t xml:space="preserve">1. Stay idle beyond the configured timeout
2. click any menu</t>
  </si>
  <si>
    <t>Logged in → Stay idle beyond the configured timeout → click any menu</t>
  </si>
  <si>
    <t>Redirected to login / prompted to re-authenticate; no data action succeeds</t>
  </si>
  <si>
    <t>TC-NFR-013</t>
  </si>
  <si>
    <t>Expired/tampered JWT rejected by API</t>
  </si>
  <si>
    <t xml:space="preserve">1. Modify the stored token payload (e.g. change user id/tenant)
2. reload</t>
  </si>
  <si>
    <t>Logged in → Modify the stored token payload (e.g. change user id/tenant) → reload</t>
  </si>
  <si>
    <t>API returns 401; user logged out</t>
  </si>
  <si>
    <t>Consolidated SRS §0 — JWT; tenant from token</t>
  </si>
  <si>
    <t>TC-NFR-014</t>
  </si>
  <si>
    <t>Session in two tabs — logout in one ends both</t>
  </si>
  <si>
    <t>Logged in in two tabs</t>
  </si>
  <si>
    <t xml:space="preserve">1. Logout in tab 1
2. act in tab 2</t>
  </si>
  <si>
    <t>Logged in in two tabs → Logout in tab 1 → act in tab 2</t>
  </si>
  <si>
    <t>Tab 2 action redirected to login</t>
  </si>
  <si>
    <t>TC-NFR-015</t>
  </si>
  <si>
    <t>Protected routes redirect to login when logged out</t>
  </si>
  <si>
    <t xml:space="preserve">1. Open /employees, /ess, /leave-approval, /payroll directly
2. Sign out</t>
  </si>
  <si>
    <t>Logged out → Open /employees, /ess, /leave-approval, /payroll directly → Sign out</t>
  </si>
  <si>
    <t>Each redirects to login; no flash of data</t>
  </si>
  <si>
    <t>Linear pageCheck — not-login assertion (inverse)</t>
  </si>
  <si>
    <t>TC-NFR-016</t>
  </si>
  <si>
    <t>Transport</t>
  </si>
  <si>
    <t>HTTPS enforced, HTTP redirects to HTTPS</t>
  </si>
  <si>
    <t xml:space="preserve">1. Open http://hrms-test.progbiz.in
2. Sign out</t>
  </si>
  <si>
    <t>Open http://hrms-test.progbiz.in → Sign out</t>
  </si>
  <si>
    <t>301/302 to https; valid TLS certificate; HSTS header present</t>
  </si>
  <si>
    <t>TC-NFR-017</t>
  </si>
  <si>
    <t>Security headers present</t>
  </si>
  <si>
    <t xml:space="preserve">1. Inspect response headers of the app
2. Sign out</t>
  </si>
  <si>
    <t>Inspect response headers of the app → Sign out</t>
  </si>
  <si>
    <t>X-Content-Type-Options nosniff, frame protection (X-Frame-Options/CSP frame-ancestors), Referrer-Policy; no server version disclosure</t>
  </si>
  <si>
    <t>TC-NFR-018</t>
  </si>
  <si>
    <t>Cookies/tokens flagged securely</t>
  </si>
  <si>
    <t>1. Inspect cookies/local storage</t>
  </si>
  <si>
    <t>Logged in → Inspect cookies/local storage</t>
  </si>
  <si>
    <t>Auth cookies Secure + HttpOnly + SameSite; no sensitive data stored in plain text beyond the token</t>
  </si>
  <si>
    <t>TC-NFR-019</t>
  </si>
  <si>
    <t>Security — Authorization</t>
  </si>
  <si>
    <t>RBAC</t>
  </si>
  <si>
    <t>Staff cannot access admin pages via sidebar or URL</t>
  </si>
  <si>
    <t>1. Open /employees, /access-role/27, /users, /approval/config, /payroll-processing</t>
  </si>
  <si>
    <t>Logged in as an employee with access role Staff (User Level Team Member), login created via Core HR (initial password = employee code) → Open /employees, /access-role/27, /users, /approval/config, /payroll-processing</t>
  </si>
  <si>
    <t>Access denied for all</t>
  </si>
  <si>
    <t>TC-NFR-020</t>
  </si>
  <si>
    <t>Team Lead access limited to configured permissions</t>
  </si>
  <si>
    <t>1. Walk Team Lead sidebar and try admin URLs</t>
  </si>
  <si>
    <t>Logged in as a Team Lead (access role Team Lead) with at least one direct report (Reports To = this Team Lead) → Walk Team Lead sidebar and try admin URLs</t>
  </si>
  <si>
    <t>Only Team Lead–granted screens accessible</t>
  </si>
  <si>
    <t>Access-roles review: Team Lead role currently has Access Role/Users/Credential A/E/D + payroll approval — review</t>
  </si>
  <si>
    <t>TC-NFR-021</t>
  </si>
  <si>
    <t>API endpoints enforce permission, not just the UI</t>
  </si>
  <si>
    <t>1. Replay an admin API call (e.g. create leave type) with the Staff token</t>
  </si>
  <si>
    <t>Logged in as an employee with access role Staff (User Level Team Member), login created via Core HR (initial password = employee code) → Replay an admin API call (e.g. create leave type) with the Staff token</t>
  </si>
  <si>
    <t>403 Forbidden; nothing created</t>
  </si>
  <si>
    <t>Consolidated SRS §0 — every endpoint gated</t>
  </si>
  <si>
    <t>TC-NFR-022</t>
  </si>
  <si>
    <t>Removing a permission takes effect on next login/refresh</t>
  </si>
  <si>
    <t xml:space="preserve">1. Untick a screen in the role
2. user reloads</t>
  </si>
  <si>
    <t>Logged in as HRMS admin amit (Amit Kumar Shaji, role HRMS / Administrator) → Untick a screen in the role → user reloads</t>
  </si>
  <si>
    <t>Screen no longer accessible</t>
  </si>
  <si>
    <t>TC-NFR-023</t>
  </si>
  <si>
    <t>Department/branch row-level scope</t>
  </si>
  <si>
    <t>User with Accessible Departments = SOFTWARE DEVELOPMENT only</t>
  </si>
  <si>
    <t>1. Open Employees, Leave Approval, Leave Ledger</t>
  </si>
  <si>
    <t>User with Accessible Departments = SOFTWARE DEVELOPMENT only → Open Employees, Leave Approval, Leave Ledger</t>
  </si>
  <si>
    <t>Only that department's employees shown in lists and pickers</t>
  </si>
  <si>
    <t>Leave SRS — pickers limited to accessible departments</t>
  </si>
  <si>
    <t>TC-NFR-024</t>
  </si>
  <si>
    <t>IDOR</t>
  </si>
  <si>
    <t>GUID-addressed records cannot be accessed across users</t>
  </si>
  <si>
    <t>1. Replace the GUID in /employee-view/&lt;guid&gt;, /resignation/&lt;guid&gt;, /fnf/&lt;guid&gt; with another record</t>
  </si>
  <si>
    <t>Logged in as an employee with access role Staff (User Level Team Member), login created via Core HR (initial password = employee code) → Replace the GUID in /employee-view/&lt;guid&gt;, /resignation/&lt;guid&gt;, /fnf/&lt;guid&gt; with another record</t>
  </si>
  <si>
    <t>Access denied; no data</t>
  </si>
  <si>
    <t>TC-NFR-025</t>
  </si>
  <si>
    <t>No sequential numeric ids exposed in URLs</t>
  </si>
  <si>
    <t>1. Browse employee, exit, letter, ticket detail pages</t>
  </si>
  <si>
    <t>Logged in as HRMS admin amit (Amit Kumar Shaji, role HRMS / Administrator) → Browse employee, exit, letter, ticket detail pages</t>
  </si>
  <si>
    <t>URLs use GUIDs, not sequential integers</t>
  </si>
  <si>
    <t>Consolidated SRS §0 — opaque GUIDs</t>
  </si>
  <si>
    <t>TC-NFR-026</t>
  </si>
  <si>
    <t>Tenant isolation</t>
  </si>
  <si>
    <t>Data of another tenant never visible</t>
  </si>
  <si>
    <t>Two tenants available</t>
  </si>
  <si>
    <t xml:space="preserve">1. Sign in to tenant B
2. request a tenant A GUID</t>
  </si>
  <si>
    <t>Two tenants available → Sign in to tenant B → request a tenant A GUID</t>
  </si>
  <si>
    <t>Not found/denied</t>
  </si>
  <si>
    <t>Second org not available in test environment</t>
  </si>
  <si>
    <t>TC-NFR-027</t>
  </si>
  <si>
    <t>Self-approval</t>
  </si>
  <si>
    <t>User cannot approve own request</t>
  </si>
  <si>
    <t>Approver who also raises a request resolving to themselves</t>
  </si>
  <si>
    <t xml:space="preserve">1. Raise request
2. open inbox</t>
  </si>
  <si>
    <t>Approver who also raises a request resolving to themselves → Raise request → open inbox</t>
  </si>
  <si>
    <t>Own request not actionable</t>
  </si>
  <si>
    <t>Access-roles review: self-approval risk via Designation: HR Manager</t>
  </si>
  <si>
    <t>TC-NFR-028</t>
  </si>
  <si>
    <t>Security — Input Validation</t>
  </si>
  <si>
    <t>XSS</t>
  </si>
  <si>
    <t>Stored XSS payload in Core HR &gt; Employee (name, address) is escaped</t>
  </si>
  <si>
    <t>&lt;script&gt;alert(1)&lt;/script&gt;; &lt;img src=x onerror=alert(1)&gt;</t>
  </si>
  <si>
    <t xml:space="preserve">1. Open Core HR &gt; Employee (name, address)
2. Enter &lt;script&gt;alert(1)&lt;/script&gt; and &lt;img src=x onerror=alert(1)&gt; in text fields
3. Save
4. Reopen list and detail</t>
  </si>
  <si>
    <t>Logged in as HRMS admin amit (Amit Kumar Shaji, role HRMS / Administrator) → Open Core HR &gt; Employee (name, address) → Enter &lt;script&gt;alert(1)&lt;/script&gt; and &lt;img src=x onerror=alert(1)&gt; in text fields → Save → Reopen list and detail</t>
  </si>
  <si>
    <t>Payload rendered as text or rejected; no alert box</t>
  </si>
  <si>
    <t>TC-NFR-029</t>
  </si>
  <si>
    <t>Stored XSS payload in Helpdesk New Ticket (subject, description) is escaped</t>
  </si>
  <si>
    <t xml:space="preserve">1. Open Helpdesk New Ticket (subject, description)
2. Enter &lt;script&gt;alert(1)&lt;/script&gt; and &lt;img src=x onerror=alert(1)&gt; in text fields
3. Save
4. Reopen list and detail</t>
  </si>
  <si>
    <t>Logged in as HRMS admin amit (Amit Kumar Shaji, role HRMS / Administrator) → Open Helpdesk New Ticket (subject, description) → Enter &lt;script&gt;alert(1)&lt;/script&gt; and &lt;img src=x onerror=alert(1)&gt; in text fields → Save → Reopen list and detail</t>
  </si>
  <si>
    <t>TC-NFR-030</t>
  </si>
  <si>
    <t>Stored XSS payload in Leave apply Description is escaped</t>
  </si>
  <si>
    <t xml:space="preserve">1. Open Leave apply Description
2. Enter &lt;script&gt;alert(1)&lt;/script&gt; and &lt;img src=x onerror=alert(1)&gt; in text fields
3. Save
4. Reopen list and detail</t>
  </si>
  <si>
    <t>Logged in as HRMS admin amit (Amit Kumar Shaji, role HRMS / Administrator) → Open Leave apply Description → Enter &lt;script&gt;alert(1)&lt;/script&gt; and &lt;img src=x onerror=alert(1)&gt; in text fields → Save → Reopen list and detail</t>
  </si>
  <si>
    <t>TC-NFR-031</t>
  </si>
  <si>
    <t>Stored XSS payload in Recruitment career page Apply Now is escaped</t>
  </si>
  <si>
    <t xml:space="preserve">1. Open Recruitment career page Apply Now
2. Enter &lt;script&gt;alert(1)&lt;/script&gt; and &lt;img src=x onerror=alert(1)&gt; in text fields
3. Save
4. Reopen list and detail</t>
  </si>
  <si>
    <t>Logged in as HRMS admin amit (Amit Kumar Shaji, role HRMS / Administrator) → Open Recruitment career page Apply Now → Enter &lt;script&gt;alert(1)&lt;/script&gt; and &lt;img src=x onerror=alert(1)&gt; in text fields → Save → Reopen list and detail</t>
  </si>
  <si>
    <t>TC-NFR-032</t>
  </si>
  <si>
    <t>Stored XSS payload in Letter Template body (rich text) is escaped</t>
  </si>
  <si>
    <t xml:space="preserve">1. Open Letter Template body (rich text)
2. Enter &lt;script&gt;alert(1)&lt;/script&gt; and &lt;img src=x onerror=alert(1)&gt; in text fields
3. Save
4. Reopen list and detail</t>
  </si>
  <si>
    <t>Logged in as HRMS admin amit (Amit Kumar Shaji, role HRMS / Administrator) → Open Letter Template body (rich text) → Enter &lt;script&gt;alert(1)&lt;/script&gt; and &lt;img src=x onerror=alert(1)&gt; in text fields → Save → Reopen list and detail</t>
  </si>
  <si>
    <t>TC-NFR-033</t>
  </si>
  <si>
    <t>SQL injection</t>
  </si>
  <si>
    <t>SQL injection strings in search boxes</t>
  </si>
  <si>
    <t>1. Enter ' OR '1'='1 and '; DROP TABLE Users;-- in list search boxes (Employees, Job Board, Requests)</t>
  </si>
  <si>
    <t>Logged in as HRMS admin amit (Amit Kumar Shaji, role HRMS / Administrator) → Enter ' OR '1'='1 and '; DROP TABLE Users;-- in list search boxes (Employees, Job Board, Requests)</t>
  </si>
  <si>
    <t>Treated as text; no SQL error/stack trace; no extra rows</t>
  </si>
  <si>
    <t>TC-NFR-034</t>
  </si>
  <si>
    <t>Merge-field expression rejects write statements</t>
  </si>
  <si>
    <t>1. Add merge field with INSERT/UPDATE/DROP/EXEC/sp_/xp_ or ;</t>
  </si>
  <si>
    <t>Logged in as HRMS admin amit (Amit Kumar Shaji, role HRMS / Administrator) → Add merge field with INSERT/UPDATE/DROP/EXEC/sp_/xp_ or ;</t>
  </si>
  <si>
    <t>Consolidated SRS §4 — merge-field SQL single read-only expression</t>
  </si>
  <si>
    <t>TC-NFR-035</t>
  </si>
  <si>
    <t>Input</t>
  </si>
  <si>
    <t>Max length enforced on text fields</t>
  </si>
  <si>
    <t>1. Paste 5000 characters into name/subject fields</t>
  </si>
  <si>
    <t>Logged in as HRMS admin amit (Amit Kumar Shaji, role HRMS / Administrator) → Paste 5000 characters into name/subject fields</t>
  </si>
  <si>
    <t>Truncated or validated at the field limit; no server error</t>
  </si>
  <si>
    <t>TC-NFR-036</t>
  </si>
  <si>
    <t>Leading/trailing spaces trimmed</t>
  </si>
  <si>
    <t xml:space="preserve">1. Enter "  Priya  " as first name
2. Save</t>
  </si>
  <si>
    <t>Logged in as HRMS admin amit (Amit Kumar Shaji, role HRMS / Administrator) → Enter "  Priya  " as first name → Save</t>
  </si>
  <si>
    <t>Saved as "Priya"; duplicates detected despite spaces</t>
  </si>
  <si>
    <t>TC-NFR-037</t>
  </si>
  <si>
    <t>Unicode and emoji handling</t>
  </si>
  <si>
    <t>പ്രിയ; प्रिया</t>
  </si>
  <si>
    <t>1. Enter Malayalam/Hindi names and an emoji</t>
  </si>
  <si>
    <t>Logged in as HRMS admin amit (Amit Kumar Shaji, role HRMS / Administrator) → Enter Malayalam/Hindi names and an emoji</t>
  </si>
  <si>
    <t>Stored and displayed correctly or cleanly rejected</t>
  </si>
  <si>
    <t>TC-NFR-038</t>
  </si>
  <si>
    <t>Upload</t>
  </si>
  <si>
    <t>Allowed file types enforced on every upload</t>
  </si>
  <si>
    <t>1. Upload .exe, .bat, .html, .svg (with script) on Documents, Resume, Resignation letter, Ticket attachment</t>
  </si>
  <si>
    <t>Logged in as an employee with access role Staff (User Level Team Member), login created via Core HR (initial password = employee code) → Upload .exe, .bat, .html, .svg (with script) on Documents, Resume, Resignation letter, Ticket attachment</t>
  </si>
  <si>
    <t>Disallowed types rejected server-side</t>
  </si>
  <si>
    <t>TC-NFR-039</t>
  </si>
  <si>
    <t>File size limit enforced</t>
  </si>
  <si>
    <t>1. Upload 25 MB / 100 MB files</t>
  </si>
  <si>
    <t>Logged in as an employee with access role Staff (User Level Team Member), login created via Core HR (initial password = employee code) → Upload 25 MB / 100 MB files</t>
  </si>
  <si>
    <t>Size message; no timeout or crash</t>
  </si>
  <si>
    <t>TC-NFR-040</t>
  </si>
  <si>
    <t>Uploaded files served with safe headers</t>
  </si>
  <si>
    <t>1. Open an uploaded file link</t>
  </si>
  <si>
    <t>Logged in as an employee with access role Staff (User Level Team Member), login created via Core HR (initial password = employee code) → Open an uploaded file link</t>
  </si>
  <si>
    <t>Content-Disposition attachment or safe type; HTML/SVG not executed in app origin</t>
  </si>
  <si>
    <t>TC-NFR-041</t>
  </si>
  <si>
    <t>Uploaded file URLs require authentication</t>
  </si>
  <si>
    <t xml:space="preserve">1. Open a copied document URL
2. Sign out</t>
  </si>
  <si>
    <t>Logged out → Open a copied document URL → Sign out</t>
  </si>
  <si>
    <t>Denied</t>
  </si>
  <si>
    <t>TC-NFR-042</t>
  </si>
  <si>
    <t>Error handling</t>
  </si>
  <si>
    <t>Errors do not leak stack traces</t>
  </si>
  <si>
    <t>/employee-view/00000000-0000-0000-0000-000000000000</t>
  </si>
  <si>
    <t>1. Trigger an error (invalid GUID in URL)</t>
  </si>
  <si>
    <t>Logged in as HRMS admin amit (Amit Kumar Shaji, role HRMS / Administrator) → Trigger an error (invalid GUID in URL)</t>
  </si>
  <si>
    <t>Friendly message; no stack trace, SQL or server path</t>
  </si>
  <si>
    <t>TC-NFR-043</t>
  </si>
  <si>
    <t>Sensitive fields masked (PAN, Aadhar, bank account)</t>
  </si>
  <si>
    <t>1. View employee bank/statutory details and lists</t>
  </si>
  <si>
    <t>Logged in as HRMS admin amit (Amit Kumar Shaji, role HRMS / Administrator) → View employee bank/statutory details and lists</t>
  </si>
  <si>
    <t>Masked except last digits where required; full value only for permitted roles</t>
  </si>
  <si>
    <t>TC-NFR-044</t>
  </si>
  <si>
    <t>Dashboard loads within 3 s after login</t>
  </si>
  <si>
    <t xml:space="preserve">1. Login
2. measure time to dashboard interactive</t>
  </si>
  <si>
    <t>Logged in as HRMS admin amit (Amit Kumar Shaji, role HRMS / Administrator) → Login → measure time to dashboard interactive</t>
  </si>
  <si>
    <t>Interactive &lt; 3 s on 4G/broadband</t>
  </si>
  <si>
    <t>TC-NFR-045</t>
  </si>
  <si>
    <t>Employees list (100+ records) loads within 3 s</t>
  </si>
  <si>
    <t>1. Open Core HR &gt; Employee</t>
  </si>
  <si>
    <t>Logged in as HRMS admin amit (Amit Kumar Shaji, role HRMS / Administrator) → Open Core HR &gt; Employee</t>
  </si>
  <si>
    <t>List rendered &lt; 3 s; loading indicator cleared</t>
  </si>
  <si>
    <t>TC-NFR-046</t>
  </si>
  <si>
    <t>Job Applications / Candidates list with 500+ rows</t>
  </si>
  <si>
    <t xml:space="preserve">1. Open Job Applications
2. page through</t>
  </si>
  <si>
    <t>Logged in as HRMS admin amit (Amit Kumar Shaji, role HRMS / Administrator) → Open Job Applications → page through</t>
  </si>
  <si>
    <t>Each page &lt; 3 s</t>
  </si>
  <si>
    <t>TC-NFR-047</t>
  </si>
  <si>
    <t>Leave Ledger large range</t>
  </si>
  <si>
    <t>1. Open Leave Ledger for whole year all employees</t>
  </si>
  <si>
    <t>Logged in as HRMS admin amit (Amit Kumar Shaji, role HRMS / Administrator) → Open Leave Ledger for whole year all employees</t>
  </si>
  <si>
    <t>Results &lt; 5 s or paginated; no browser freeze</t>
  </si>
  <si>
    <t>TC-NFR-048</t>
  </si>
  <si>
    <t>Search responds within 1 s</t>
  </si>
  <si>
    <t>1. Type in Employees search</t>
  </si>
  <si>
    <t>Logged in as HRMS admin amit (Amit Kumar Shaji, role HRMS / Administrator) → Type in Employees search</t>
  </si>
  <si>
    <t>Results filter &lt; 1 s</t>
  </si>
  <si>
    <t>TC-NFR-049</t>
  </si>
  <si>
    <t>Blazor first load (WASM download) acceptable</t>
  </si>
  <si>
    <t>Cleared cache</t>
  </si>
  <si>
    <t xml:space="preserve">1. Open the app cold
2. measure</t>
  </si>
  <si>
    <t>Cleared cache → Open the app cold → measure</t>
  </si>
  <si>
    <t>First load &lt; 10 s; subsequent loads use cache</t>
  </si>
  <si>
    <t>TC-NFR-050</t>
  </si>
  <si>
    <t>All 128 sidebar pages load without timeout</t>
  </si>
  <si>
    <t>1. Run the linear walk</t>
  </si>
  <si>
    <t>Logged in as HRMS admin amit (Amit Kumar Shaji, role HRMS / Administrator) → Run the linear walk</t>
  </si>
  <si>
    <t>Every page loads within its timeout</t>
  </si>
  <si>
    <t>Linear 001–128 — pageCheck on every page (2026-10-19 128/128 pass)</t>
  </si>
  <si>
    <t>TC-NFR-051</t>
  </si>
  <si>
    <t>Report export (Excel) with large data</t>
  </si>
  <si>
    <t>1. Export exit reports / document compliance</t>
  </si>
  <si>
    <t>Logged in as HRMS admin amit (Amit Kumar Shaji, role HRMS / Administrator) → Export exit reports / document compliance</t>
  </si>
  <si>
    <t>File generated &lt; 15 s</t>
  </si>
  <si>
    <t>TC-NFR-052</t>
  </si>
  <si>
    <t>Payroll processing for 100 employees</t>
  </si>
  <si>
    <t>1. Process payroll (test month)</t>
  </si>
  <si>
    <t>Logged in as HRMS admin amit (Amit Kumar Shaji, role HRMS / Administrator) → Process payroll (test month)</t>
  </si>
  <si>
    <t>Completes in acceptable time with progress shown</t>
  </si>
  <si>
    <t>Payroll runs never automated</t>
  </si>
  <si>
    <t>TC-NFR-053</t>
  </si>
  <si>
    <t>Concurrency</t>
  </si>
  <si>
    <t>20 concurrent users apply leave</t>
  </si>
  <si>
    <t>20 test employees</t>
  </si>
  <si>
    <t>1. Simulate 20 users applying leave simultaneously</t>
  </si>
  <si>
    <t>20 test employees → Simulate 20 users applying leave simultaneously</t>
  </si>
  <si>
    <t>All succeed; no deadlocks; balances correct</t>
  </si>
  <si>
    <t>TC-NFR-054</t>
  </si>
  <si>
    <t>Two approvers act on the same request simultaneously</t>
  </si>
  <si>
    <t>Request visible to two approvers</t>
  </si>
  <si>
    <t>1. Both click Approve at same time</t>
  </si>
  <si>
    <t>Request visible to two approvers → Both click Approve at same time</t>
  </si>
  <si>
    <t>One decision recorded; other gets "already decided"</t>
  </si>
  <si>
    <t>TC-NFR-055</t>
  </si>
  <si>
    <t>Two HR users edit same employee</t>
  </si>
  <si>
    <t>Two admin sessions</t>
  </si>
  <si>
    <t>1. Both edit and save</t>
  </si>
  <si>
    <t>Two admin sessions → Both edit and save</t>
  </si>
  <si>
    <t>Last-save or conflict message; no corruption</t>
  </si>
  <si>
    <t>TC-NFR-056</t>
  </si>
  <si>
    <t>Load</t>
  </si>
  <si>
    <t>100 concurrent users browsing</t>
  </si>
  <si>
    <t>Load tool</t>
  </si>
  <si>
    <t>1. Ramp to 100 users for 15 min</t>
  </si>
  <si>
    <t>Load tool → Ramp to 100 users for 15 min</t>
  </si>
  <si>
    <t>p95 response &lt; 3 s; error rate &lt; 1%</t>
  </si>
  <si>
    <t>TC-NFR-057</t>
  </si>
  <si>
    <t>Double-submit guarded</t>
  </si>
  <si>
    <t>1. Double-click Save on forms (Employee, Bank Details, Ticket)</t>
  </si>
  <si>
    <t>Logged in as HRMS admin amit (Amit Kumar Shaji, role HRMS / Administrator) → Double-click Save on forms (Employee, Bank Details, Ticket)</t>
  </si>
  <si>
    <t>One record created; button disabled with progress indicator</t>
  </si>
  <si>
    <t>Core HR SRS — Save guarded against double-clicks</t>
  </si>
  <si>
    <t>TC-NFR-058</t>
  </si>
  <si>
    <t>Usability &amp; UI Consistency</t>
  </si>
  <si>
    <t>UI consistency</t>
  </si>
  <si>
    <t>Mandatory fields marked with * consistently</t>
  </si>
  <si>
    <t>1. Open create forms across modules</t>
  </si>
  <si>
    <t>Logged in as HRMS admin amit (Amit Kumar Shaji, role HRMS / Administrator) → Open create forms across modules</t>
  </si>
  <si>
    <t>Every required field has *; no required field without *</t>
  </si>
  <si>
    <t>Known UX: Exit LWD / Add-Task Title enforced but no *</t>
  </si>
  <si>
    <t>TC-NFR-059</t>
  </si>
  <si>
    <t>Validation shown inline next to fields</t>
  </si>
  <si>
    <t>1. Submit empty forms</t>
  </si>
  <si>
    <t>Logged in as HRMS admin amit (Amit Kumar Shaji, role HRMS / Administrator) → Submit empty forms</t>
  </si>
  <si>
    <t>Field-level messages, not only one-at-a-time pop-ups</t>
  </si>
  <si>
    <t>Known UX: one-at-a-time SweetAlert validation in Exit</t>
  </si>
  <si>
    <t>TC-NFR-060</t>
  </si>
  <si>
    <t>Success and error toasts consistent</t>
  </si>
  <si>
    <t>1. Perform save/delete in several modules</t>
  </si>
  <si>
    <t>Logged in as HRMS admin amit (Amit Kumar Shaji, role HRMS / Administrator) → Perform save/delete in several modules</t>
  </si>
  <si>
    <t>Same toast style/position/duration</t>
  </si>
  <si>
    <t>TC-NFR-061</t>
  </si>
  <si>
    <t>Delete actions ask for confirmation</t>
  </si>
  <si>
    <t>1. Click Delete on records in several modules</t>
  </si>
  <si>
    <t>Logged in as HRMS admin amit (Amit Kumar Shaji, role HRMS / Administrator) → Click Delete on records in several modules</t>
  </si>
  <si>
    <t>Confirmation dialog with Cancel</t>
  </si>
  <si>
    <t>Known issue ON-3: onboarding template delete has no confirm; RE-03 Approve/Reject no confirm</t>
  </si>
  <si>
    <t>TC-NFR-062</t>
  </si>
  <si>
    <t>Button labels and terminology consistent</t>
  </si>
  <si>
    <t>1. Compare Save/Submit/Cancel labels</t>
  </si>
  <si>
    <t>Logged in as HRMS admin amit (Amit Kumar Shaji, role HRMS / Administrator) → Compare Save/Submit/Cancel labels</t>
  </si>
  <si>
    <t>Consistent wording and order</t>
  </si>
  <si>
    <t>TC-NFR-063</t>
  </si>
  <si>
    <t>Loading indicators on slow actions</t>
  </si>
  <si>
    <t xml:space="preserve">1. Throttle network to Slow 3G
2. open lists and save</t>
  </si>
  <si>
    <t>Logged in as HRMS admin amit (Amit Kumar Shaji, role HRMS / Administrator) → Throttle network to Slow 3G → open lists and save</t>
  </si>
  <si>
    <t>Spinner/skeleton shown; buttons disabled during save</t>
  </si>
  <si>
    <t>TC-NFR-064</t>
  </si>
  <si>
    <t>Empty states are informative</t>
  </si>
  <si>
    <t>1. Open lists with no data</t>
  </si>
  <si>
    <t>Logged in as HRMS admin amit (Amit Kumar Shaji, role HRMS / Administrator) → Open lists with no data</t>
  </si>
  <si>
    <t>Friendly message, no blank table</t>
  </si>
  <si>
    <t>TC-NFR-065</t>
  </si>
  <si>
    <t>Breadcrumb / page heading matches sidebar label</t>
  </si>
  <si>
    <t>1. Open each page</t>
  </si>
  <si>
    <t>Logged in as HRMS admin amit (Amit Kumar Shaji, role HRMS / Administrator) → Open each page</t>
  </si>
  <si>
    <t>Heading reflects the menu label</t>
  </si>
  <si>
    <t>TC-NFR-066</t>
  </si>
  <si>
    <t>Unsaved-changes warning</t>
  </si>
  <si>
    <t xml:space="preserve">1. Edit a form
2. navigate away</t>
  </si>
  <si>
    <t>Logged in as HRMS admin amit (Amit Kumar Shaji, role HRMS / Administrator) → Edit a form → navigate away</t>
  </si>
  <si>
    <t>Warning dialog; cancel keeps edits</t>
  </si>
  <si>
    <t>TC-NFR-067</t>
  </si>
  <si>
    <t>Spelling and grammar of labels/messages</t>
  </si>
  <si>
    <t>1. Review pages and messages</t>
  </si>
  <si>
    <t>Logged in as HRMS admin amit (Amit Kumar Shaji, role HRMS / Administrator) → Review pages and messages</t>
  </si>
  <si>
    <t>No spelling errors</t>
  </si>
  <si>
    <t>Known: "Appoinment" template; "OnNotice" missing space</t>
  </si>
  <si>
    <t>TC-NFR-068</t>
  </si>
  <si>
    <t>Dropdowns sorted and searchable</t>
  </si>
  <si>
    <t>1. Open long dropdowns (employee, designation, city)</t>
  </si>
  <si>
    <t>Logged in as HRMS admin amit (Amit Kumar Shaji, role HRMS / Administrator) → Open long dropdowns (employee, designation, city)</t>
  </si>
  <si>
    <t>Sorted alphabetically; type-ahead available</t>
  </si>
  <si>
    <t>TC-NFR-069</t>
  </si>
  <si>
    <t>Tables: sorting, pagination, page size consistent</t>
  </si>
  <si>
    <t>1. Use list grids in several modules</t>
  </si>
  <si>
    <t>Logged in as HRMS admin amit (Amit Kumar Shaji, role HRMS / Administrator) → Use list grids in several modules</t>
  </si>
  <si>
    <t>Same controls and behaviour</t>
  </si>
  <si>
    <t>TC-NFR-070</t>
  </si>
  <si>
    <t>Accessibility</t>
  </si>
  <si>
    <t>Keyboard-only navigation through login and forms</t>
  </si>
  <si>
    <t>1. Use Tab/Shift+Tab/Enter/Space only</t>
  </si>
  <si>
    <t>Logged in as HRMS admin amit (Amit Kumar Shaji, role HRMS / Administrator) → Use Tab/Shift+Tab/Enter/Space only</t>
  </si>
  <si>
    <t>All controls reachable in logical order; visible focus ring</t>
  </si>
  <si>
    <t>WCAG 2.1 AA</t>
  </si>
  <si>
    <t>TC-NFR-071</t>
  </si>
  <si>
    <t>Form inputs have associated labels</t>
  </si>
  <si>
    <t>1. Inspect inputs with a screen reader / devtools</t>
  </si>
  <si>
    <t>Logged in as HRMS admin amit (Amit Kumar Shaji, role HRMS / Administrator) → Inspect inputs with a screen reader / devtools</t>
  </si>
  <si>
    <t>Every input has a label or aria-label</t>
  </si>
  <si>
    <t>TC-NFR-072</t>
  </si>
  <si>
    <t>Colour contrast ≥ 4.5:1 for text</t>
  </si>
  <si>
    <t>1. Check text/buttons with a contrast tool</t>
  </si>
  <si>
    <t>Logged in as HRMS admin amit (Amit Kumar Shaji, role HRMS / Administrator) → Check text/buttons with a contrast tool</t>
  </si>
  <si>
    <t>Meets 4.5:1 (3:1 large text)</t>
  </si>
  <si>
    <t>TC-NFR-073</t>
  </si>
  <si>
    <t>Status not conveyed by colour alone</t>
  </si>
  <si>
    <t>1. View status badges and calendars</t>
  </si>
  <si>
    <t>Logged in as HRMS admin amit (Amit Kumar Shaji, role HRMS / Administrator) → View status badges and calendars</t>
  </si>
  <si>
    <t>Text/icons accompany colours</t>
  </si>
  <si>
    <t>TC-NFR-074</t>
  </si>
  <si>
    <t>Modals trap focus and close with Esc</t>
  </si>
  <si>
    <t>1. Open dialogs</t>
  </si>
  <si>
    <t>Logged in as HRMS admin amit (Amit Kumar Shaji, role HRMS / Administrator) → Open dialogs</t>
  </si>
  <si>
    <t>Focus inside modal; Esc closes; focus returns</t>
  </si>
  <si>
    <t>TC-NFR-075</t>
  </si>
  <si>
    <t>Images and icons have alt text / aria-label</t>
  </si>
  <si>
    <t>1. Inspect icon-only buttons</t>
  </si>
  <si>
    <t>Logged in as HRMS admin amit (Amit Kumar Shaji, role HRMS / Administrator) → Inspect icon-only buttons</t>
  </si>
  <si>
    <t>Accessible names present</t>
  </si>
  <si>
    <t>TC-NFR-076</t>
  </si>
  <si>
    <t>Page zoom 200% usable</t>
  </si>
  <si>
    <t>1. Zoom to 200%</t>
  </si>
  <si>
    <t>Logged in as HRMS admin amit (Amit Kumar Shaji, role HRMS / Administrator) → Zoom to 200%</t>
  </si>
  <si>
    <t>No content cut off; no overlap</t>
  </si>
  <si>
    <t>TC-NFR-077</t>
  </si>
  <si>
    <t>Error messages announced to screen readers</t>
  </si>
  <si>
    <t>1. Trigger validation with NVDA</t>
  </si>
  <si>
    <t>Logged in as HRMS admin amit (Amit Kumar Shaji, role HRMS / Administrator) → Trigger validation with NVDA</t>
  </si>
  <si>
    <t>Errors read out (aria-live)</t>
  </si>
  <si>
    <t>TC-NFR-078</t>
  </si>
  <si>
    <t>Browser &amp; Device Compatibility</t>
  </si>
  <si>
    <t>Compatibility</t>
  </si>
  <si>
    <t>Google Chrome latest</t>
  </si>
  <si>
    <t>Chrome latest (Windows)</t>
  </si>
  <si>
    <t xml:space="preserve">1. Open the app in the target
2. Login
3. Walk key pages (Employee, Leave apply, Job Board, ESS)
4. Submit one form</t>
  </si>
  <si>
    <t>Logged in as HRMS admin amit (Amit Kumar Shaji, role HRMS / Administrator) → Open the app in the target → Login → Walk key pages (Employee, Leave apply, Job Board, ESS) → Submit one form</t>
  </si>
  <si>
    <t>Layout correct, all features work, no console errors</t>
  </si>
  <si>
    <t>Linear run — Chromium headed</t>
  </si>
  <si>
    <t>TC-NFR-079</t>
  </si>
  <si>
    <t>Microsoft Edge latest</t>
  </si>
  <si>
    <t>Edge latest</t>
  </si>
  <si>
    <t>TC-NFR-080</t>
  </si>
  <si>
    <t>Mozilla Firefox latest</t>
  </si>
  <si>
    <t>Firefox latest</t>
  </si>
  <si>
    <t>TC-NFR-081</t>
  </si>
  <si>
    <t>Safari (macOS)</t>
  </si>
  <si>
    <t>Safari latest</t>
  </si>
  <si>
    <t>TC-NFR-082</t>
  </si>
  <si>
    <t>Mobile width 375px (Android Chrome)</t>
  </si>
  <si>
    <t>TC-NFR-083</t>
  </si>
  <si>
    <t>Tablet width 768px</t>
  </si>
  <si>
    <t>Viewport 768x1024</t>
  </si>
  <si>
    <t>TC-NFR-084</t>
  </si>
  <si>
    <t>Laptop 1366x768 and large 1920x1080</t>
  </si>
  <si>
    <t>1366x768; 1920x1080</t>
  </si>
  <si>
    <t>TC-NFR-085</t>
  </si>
  <si>
    <t>Reliability</t>
  </si>
  <si>
    <t>Resilience</t>
  </si>
  <si>
    <t>Blazor reconnect after network drop</t>
  </si>
  <si>
    <t xml:space="preserve">1. Open a page
2. disable network 30 s
3. re-enable</t>
  </si>
  <si>
    <t>Logged in as HRMS admin amit (Amit Kumar Shaji, role HRMS / Administrator) → Open a page → disable network 30 s → re-enable</t>
  </si>
  <si>
    <t>Reconnect banner shown then recovers; no data loss on next save</t>
  </si>
  <si>
    <t>TC-NFR-086</t>
  </si>
  <si>
    <t>Server 503 / API failure handled gracefully</t>
  </si>
  <si>
    <t xml:space="preserve">1. Block API calls via DevTools (503)
2. perform save</t>
  </si>
  <si>
    <t>Logged in as HRMS admin amit (Amit Kumar Shaji, role HRMS / Administrator) → Block API calls via DevTools (503) → perform save</t>
  </si>
  <si>
    <t>Friendly error; form data retained; retry possible</t>
  </si>
  <si>
    <t>TC-NFR-087</t>
  </si>
  <si>
    <t>Slow server response does not create duplicates</t>
  </si>
  <si>
    <t xml:space="preserve">1. Throttle to Slow 3G
2. Save once and wait</t>
  </si>
  <si>
    <t>Logged in as HRMS admin amit (Amit Kumar Shaji, role HRMS / Administrator) → Throttle to Slow 3G → Save once and wait</t>
  </si>
  <si>
    <t>Single record; loading state shown</t>
  </si>
  <si>
    <t>TC-NFR-088</t>
  </si>
  <si>
    <t>Browser refresh mid-form</t>
  </si>
  <si>
    <t xml:space="preserve">1. Fill form
2. refresh</t>
  </si>
  <si>
    <t>Logged in as HRMS admin amit (Amit Kumar Shaji, role HRMS / Administrator) → Fill form → refresh</t>
  </si>
  <si>
    <t>Warning or clean reset; no partial records</t>
  </si>
  <si>
    <t>TC-NFR-089</t>
  </si>
  <si>
    <t>Background jobs (accrual, reminders) recover after failure</t>
  </si>
  <si>
    <t>Hangfire dashboard access</t>
  </si>
  <si>
    <t>1. Check job history after a failed run</t>
  </si>
  <si>
    <t>Hangfire dashboard access → Check job history after a failed run</t>
  </si>
  <si>
    <t>Retries; failure logged; no double accrual</t>
  </si>
  <si>
    <t>Consolidated SRS §0 — Hangfire</t>
  </si>
  <si>
    <t>TC-NFR-090</t>
  </si>
  <si>
    <t>Transaction rollback when commit handler fails</t>
  </si>
  <si>
    <t>Approval whose module handler errors</t>
  </si>
  <si>
    <t>1. Approve final level</t>
  </si>
  <si>
    <t>Approval whose module handler errors → Approve final level</t>
  </si>
  <si>
    <t>Whole decision rolled back; request stays Pending</t>
  </si>
  <si>
    <t>Approval Engine — handler failure rolls back</t>
  </si>
  <si>
    <t>TC-NFR-091</t>
  </si>
  <si>
    <t>Data Integrity &amp; Audit</t>
  </si>
  <si>
    <t>Created/updated by and time captured on records</t>
  </si>
  <si>
    <t xml:space="preserve">1. Create and edit an employee
2. view audit/history</t>
  </si>
  <si>
    <t>Logged in as HRMS admin amit (Amit Kumar Shaji, role HRMS / Administrator) → Create and edit an employee → view audit/history</t>
  </si>
  <si>
    <t>Who/when recorded for create and update</t>
  </si>
  <si>
    <t>Consolidated SRS §0 — audit columns</t>
  </si>
  <si>
    <t>TC-NFR-092</t>
  </si>
  <si>
    <t>Employee history logs field changes</t>
  </si>
  <si>
    <t xml:space="preserve">1. Change designation, department, manager
2. open History tab</t>
  </si>
  <si>
    <t>Logged in as HRMS admin amit (Amit Kumar Shaji, role HRMS / Administrator) → Change designation, department, manager → open History tab</t>
  </si>
  <si>
    <t>Events Promotion/Department Change/Manager Change with old/new and date</t>
  </si>
  <si>
    <t>Core HR SRS — History events</t>
  </si>
  <si>
    <t>TC-NFR-093</t>
  </si>
  <si>
    <t>Approval decisions keep full trail</t>
  </si>
  <si>
    <t>Decided request</t>
  </si>
  <si>
    <t>1. Open Track</t>
  </si>
  <si>
    <t>Decided request → Open Track</t>
  </si>
  <si>
    <t>Each level with approver, decision, remark, timestamp</t>
  </si>
  <si>
    <t>TC-NFR-094</t>
  </si>
  <si>
    <t>Soft delete — deleted records hidden but retained</t>
  </si>
  <si>
    <t xml:space="preserve">1. Delete a record
2. check lists and reports</t>
  </si>
  <si>
    <t>Logged in as HRMS admin amit (Amit Kumar Shaji, role HRMS / Administrator) → Delete a record → check lists and reports</t>
  </si>
  <si>
    <t>Hidden from lists; references intact</t>
  </si>
  <si>
    <t>Consolidated SRS §0 — soft delete</t>
  </si>
  <si>
    <t>TC-NFR-095</t>
  </si>
  <si>
    <t>Leave ledger balances reconcile with transactions</t>
  </si>
  <si>
    <t>1. Compare Balance List vs Leave Ledger entries</t>
  </si>
  <si>
    <t>Logged in as HRMS admin amit (Amit Kumar Shaji, role HRMS / Administrator) → Compare Balance List vs Leave Ledger entries</t>
  </si>
  <si>
    <t>Balance = sum of ledger entries</t>
  </si>
  <si>
    <t>TC-NFR-096</t>
  </si>
  <si>
    <t>Uniqueness of employee code / e-mail / phone / username</t>
  </si>
  <si>
    <t>1. Create employee duplicating each field</t>
  </si>
  <si>
    <t>Logged in as HRMS admin amit (Amit Kumar Shaji, role HRMS / Administrator) → Create employee duplicating each field</t>
  </si>
  <si>
    <t>Each duplicate refused; phone normalised with/without country code; e-mail case-insensitive</t>
  </si>
  <si>
    <t>Core HR SRS — uniqueness rules</t>
  </si>
  <si>
    <t>TC-NFR-097</t>
  </si>
  <si>
    <t>Status changes owned by exit workflow cannot be set manually</t>
  </si>
  <si>
    <t>1. Try to set Resigned/On Notice/Archived from Lifecycle</t>
  </si>
  <si>
    <t>Logged in as HRMS admin amit (Amit Kumar Shaji, role HRMS / Administrator) → Try to set Resigned/On Notice/Archived from Lifecycle</t>
  </si>
  <si>
    <t>Rejected with message to raise a resignation</t>
  </si>
  <si>
    <t>Core HR SRS — guarded status</t>
  </si>
  <si>
    <t>TC-NFR-098</t>
  </si>
  <si>
    <t>Localization</t>
  </si>
  <si>
    <t>Dates displayed as dd/mm/yyyy (or dd-MMM-yyyy) consistently</t>
  </si>
  <si>
    <t>1. Review dates in lists, details, letters, payslips</t>
  </si>
  <si>
    <t>Logged in as HRMS admin amit (Amit Kumar Shaji, role HRMS / Administrator) → Review dates in lists, details, letters, payslips</t>
  </si>
  <si>
    <t>Indian date format everywhere; no mm/dd mix</t>
  </si>
  <si>
    <t>TC-NFR-099</t>
  </si>
  <si>
    <t>Date pickers store the selected date without timezone shift</t>
  </si>
  <si>
    <t xml:space="preserve">1. Pick a date at 23:30 IST and 00:30 IST
2. save
3. reopen</t>
  </si>
  <si>
    <t>Logged in as HRMS admin amit (Amit Kumar Shaji, role HRMS / Administrator) → Pick a date at 23:30 IST and 00:30 IST → save → reopen</t>
  </si>
  <si>
    <t>Same date saved (no −1 day)</t>
  </si>
  <si>
    <t>Known issues: joining date −1 (DEF-001), mobile leave −1 off-by-one</t>
  </si>
  <si>
    <t>TC-NFR-100</t>
  </si>
  <si>
    <t>Currency shown in INR with ₹ and Indian grouping</t>
  </si>
  <si>
    <t>1. View salary, F&amp;F, payslip, offer CTC</t>
  </si>
  <si>
    <t>Logged in as HRMS admin amit (Amit Kumar Shaji, role HRMS / Administrator) → View salary, F&amp;F, payslip, offer CTC</t>
  </si>
  <si>
    <t>₹ symbol; 12,34,567.00 grouping; 2 decimals</t>
  </si>
  <si>
    <t>TC-NFR-101</t>
  </si>
  <si>
    <t>Time format and IST timezone</t>
  </si>
  <si>
    <t>1. View timestamps of approvals/tickets</t>
  </si>
  <si>
    <t>Logged in as HRMS admin amit (Amit Kumar Shaji, role HRMS / Administrator) → View timestamps of approvals/tickets</t>
  </si>
  <si>
    <t>IST times consistent with server events</t>
  </si>
  <si>
    <t>TC-NFR-102</t>
  </si>
  <si>
    <t>Financial year April–March</t>
  </si>
  <si>
    <t>1. Open Tax / 12B / payroll year selectors</t>
  </si>
  <si>
    <t>Logged in as HRMS admin amit (Amit Kumar Shaji, role HRMS / Administrator) → Open Tax / 12B / payroll year selectors</t>
  </si>
  <si>
    <t>FY shown as 2026-2027 (Apr–Mar)</t>
  </si>
  <si>
    <t>TC-NFR-103</t>
  </si>
  <si>
    <t>Phone numbers with +91 country code</t>
  </si>
  <si>
    <t>1. Enter phones with/without +91</t>
  </si>
  <si>
    <t>Logged in as HRMS admin amit (Amit Kumar Shaji, role HRMS / Administrator) → Enter phones with/without +91</t>
  </si>
  <si>
    <t>Normalised and displayed consistently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</si>
</sst>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color theme="1"/>
      <family val="2"/>
      <scheme val="minor"/>
      <sz val="11"/>
      <name val="Calibri"/>
    </font>
    <font>
      <b/>
      <color rgb="FF1F3864"/>
      <sz val="16"/>
      <name val="Arial"/>
    </font>
    <font>
      <b/>
      <sz val="10"/>
      <name val="Arial"/>
    </font>
    <font>
      <sz val="10"/>
      <name val="Arial"/>
    </font>
    <font>
      <b/>
      <color rgb="FFFFFFFF"/>
      <sz val="10"/>
      <name val="Arial"/>
    </font>
    <font>
      <u/>
      <color rgb="FF0563C1"/>
      <sz val="10"/>
      <name val="Arial"/>
    </font>
    <font>
      <i/>
      <color rgb="FF595959"/>
      <sz val="10"/>
      <name val="Arial"/>
    </font>
    <font>
      <b/>
      <color rgb="FF1F3864"/>
      <sz val="11"/>
      <name val="Arial"/>
    </font>
    <font>
      <b/>
      <color rgb="FFC65911"/>
      <sz val="10"/>
      <name val="Arial"/>
    </font>
    <font>
      <b/>
      <color rgb="FFC00000"/>
      <sz val="10"/>
      <name val="Arial"/>
    </font>
    <font>
      <b/>
      <color rgb="FF7F6000"/>
      <sz val="10"/>
      <name val="Arial"/>
    </font>
    <font>
      <b/>
      <color rgb="FF006100"/>
      <sz val="10"/>
      <name val="Arial"/>
    </font>
    <font>
      <b/>
      <color rgb="FF595959"/>
      <sz val="10"/>
      <name val="Arial"/>
    </font>
  </fonts>
  <fills count="9">
    <fill>
      <patternFill patternType="none"/>
    </fill>
    <fill>
      <patternFill patternType="gray125"/>
    </fill>
    <fill>
      <patternFill patternType="solid">
        <fgColor rgb="FF1F3864"/>
      </patternFill>
    </fill>
    <fill>
      <patternFill patternType="solid">
        <fgColor rgb="FFD9E1F2"/>
      </patternFill>
    </fill>
    <fill>
      <patternFill patternType="solid">
        <fgColor rgb="FFC6EFCE"/>
      </patternFill>
    </fill>
    <fill>
      <patternFill patternType="solid">
        <fgColor rgb="FFDDEBF7"/>
      </patternFill>
    </fill>
    <fill>
      <patternFill patternType="solid">
        <fgColor rgb="FFFFF2CC"/>
      </patternFill>
    </fill>
    <fill>
      <patternFill patternType="solid">
        <fgColor rgb="FFFCE4D6"/>
      </patternFill>
    </fill>
    <fill>
      <patternFill patternType="solid">
        <f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xf numFmtId="0" fontId="3" fillId="0" borderId="1" xfId="0" applyFont="1" applyBorder="1" applyAlignment="1">
      <alignment horizontal="center"/>
    </xf>
    <xf numFmtId="164" fontId="3" fillId="0" borderId="1" xfId="0" applyNumberFormat="1" applyFont="1" applyBorder="1" applyAlignment="1">
      <alignment horizontal="center"/>
    </xf>
    <xf numFmtId="0" fontId="2" fillId="3" borderId="1" xfId="0" applyFont="1" applyFill="1" applyBorder="1"/>
    <xf numFmtId="0" fontId="2" fillId="3" borderId="1" xfId="0" applyFont="1" applyFill="1" applyBorder="1" applyAlignment="1">
      <alignment horizontal="center"/>
    </xf>
    <xf numFmtId="164" fontId="2" fillId="3" borderId="1" xfId="0" applyNumberFormat="1" applyFont="1" applyFill="1" applyBorder="1" applyAlignment="1">
      <alignment horizontal="center"/>
    </xf>
    <xf numFmtId="0" fontId="6" fillId="0" borderId="0" xfId="0" applyFont="1"/>
    <xf numFmtId="0" fontId="7" fillId="0" borderId="0" xfId="0" applyFont="1" applyAlignment="1">
      <alignment vertical="top"/>
    </xf>
    <xf numFmtId="0" fontId="3" fillId="0" borderId="0" xfId="0" applyFont="1" applyAlignment="1">
      <alignment vertical="top" wrapText="1"/>
    </xf>
    <xf numFmtId="0" fontId="2" fillId="0" borderId="0" xfId="0" applyFont="1" applyAlignment="1">
      <alignment vertical="top"/>
    </xf>
    <xf numFmtId="0" fontId="2" fillId="4" borderId="0" xfId="0" applyFont="1" applyFill="1" applyAlignment="1">
      <alignment vertical="top"/>
    </xf>
    <xf numFmtId="0" fontId="2" fillId="5" borderId="0" xfId="0" applyFont="1" applyFill="1" applyAlignment="1">
      <alignment vertical="top"/>
    </xf>
    <xf numFmtId="0" fontId="2" fillId="6" borderId="0" xfId="0" applyFont="1" applyFill="1" applyAlignment="1">
      <alignment vertical="top"/>
    </xf>
    <xf numFmtId="0" fontId="2" fillId="7" borderId="0" xfId="0" applyFont="1" applyFill="1" applyAlignment="1">
      <alignment vertical="top"/>
    </xf>
    <xf numFmtId="0" fontId="2" fillId="8" borderId="0" xfId="0" applyFont="1" applyFill="1" applyAlignment="1">
      <alignment vertical="top"/>
    </xf>
    <xf numFmtId="0" fontId="4" fillId="2" borderId="1" xfId="0" applyFont="1" applyFill="1" applyBorder="1" applyAlignment="1">
      <alignment horizontal="center" vertical="center"/>
    </xf>
    <xf numFmtId="0" fontId="3" fillId="0" borderId="1" xfId="0" applyFont="1" applyBorder="1"/>
    <xf numFmtId="0" fontId="3" fillId="4" borderId="1" xfId="0" applyFont="1" applyFill="1" applyBorder="1"/>
    <xf numFmtId="0" fontId="3" fillId="0" borderId="1" xfId="0" applyFont="1" applyBorder="1" applyAlignment="1">
      <alignment vertical="top" wrapText="1"/>
    </xf>
    <xf numFmtId="0" fontId="8" fillId="0" borderId="1" xfId="0" applyFont="1" applyBorder="1" applyAlignment="1">
      <alignment vertical="top" wrapText="1"/>
    </xf>
    <xf numFmtId="0" fontId="3" fillId="6"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3" fillId="4" borderId="1" xfId="0" applyFont="1" applyFill="1" applyBorder="1" applyAlignment="1">
      <alignment vertical="top" wrapText="1"/>
    </xf>
    <xf numFmtId="0" fontId="11" fillId="0" borderId="1" xfId="0" applyFont="1" applyBorder="1" applyAlignment="1">
      <alignment vertical="top" wrapText="1"/>
    </xf>
    <xf numFmtId="0" fontId="3" fillId="7" borderId="1" xfId="0" applyFont="1" applyFill="1" applyBorder="1" applyAlignment="1">
      <alignment vertical="top" wrapText="1"/>
    </xf>
    <xf numFmtId="0" fontId="3" fillId="5" borderId="1" xfId="0" applyFont="1" applyFill="1" applyBorder="1" applyAlignment="1">
      <alignment vertical="top" wrapText="1"/>
    </xf>
    <xf numFmtId="0" fontId="12" fillId="0" borderId="1" xfId="0" applyFont="1" applyBorder="1" applyAlignment="1">
      <alignment vertical="top" wrapText="1"/>
    </xf>
    <xf numFmtId="0" fontId="3"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Login &amp; Navigation&apos;!A1" TargetMode="External"/><Relationship Id="rId2" Type="http://schemas.openxmlformats.org/officeDocument/2006/relationships/hyperlink" Target="#&apos;Core HR&apos;!A1" TargetMode="External"/><Relationship Id="rId3" Type="http://schemas.openxmlformats.org/officeDocument/2006/relationships/hyperlink" Target="#&apos;Recruitment&apos;!A1" TargetMode="External"/><Relationship Id="rId4" Type="http://schemas.openxmlformats.org/officeDocument/2006/relationships/hyperlink" Target="#&apos;Referral&apos;!A1" TargetMode="External"/><Relationship Id="rId5" Type="http://schemas.openxmlformats.org/officeDocument/2006/relationships/hyperlink" Target="#&apos;Onboarding &amp; Probation&apos;!A1" TargetMode="External"/><Relationship Id="rId6" Type="http://schemas.openxmlformats.org/officeDocument/2006/relationships/hyperlink" Target="#&apos;Attendance&apos;!A1" TargetMode="External"/><Relationship Id="rId7" Type="http://schemas.openxmlformats.org/officeDocument/2006/relationships/hyperlink" Target="#&apos;Leave&apos;!A1" TargetMode="External"/><Relationship Id="rId8" Type="http://schemas.openxmlformats.org/officeDocument/2006/relationships/hyperlink" Target="#&apos;Payroll&apos;!A1" TargetMode="External"/><Relationship Id="rId9" Type="http://schemas.openxmlformats.org/officeDocument/2006/relationships/hyperlink" Target="#&apos;Resignation &amp; Exit&apos;!A1" TargetMode="External"/><Relationship Id="rId10" Type="http://schemas.openxmlformats.org/officeDocument/2006/relationships/hyperlink" Target="#&apos;My Workspace (ESS)&apos;!A1" TargetMode="External"/><Relationship Id="rId11" Type="http://schemas.openxmlformats.org/officeDocument/2006/relationships/hyperlink" Target="#&apos;Helpdesk&apos;!A1" TargetMode="External"/><Relationship Id="rId12" Type="http://schemas.openxmlformats.org/officeDocument/2006/relationships/hyperlink" Target="#&apos;Cross-Module E2E&apos;!A1" TargetMode="External"/><Relationship Id="rId13" Type="http://schemas.openxmlformats.org/officeDocument/2006/relationships/hyperlink" Target="#&apos;Non-Functional&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M26"/>
  <sheetViews>
    <sheetView workbookViewId="0">
      <pane ySplit="10" topLeftCell="A11" activePane="bottomLeft" state="frozen"/>
      <selection pane="bottomLeft"/>
    </sheetView>
  </sheetViews>
  <sheetFormatPr defaultRowHeight="15" outlineLevelRow="0" outlineLevelCol="0" x14ac:dyDescent="55"/>
  <cols>
    <col min="1" max="1" width="26" customWidth="1"/>
    <col min="2" max="5" width="11" customWidth="1"/>
    <col min="6" max="9" width="13" customWidth="1"/>
    <col min="10" max="11" width="11" customWidth="1"/>
    <col min="12" max="13" width="13" customWidth="1"/>
  </cols>
  <sheetData>
    <row r="1" spans="1:13" x14ac:dyDescent="0.25">
      <c r="A1" s="1" t="s">
        <v>0</v>
      </c>
      <c r="B1" s="1"/>
      <c r="C1" s="1"/>
      <c r="D1" s="1"/>
      <c r="E1" s="1"/>
      <c r="F1" s="1"/>
      <c r="G1" s="1"/>
      <c r="H1" s="1"/>
      <c r="I1" s="1"/>
      <c r="J1" s="1"/>
      <c r="K1" s="1"/>
      <c r="L1" s="1"/>
      <c r="M1" s="1"/>
    </row>
    <row r="3" spans="1:13" x14ac:dyDescent="0.25">
      <c r="A3" s="2" t="s">
        <v>1</v>
      </c>
      <c r="B3" s="3" t="s">
        <v>2</v>
      </c>
      <c r="C3" s="3"/>
      <c r="D3" s="3"/>
      <c r="E3" s="3"/>
      <c r="F3" s="3"/>
      <c r="G3" s="3"/>
      <c r="H3" s="3"/>
      <c r="I3" s="3"/>
      <c r="J3" s="3"/>
      <c r="K3" s="3"/>
      <c r="L3" s="3"/>
      <c r="M3" s="3"/>
    </row>
    <row r="4" spans="1:13" x14ac:dyDescent="0.25">
      <c r="A4" s="2" t="s">
        <v>3</v>
      </c>
      <c r="B4" s="3" t="s">
        <v>4</v>
      </c>
      <c r="C4" s="3"/>
      <c r="D4" s="3"/>
      <c r="E4" s="3"/>
      <c r="F4" s="3"/>
      <c r="G4" s="3"/>
      <c r="H4" s="3"/>
      <c r="I4" s="3"/>
      <c r="J4" s="3"/>
      <c r="K4" s="3"/>
      <c r="L4" s="3"/>
      <c r="M4" s="3"/>
    </row>
    <row r="5" spans="1:13" x14ac:dyDescent="0.25">
      <c r="A5" s="2" t="s">
        <v>5</v>
      </c>
      <c r="B5" s="3" t="s">
        <v>6</v>
      </c>
      <c r="C5" s="3"/>
      <c r="D5" s="3"/>
      <c r="E5" s="3"/>
      <c r="F5" s="3"/>
      <c r="G5" s="3"/>
      <c r="H5" s="3"/>
      <c r="I5" s="3"/>
      <c r="J5" s="3"/>
      <c r="K5" s="3"/>
      <c r="L5" s="3"/>
      <c r="M5" s="3"/>
    </row>
    <row r="6" spans="1:13" x14ac:dyDescent="0.25">
      <c r="A6" s="2" t="s">
        <v>7</v>
      </c>
      <c r="B6" s="3" t="s">
        <v>8</v>
      </c>
      <c r="C6" s="3"/>
      <c r="D6" s="3"/>
      <c r="E6" s="3"/>
      <c r="F6" s="3"/>
      <c r="G6" s="3"/>
      <c r="H6" s="3"/>
      <c r="I6" s="3"/>
      <c r="J6" s="3"/>
      <c r="K6" s="3"/>
      <c r="L6" s="3"/>
      <c r="M6" s="3"/>
    </row>
    <row r="7" spans="1:13" x14ac:dyDescent="0.25">
      <c r="A7" s="2" t="s">
        <v>9</v>
      </c>
      <c r="B7" s="3" t="s">
        <v>10</v>
      </c>
      <c r="C7" s="3"/>
      <c r="D7" s="3"/>
      <c r="E7" s="3"/>
      <c r="F7" s="3"/>
      <c r="G7" s="3"/>
      <c r="H7" s="3"/>
      <c r="I7" s="3"/>
      <c r="J7" s="3"/>
      <c r="K7" s="3"/>
      <c r="L7" s="3"/>
      <c r="M7" s="3"/>
    </row>
    <row r="10" ht="32" customHeight="1" spans="1:13" x14ac:dyDescent="0.25">
      <c r="A10" s="4" t="s">
        <v>11</v>
      </c>
      <c r="B10" s="4" t="s">
        <v>12</v>
      </c>
      <c r="C10" s="4" t="s">
        <v>13</v>
      </c>
      <c r="D10" s="4" t="s">
        <v>14</v>
      </c>
      <c r="E10" s="4" t="s">
        <v>15</v>
      </c>
      <c r="F10" s="4" t="s">
        <v>16</v>
      </c>
      <c r="G10" s="4" t="s">
        <v>17</v>
      </c>
      <c r="H10" s="4" t="s">
        <v>18</v>
      </c>
      <c r="I10" s="4" t="s">
        <v>19</v>
      </c>
      <c r="J10" s="4" t="s">
        <v>20</v>
      </c>
      <c r="K10" s="4" t="s">
        <v>21</v>
      </c>
      <c r="L10" s="4" t="s">
        <v>22</v>
      </c>
      <c r="M10" s="4" t="s">
        <v>23</v>
      </c>
    </row>
    <row r="11" spans="1:13" x14ac:dyDescent="0.25">
      <c r="A11" s="5" t="s">
        <v>24</v>
      </c>
      <c r="B11" s="6">
        <f>COUNTA('Login &amp; Navigation'!$A$2:$A$92)</f>
        <v>91</v>
      </c>
      <c r="C11" s="6">
        <f>COUNTIF('Login &amp; Navigation'!$L$2:$L$92,"High")</f>
        <v>44</v>
      </c>
      <c r="D11" s="6">
        <f>COUNTIF('Login &amp; Navigation'!$J$2:$J$92,"Positive")</f>
        <v>27</v>
      </c>
      <c r="E11" s="6">
        <f>COUNTIF('Login &amp; Navigation'!$J$2:$J$92,"Negative")</f>
        <v>11</v>
      </c>
      <c r="F11" s="6">
        <f>COUNTIF('Login &amp; Navigation'!$M$2:$M$92,"Automated (Linear Run)")</f>
        <v>4</v>
      </c>
      <c r="G11" s="6">
        <f>COUNTIF('Login &amp; Navigation'!$M$2:$M$92,"Automated (Page Check)")</f>
        <v>1</v>
      </c>
      <c r="H11" s="6">
        <f>COUNTIF('Login &amp; Navigation'!$M$2:$M$92,"Not Automated")</f>
        <v>84</v>
      </c>
      <c r="I11" s="6">
        <f>COUNTIF('Login &amp; Navigation'!$M$2:$M$92,"Blocked")</f>
        <v>2</v>
      </c>
      <c r="J11" s="6">
        <f>COUNTIF('Login &amp; Navigation'!$M$2:$M$92,"Out of Scope")</f>
        <v>0</v>
      </c>
      <c r="K11" s="6">
        <f>COUNTIF('Login &amp; Navigation'!$O$2:$O$92,"Passed*")</f>
        <v>5</v>
      </c>
      <c r="L11" s="7">
        <f>IF(B11=0,0,(F11+G11)/B11)</f>
        <v>0.054945054945054944</v>
      </c>
      <c r="M11" s="7">
        <f>IF(B11=0,0,K11/B11)</f>
        <v>0.054945054945054944</v>
      </c>
    </row>
    <row r="12" spans="1:13" x14ac:dyDescent="0.25">
      <c r="A12" s="5" t="s">
        <v>25</v>
      </c>
      <c r="B12" s="6">
        <f>COUNTA('Core HR'!$A$2:$A$295)</f>
        <v>294</v>
      </c>
      <c r="C12" s="6">
        <f>COUNTIF('Core HR'!$L$2:$L$295,"High")</f>
        <v>98</v>
      </c>
      <c r="D12" s="6">
        <f>COUNTIF('Core HR'!$J$2:$J$295,"Positive")</f>
        <v>105</v>
      </c>
      <c r="E12" s="6">
        <f>COUNTIF('Core HR'!$J$2:$J$295,"Negative")</f>
        <v>46</v>
      </c>
      <c r="F12" s="6">
        <f>COUNTIF('Core HR'!$M$2:$M$295,"Automated (Linear Run)")</f>
        <v>31</v>
      </c>
      <c r="G12" s="6">
        <f>COUNTIF('Core HR'!$M$2:$M$295,"Automated (Page Check)")</f>
        <v>11</v>
      </c>
      <c r="H12" s="6">
        <f>COUNTIF('Core HR'!$M$2:$M$295,"Not Automated")</f>
        <v>252</v>
      </c>
      <c r="I12" s="6">
        <f>COUNTIF('Core HR'!$M$2:$M$295,"Blocked")</f>
        <v>0</v>
      </c>
      <c r="J12" s="6">
        <f>COUNTIF('Core HR'!$M$2:$M$295,"Out of Scope")</f>
        <v>0</v>
      </c>
      <c r="K12" s="6">
        <f>COUNTIF('Core HR'!$O$2:$O$295,"Passed*")</f>
        <v>42</v>
      </c>
      <c r="L12" s="7">
        <f>IF(B12=0,0,(F12+G12)/B12)</f>
        <v>0.14285714285714285</v>
      </c>
      <c r="M12" s="7">
        <f>IF(B12=0,0,K12/B12)</f>
        <v>0.14285714285714285</v>
      </c>
    </row>
    <row r="13" spans="1:13" x14ac:dyDescent="0.25">
      <c r="A13" s="5" t="s">
        <v>26</v>
      </c>
      <c r="B13" s="6">
        <f>COUNTA('Recruitment'!$A$2:$A$341)</f>
        <v>340</v>
      </c>
      <c r="C13" s="6">
        <f>COUNTIF('Recruitment'!$L$2:$L$341,"High")</f>
        <v>101</v>
      </c>
      <c r="D13" s="6">
        <f>COUNTIF('Recruitment'!$J$2:$J$341,"Positive")</f>
        <v>120</v>
      </c>
      <c r="E13" s="6">
        <f>COUNTIF('Recruitment'!$J$2:$J$341,"Negative")</f>
        <v>38</v>
      </c>
      <c r="F13" s="6">
        <f>COUNTIF('Recruitment'!$M$2:$M$341,"Automated (Linear Run)")</f>
        <v>39</v>
      </c>
      <c r="G13" s="6">
        <f>COUNTIF('Recruitment'!$M$2:$M$341,"Automated (Page Check)")</f>
        <v>12</v>
      </c>
      <c r="H13" s="6">
        <f>COUNTIF('Recruitment'!$M$2:$M$341,"Not Automated")</f>
        <v>283</v>
      </c>
      <c r="I13" s="6">
        <f>COUNTIF('Recruitment'!$M$2:$M$341,"Blocked")</f>
        <v>6</v>
      </c>
      <c r="J13" s="6">
        <f>COUNTIF('Recruitment'!$M$2:$M$341,"Out of Scope")</f>
        <v>0</v>
      </c>
      <c r="K13" s="6">
        <f>COUNTIF('Recruitment'!$O$2:$O$341,"Passed*")</f>
        <v>51</v>
      </c>
      <c r="L13" s="7">
        <f>IF(B13=0,0,(F13+G13)/B13)</f>
        <v>0.15</v>
      </c>
      <c r="M13" s="7">
        <f>IF(B13=0,0,K13/B13)</f>
        <v>0.15</v>
      </c>
    </row>
    <row r="14" spans="1:13" x14ac:dyDescent="0.25">
      <c r="A14" s="5" t="s">
        <v>27</v>
      </c>
      <c r="B14" s="6">
        <f>COUNTA('Referral'!$A$2:$A$84)</f>
        <v>83</v>
      </c>
      <c r="C14" s="6">
        <f>COUNTIF('Referral'!$L$2:$L$84,"High")</f>
        <v>25</v>
      </c>
      <c r="D14" s="6">
        <f>COUNTIF('Referral'!$J$2:$J$84,"Positive")</f>
        <v>24</v>
      </c>
      <c r="E14" s="6">
        <f>COUNTIF('Referral'!$J$2:$J$84,"Negative")</f>
        <v>13</v>
      </c>
      <c r="F14" s="6">
        <f>COUNTIF('Referral'!$M$2:$M$84,"Automated (Linear Run)")</f>
        <v>13</v>
      </c>
      <c r="G14" s="6">
        <f>COUNTIF('Referral'!$M$2:$M$84,"Automated (Page Check)")</f>
        <v>3</v>
      </c>
      <c r="H14" s="6">
        <f>COUNTIF('Referral'!$M$2:$M$84,"Not Automated")</f>
        <v>55</v>
      </c>
      <c r="I14" s="6">
        <f>COUNTIF('Referral'!$M$2:$M$84,"Blocked")</f>
        <v>0</v>
      </c>
      <c r="J14" s="6">
        <f>COUNTIF('Referral'!$M$2:$M$84,"Out of Scope")</f>
        <v>12</v>
      </c>
      <c r="K14" s="6">
        <f>COUNTIF('Referral'!$O$2:$O$84,"Passed*")</f>
        <v>16</v>
      </c>
      <c r="L14" s="7">
        <f>IF(B14=0,0,(F14+G14)/B14)</f>
        <v>0.1927710843373494</v>
      </c>
      <c r="M14" s="7">
        <f>IF(B14=0,0,K14/B14)</f>
        <v>0.1927710843373494</v>
      </c>
    </row>
    <row r="15" spans="1:13" x14ac:dyDescent="0.25">
      <c r="A15" s="5" t="s">
        <v>28</v>
      </c>
      <c r="B15" s="6">
        <f>COUNTA('Onboarding &amp; Probation'!$A$2:$A$239)</f>
        <v>238</v>
      </c>
      <c r="C15" s="6">
        <f>COUNTIF('Onboarding &amp; Probation'!$L$2:$L$239,"High")</f>
        <v>84</v>
      </c>
      <c r="D15" s="6">
        <f>COUNTIF('Onboarding &amp; Probation'!$J$2:$J$239,"Positive")</f>
        <v>79</v>
      </c>
      <c r="E15" s="6">
        <f>COUNTIF('Onboarding &amp; Probation'!$J$2:$J$239,"Negative")</f>
        <v>37</v>
      </c>
      <c r="F15" s="6">
        <f>COUNTIF('Onboarding &amp; Probation'!$M$2:$M$239,"Automated (Linear Run)")</f>
        <v>3</v>
      </c>
      <c r="G15" s="6">
        <f>COUNTIF('Onboarding &amp; Probation'!$M$2:$M$239,"Automated (Page Check)")</f>
        <v>15</v>
      </c>
      <c r="H15" s="6">
        <f>COUNTIF('Onboarding &amp; Probation'!$M$2:$M$239,"Not Automated")</f>
        <v>202</v>
      </c>
      <c r="I15" s="6">
        <f>COUNTIF('Onboarding &amp; Probation'!$M$2:$M$239,"Blocked")</f>
        <v>18</v>
      </c>
      <c r="J15" s="6">
        <f>COUNTIF('Onboarding &amp; Probation'!$M$2:$M$239,"Out of Scope")</f>
        <v>0</v>
      </c>
      <c r="K15" s="6">
        <f>COUNTIF('Onboarding &amp; Probation'!$O$2:$O$239,"Passed*")</f>
        <v>18</v>
      </c>
      <c r="L15" s="7">
        <f>IF(B15=0,0,(F15+G15)/B15)</f>
        <v>0.07563025210084033</v>
      </c>
      <c r="M15" s="7">
        <f>IF(B15=0,0,K15/B15)</f>
        <v>0.07563025210084033</v>
      </c>
    </row>
    <row r="16" spans="1:13" x14ac:dyDescent="0.25">
      <c r="A16" s="5" t="s">
        <v>29</v>
      </c>
      <c r="B16" s="6">
        <f>COUNTA('Attendance'!$A$2:$A$170)</f>
        <v>169</v>
      </c>
      <c r="C16" s="6">
        <f>COUNTIF('Attendance'!$L$2:$L$170,"High")</f>
        <v>51</v>
      </c>
      <c r="D16" s="6">
        <f>COUNTIF('Attendance'!$J$2:$J$170,"Positive")</f>
        <v>55</v>
      </c>
      <c r="E16" s="6">
        <f>COUNTIF('Attendance'!$J$2:$J$170,"Negative")</f>
        <v>26</v>
      </c>
      <c r="F16" s="6">
        <f>COUNTIF('Attendance'!$M$2:$M$170,"Automated (Linear Run)")</f>
        <v>0</v>
      </c>
      <c r="G16" s="6">
        <f>COUNTIF('Attendance'!$M$2:$M$170,"Automated (Page Check)")</f>
        <v>8</v>
      </c>
      <c r="H16" s="6">
        <f>COUNTIF('Attendance'!$M$2:$M$170,"Not Automated")</f>
        <v>138</v>
      </c>
      <c r="I16" s="6">
        <f>COUNTIF('Attendance'!$M$2:$M$170,"Blocked")</f>
        <v>23</v>
      </c>
      <c r="J16" s="6">
        <f>COUNTIF('Attendance'!$M$2:$M$170,"Out of Scope")</f>
        <v>0</v>
      </c>
      <c r="K16" s="6">
        <f>COUNTIF('Attendance'!$O$2:$O$170,"Passed*")</f>
        <v>8</v>
      </c>
      <c r="L16" s="7">
        <f>IF(B16=0,0,(F16+G16)/B16)</f>
        <v>0.047337278106508875</v>
      </c>
      <c r="M16" s="7">
        <f>IF(B16=0,0,K16/B16)</f>
        <v>0.047337278106508875</v>
      </c>
    </row>
    <row r="17" spans="1:13" x14ac:dyDescent="0.25">
      <c r="A17" s="5" t="s">
        <v>30</v>
      </c>
      <c r="B17" s="6">
        <f>COUNTA('Leave'!$A$2:$A$296)</f>
        <v>295</v>
      </c>
      <c r="C17" s="6">
        <f>COUNTIF('Leave'!$L$2:$L$296,"High")</f>
        <v>84</v>
      </c>
      <c r="D17" s="6">
        <f>COUNTIF('Leave'!$J$2:$J$296,"Positive")</f>
        <v>86</v>
      </c>
      <c r="E17" s="6">
        <f>COUNTIF('Leave'!$J$2:$J$296,"Negative")</f>
        <v>55</v>
      </c>
      <c r="F17" s="6">
        <f>COUNTIF('Leave'!$M$2:$M$296,"Automated (Linear Run)")</f>
        <v>11</v>
      </c>
      <c r="G17" s="6">
        <f>COUNTIF('Leave'!$M$2:$M$296,"Automated (Page Check)")</f>
        <v>13</v>
      </c>
      <c r="H17" s="6">
        <f>COUNTIF('Leave'!$M$2:$M$296,"Not Automated")</f>
        <v>269</v>
      </c>
      <c r="I17" s="6">
        <f>COUNTIF('Leave'!$M$2:$M$296,"Blocked")</f>
        <v>0</v>
      </c>
      <c r="J17" s="6">
        <f>COUNTIF('Leave'!$M$2:$M$296,"Out of Scope")</f>
        <v>2</v>
      </c>
      <c r="K17" s="6">
        <f>COUNTIF('Leave'!$O$2:$O$296,"Passed*")</f>
        <v>24</v>
      </c>
      <c r="L17" s="7">
        <f>IF(B17=0,0,(F17+G17)/B17)</f>
        <v>0.08135593220338982</v>
      </c>
      <c r="M17" s="7">
        <f>IF(B17=0,0,K17/B17)</f>
        <v>0.08135593220338982</v>
      </c>
    </row>
    <row r="18" spans="1:13" x14ac:dyDescent="0.25">
      <c r="A18" s="5" t="s">
        <v>31</v>
      </c>
      <c r="B18" s="6">
        <f>COUNTA('Payroll'!$A$2:$A$286)</f>
        <v>285</v>
      </c>
      <c r="C18" s="6">
        <f>COUNTIF('Payroll'!$L$2:$L$286,"High")</f>
        <v>120</v>
      </c>
      <c r="D18" s="6">
        <f>COUNTIF('Payroll'!$J$2:$J$286,"Positive")</f>
        <v>88</v>
      </c>
      <c r="E18" s="6">
        <f>COUNTIF('Payroll'!$J$2:$J$286,"Negative")</f>
        <v>41</v>
      </c>
      <c r="F18" s="6">
        <f>COUNTIF('Payroll'!$M$2:$M$286,"Automated (Linear Run)")</f>
        <v>0</v>
      </c>
      <c r="G18" s="6">
        <f>COUNTIF('Payroll'!$M$2:$M$286,"Automated (Page Check)")</f>
        <v>30</v>
      </c>
      <c r="H18" s="6">
        <f>COUNTIF('Payroll'!$M$2:$M$286,"Not Automated")</f>
        <v>236</v>
      </c>
      <c r="I18" s="6">
        <f>COUNTIF('Payroll'!$M$2:$M$286,"Blocked")</f>
        <v>0</v>
      </c>
      <c r="J18" s="6">
        <f>COUNTIF('Payroll'!$M$2:$M$286,"Out of Scope")</f>
        <v>19</v>
      </c>
      <c r="K18" s="6">
        <f>COUNTIF('Payroll'!$O$2:$O$286,"Passed*")</f>
        <v>30</v>
      </c>
      <c r="L18" s="7">
        <f>IF(B18=0,0,(F18+G18)/B18)</f>
        <v>0.10526315789473684</v>
      </c>
      <c r="M18" s="7">
        <f>IF(B18=0,0,K18/B18)</f>
        <v>0.10526315789473684</v>
      </c>
    </row>
    <row r="19" spans="1:13" x14ac:dyDescent="0.25">
      <c r="A19" s="5" t="s">
        <v>32</v>
      </c>
      <c r="B19" s="6">
        <f>COUNTA('Resignation &amp; Exit'!$A$2:$A$182)</f>
        <v>181</v>
      </c>
      <c r="C19" s="6">
        <f>COUNTIF('Resignation &amp; Exit'!$L$2:$L$182,"High")</f>
        <v>67</v>
      </c>
      <c r="D19" s="6">
        <f>COUNTIF('Resignation &amp; Exit'!$J$2:$J$182,"Positive")</f>
        <v>51</v>
      </c>
      <c r="E19" s="6">
        <f>COUNTIF('Resignation &amp; Exit'!$J$2:$J$182,"Negative")</f>
        <v>28</v>
      </c>
      <c r="F19" s="6">
        <f>COUNTIF('Resignation &amp; Exit'!$M$2:$M$182,"Automated (Linear Run)")</f>
        <v>0</v>
      </c>
      <c r="G19" s="6">
        <f>COUNTIF('Resignation &amp; Exit'!$M$2:$M$182,"Automated (Page Check)")</f>
        <v>15</v>
      </c>
      <c r="H19" s="6">
        <f>COUNTIF('Resignation &amp; Exit'!$M$2:$M$182,"Not Automated")</f>
        <v>146</v>
      </c>
      <c r="I19" s="6">
        <f>COUNTIF('Resignation &amp; Exit'!$M$2:$M$182,"Blocked")</f>
        <v>1</v>
      </c>
      <c r="J19" s="6">
        <f>COUNTIF('Resignation &amp; Exit'!$M$2:$M$182,"Out of Scope")</f>
        <v>19</v>
      </c>
      <c r="K19" s="6">
        <f>COUNTIF('Resignation &amp; Exit'!$O$2:$O$182,"Passed*")</f>
        <v>15</v>
      </c>
      <c r="L19" s="7">
        <f>IF(B19=0,0,(F19+G19)/B19)</f>
        <v>0.08287292817679558</v>
      </c>
      <c r="M19" s="7">
        <f>IF(B19=0,0,K19/B19)</f>
        <v>0.08287292817679558</v>
      </c>
    </row>
    <row r="20" spans="1:13" x14ac:dyDescent="0.25">
      <c r="A20" s="5" t="s">
        <v>33</v>
      </c>
      <c r="B20" s="6">
        <f>COUNTA('My Workspace (ESS)'!$A$2:$A$210)</f>
        <v>209</v>
      </c>
      <c r="C20" s="6">
        <f>COUNTIF('My Workspace (ESS)'!$L$2:$L$210,"High")</f>
        <v>96</v>
      </c>
      <c r="D20" s="6">
        <f>COUNTIF('My Workspace (ESS)'!$J$2:$J$210,"Positive")</f>
        <v>67</v>
      </c>
      <c r="E20" s="6">
        <f>COUNTIF('My Workspace (ESS)'!$J$2:$J$210,"Negative")</f>
        <v>27</v>
      </c>
      <c r="F20" s="6">
        <f>COUNTIF('My Workspace (ESS)'!$M$2:$M$210,"Automated (Linear Run)")</f>
        <v>6</v>
      </c>
      <c r="G20" s="6">
        <f>COUNTIF('My Workspace (ESS)'!$M$2:$M$210,"Automated (Page Check)")</f>
        <v>22</v>
      </c>
      <c r="H20" s="6">
        <f>COUNTIF('My Workspace (ESS)'!$M$2:$M$210,"Not Automated")</f>
        <v>179</v>
      </c>
      <c r="I20" s="6">
        <f>COUNTIF('My Workspace (ESS)'!$M$2:$M$210,"Blocked")</f>
        <v>2</v>
      </c>
      <c r="J20" s="6">
        <f>COUNTIF('My Workspace (ESS)'!$M$2:$M$210,"Out of Scope")</f>
        <v>0</v>
      </c>
      <c r="K20" s="6">
        <f>COUNTIF('My Workspace (ESS)'!$O$2:$O$210,"Passed*")</f>
        <v>28</v>
      </c>
      <c r="L20" s="7">
        <f>IF(B20=0,0,(F20+G20)/B20)</f>
        <v>0.1339712918660287</v>
      </c>
      <c r="M20" s="7">
        <f>IF(B20=0,0,K20/B20)</f>
        <v>0.1339712918660287</v>
      </c>
    </row>
    <row r="21" spans="1:13" x14ac:dyDescent="0.25">
      <c r="A21" s="5" t="s">
        <v>34</v>
      </c>
      <c r="B21" s="6">
        <f>COUNTA('Helpdesk'!$A$2:$A$89)</f>
        <v>88</v>
      </c>
      <c r="C21" s="6">
        <f>COUNTIF('Helpdesk'!$L$2:$L$89,"High")</f>
        <v>28</v>
      </c>
      <c r="D21" s="6">
        <f>COUNTIF('Helpdesk'!$J$2:$J$89,"Positive")</f>
        <v>40</v>
      </c>
      <c r="E21" s="6">
        <f>COUNTIF('Helpdesk'!$J$2:$J$89,"Negative")</f>
        <v>3</v>
      </c>
      <c r="F21" s="6">
        <f>COUNTIF('Helpdesk'!$M$2:$M$89,"Automated (Linear Run)")</f>
        <v>6</v>
      </c>
      <c r="G21" s="6">
        <f>COUNTIF('Helpdesk'!$M$2:$M$89,"Automated (Page Check)")</f>
        <v>2</v>
      </c>
      <c r="H21" s="6">
        <f>COUNTIF('Helpdesk'!$M$2:$M$89,"Not Automated")</f>
        <v>80</v>
      </c>
      <c r="I21" s="6">
        <f>COUNTIF('Helpdesk'!$M$2:$M$89,"Blocked")</f>
        <v>0</v>
      </c>
      <c r="J21" s="6">
        <f>COUNTIF('Helpdesk'!$M$2:$M$89,"Out of Scope")</f>
        <v>0</v>
      </c>
      <c r="K21" s="6">
        <f>COUNTIF('Helpdesk'!$O$2:$O$89,"Passed*")</f>
        <v>8</v>
      </c>
      <c r="L21" s="7">
        <f>IF(B21=0,0,(F21+G21)/B21)</f>
        <v>0.09090909090909091</v>
      </c>
      <c r="M21" s="7">
        <f>IF(B21=0,0,K21/B21)</f>
        <v>0.09090909090909091</v>
      </c>
    </row>
    <row r="22" spans="1:13" x14ac:dyDescent="0.25">
      <c r="A22" s="5" t="s">
        <v>35</v>
      </c>
      <c r="B22" s="6">
        <f>COUNTA('Cross-Module E2E'!$A$2:$A$69)</f>
        <v>68</v>
      </c>
      <c r="C22" s="6">
        <f>COUNTIF('Cross-Module E2E'!$L$2:$L$69,"High")</f>
        <v>38</v>
      </c>
      <c r="D22" s="6">
        <f>COUNTIF('Cross-Module E2E'!$J$2:$J$69,"Positive")</f>
        <v>0</v>
      </c>
      <c r="E22" s="6">
        <f>COUNTIF('Cross-Module E2E'!$J$2:$J$69,"Negative")</f>
        <v>0</v>
      </c>
      <c r="F22" s="6">
        <f>COUNTIF('Cross-Module E2E'!$M$2:$M$69,"Automated (Linear Run)")</f>
        <v>22</v>
      </c>
      <c r="G22" s="6">
        <f>COUNTIF('Cross-Module E2E'!$M$2:$M$69,"Automated (Page Check)")</f>
        <v>0</v>
      </c>
      <c r="H22" s="6">
        <f>COUNTIF('Cross-Module E2E'!$M$2:$M$69,"Not Automated")</f>
        <v>38</v>
      </c>
      <c r="I22" s="6">
        <f>COUNTIF('Cross-Module E2E'!$M$2:$M$69,"Blocked")</f>
        <v>3</v>
      </c>
      <c r="J22" s="6">
        <f>COUNTIF('Cross-Module E2E'!$M$2:$M$69,"Out of Scope")</f>
        <v>5</v>
      </c>
      <c r="K22" s="6">
        <f>COUNTIF('Cross-Module E2E'!$O$2:$O$69,"Passed*")</f>
        <v>22</v>
      </c>
      <c r="L22" s="7">
        <f>IF(B22=0,0,(F22+G22)/B22)</f>
        <v>0.3235294117647059</v>
      </c>
      <c r="M22" s="7">
        <f>IF(B22=0,0,K22/B22)</f>
        <v>0.3235294117647059</v>
      </c>
    </row>
    <row r="23" spans="1:13" x14ac:dyDescent="0.25">
      <c r="A23" s="5" t="s">
        <v>36</v>
      </c>
      <c r="B23" s="6">
        <f>COUNTA('Non-Functional'!$A$2:$A$104)</f>
        <v>103</v>
      </c>
      <c r="C23" s="6">
        <f>COUNTIF('Non-Functional'!$L$2:$L$104,"High")</f>
        <v>42</v>
      </c>
      <c r="D23" s="6">
        <f>COUNTIF('Non-Functional'!$J$2:$J$104,"Positive")</f>
        <v>0</v>
      </c>
      <c r="E23" s="6">
        <f>COUNTIF('Non-Functional'!$J$2:$J$104,"Negative")</f>
        <v>0</v>
      </c>
      <c r="F23" s="6">
        <f>COUNTIF('Non-Functional'!$M$2:$M$104,"Automated (Linear Run)")</f>
        <v>3</v>
      </c>
      <c r="G23" s="6">
        <f>COUNTIF('Non-Functional'!$M$2:$M$104,"Automated (Page Check)")</f>
        <v>1</v>
      </c>
      <c r="H23" s="6">
        <f>COUNTIF('Non-Functional'!$M$2:$M$104,"Not Automated")</f>
        <v>96</v>
      </c>
      <c r="I23" s="6">
        <f>COUNTIF('Non-Functional'!$M$2:$M$104,"Blocked")</f>
        <v>2</v>
      </c>
      <c r="J23" s="6">
        <f>COUNTIF('Non-Functional'!$M$2:$M$104,"Out of Scope")</f>
        <v>1</v>
      </c>
      <c r="K23" s="6">
        <f>COUNTIF('Non-Functional'!$O$2:$O$104,"Passed*")</f>
        <v>4</v>
      </c>
      <c r="L23" s="7">
        <f>IF(B23=0,0,(F23+G23)/B23)</f>
        <v>0.038834951456310676</v>
      </c>
      <c r="M23" s="7">
        <f>IF(B23=0,0,K23/B23)</f>
        <v>0.038834951456310676</v>
      </c>
    </row>
    <row r="24" spans="1:13" x14ac:dyDescent="0.25">
      <c r="A24" s="8" t="s">
        <v>37</v>
      </c>
      <c r="B24" s="9">
        <f>SUM(B11:B23)</f>
        <v>2444</v>
      </c>
      <c r="C24" s="9">
        <f>SUM(C11:C23)</f>
        <v>878</v>
      </c>
      <c r="D24" s="9">
        <f>SUM(D11:D23)</f>
        <v>742</v>
      </c>
      <c r="E24" s="9">
        <f>SUM(E11:E23)</f>
        <v>325</v>
      </c>
      <c r="F24" s="9">
        <f>SUM(F11:F23)</f>
        <v>138</v>
      </c>
      <c r="G24" s="9">
        <f>SUM(G11:G23)</f>
        <v>133</v>
      </c>
      <c r="H24" s="9">
        <f>SUM(H11:H23)</f>
        <v>2058</v>
      </c>
      <c r="I24" s="9">
        <f>SUM(I11:I23)</f>
        <v>57</v>
      </c>
      <c r="J24" s="9">
        <f>SUM(J11:J23)</f>
        <v>58</v>
      </c>
      <c r="K24" s="9">
        <f>SUM(K11:K23)</f>
        <v>271</v>
      </c>
      <c r="L24" s="10">
        <f>IF(B24=0,0,(F24+G24)/B24)</f>
        <v>0.11088379705400982</v>
      </c>
      <c r="M24" s="10">
        <f>IF(B24=0,0,K24/B24)</f>
        <v>0.11088379705400982</v>
      </c>
    </row>
    <row r="26" spans="1:1" x14ac:dyDescent="0.25">
      <c r="A26" s="11" t="s">
        <v>38</v>
      </c>
    </row>
  </sheetData>
  <mergeCells count="6">
    <mergeCell ref="A1:M1"/>
    <mergeCell ref="B3:M3"/>
    <mergeCell ref="B4:M4"/>
    <mergeCell ref="B5:M5"/>
    <mergeCell ref="B6:M6"/>
    <mergeCell ref="B7:M7"/>
  </mergeCells>
  <hyperlinks>
    <hyperlink ref="A11" r:id="rId1" location="#'Login &amp; Navigation'!A1"/>
    <hyperlink ref="A12" r:id="rId2" location="#'Core HR'!A1"/>
    <hyperlink ref="A13" r:id="rId3" location="#'Recruitment'!A1"/>
    <hyperlink ref="A14" r:id="rId4" location="#'Referral'!A1"/>
    <hyperlink ref="A15" r:id="rId5" location="#'Onboarding &amp; Probation'!A1"/>
    <hyperlink ref="A16" r:id="rId6" location="#'Attendance'!A1"/>
    <hyperlink ref="A17" r:id="rId7" location="#'Leave'!A1"/>
    <hyperlink ref="A18" r:id="rId8" location="#'Payroll'!A1"/>
    <hyperlink ref="A19" r:id="rId9" location="#'Resignation &amp; Exit'!A1"/>
    <hyperlink ref="A20" r:id="rId10" location="#'My Workspace (ESS)'!A1"/>
    <hyperlink ref="A21" r:id="rId11" location="#'Helpdesk'!A1"/>
    <hyperlink ref="A22" r:id="rId12" location="#'Cross-Module E2E'!A1"/>
    <hyperlink ref="A23" r:id="rId13" location="#'Non-Functiona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1" width="28" customWidth="1"/>
    <col min="2" max="2" width="110" customWidth="1"/>
  </cols>
  <sheetData>
    <row r="1" spans="1:2" x14ac:dyDescent="0.25">
      <c r="A1" s="12" t="s">
        <v>39</v>
      </c>
      <c r="B1" s="13" t="s">
        <v>40</v>
      </c>
    </row>
    <row r="2" spans="1:2" x14ac:dyDescent="0.25">
      <c r="A2" s="14" t="s">
        <v>41</v>
      </c>
      <c r="B2" s="13" t="s">
        <v>42</v>
      </c>
    </row>
    <row r="3" spans="1:2" x14ac:dyDescent="0.25">
      <c r="A3" s="14" t="s">
        <v>43</v>
      </c>
      <c r="B3" s="13" t="s">
        <v>44</v>
      </c>
    </row>
    <row r="4" spans="1:2" x14ac:dyDescent="0.25">
      <c r="A4" s="14" t="s">
        <v>45</v>
      </c>
      <c r="B4" s="13" t="s">
        <v>46</v>
      </c>
    </row>
    <row r="5" spans="1:2" x14ac:dyDescent="0.25">
      <c r="A5" s="14" t="s">
        <v>47</v>
      </c>
      <c r="B5" s="13" t="s">
        <v>48</v>
      </c>
    </row>
    <row r="6" spans="1:2" x14ac:dyDescent="0.25">
      <c r="A6" s="14" t="s">
        <v>49</v>
      </c>
      <c r="B6" s="13" t="s">
        <v>50</v>
      </c>
    </row>
    <row r="7" spans="1:2" x14ac:dyDescent="0.25">
      <c r="A7" s="14" t="s">
        <v>51</v>
      </c>
      <c r="B7" s="13" t="s">
        <v>52</v>
      </c>
    </row>
    <row r="8" spans="1:2" x14ac:dyDescent="0.25">
      <c r="A8" s="14" t="s">
        <v>53</v>
      </c>
      <c r="B8" s="13" t="s">
        <v>54</v>
      </c>
    </row>
    <row r="9" spans="1:2" x14ac:dyDescent="0.25">
      <c r="A9" s="14" t="s">
        <v>55</v>
      </c>
      <c r="B9" s="13" t="s">
        <v>56</v>
      </c>
    </row>
    <row r="10" spans="1:2" x14ac:dyDescent="0.25">
      <c r="A10" s="14" t="s">
        <v>57</v>
      </c>
      <c r="B10" s="13" t="s">
        <v>58</v>
      </c>
    </row>
    <row r="11" spans="1:2" x14ac:dyDescent="0.25">
      <c r="A11" s="14" t="s">
        <v>59</v>
      </c>
      <c r="B11" s="13" t="s">
        <v>60</v>
      </c>
    </row>
    <row r="12" spans="1:2" x14ac:dyDescent="0.25">
      <c r="A12" s="14" t="s">
        <v>40</v>
      </c>
      <c r="B12" s="13" t="s">
        <v>40</v>
      </c>
    </row>
    <row r="13" spans="1:2" x14ac:dyDescent="0.25">
      <c r="A13" s="12" t="s">
        <v>61</v>
      </c>
      <c r="B13" s="13" t="s">
        <v>40</v>
      </c>
    </row>
    <row r="14" spans="1:2" x14ac:dyDescent="0.25">
      <c r="A14" s="15" t="s">
        <v>16</v>
      </c>
      <c r="B14" s="13" t="s">
        <v>62</v>
      </c>
    </row>
    <row r="15" spans="1:2" x14ac:dyDescent="0.25">
      <c r="A15" s="16" t="s">
        <v>17</v>
      </c>
      <c r="B15" s="13" t="s">
        <v>63</v>
      </c>
    </row>
    <row r="16" spans="1:2" x14ac:dyDescent="0.25">
      <c r="A16" s="17" t="s">
        <v>18</v>
      </c>
      <c r="B16" s="13" t="s">
        <v>64</v>
      </c>
    </row>
    <row r="17" spans="1:2" x14ac:dyDescent="0.25">
      <c r="A17" s="18" t="s">
        <v>19</v>
      </c>
      <c r="B17" s="13" t="s">
        <v>65</v>
      </c>
    </row>
    <row r="18" spans="1:2" x14ac:dyDescent="0.25">
      <c r="A18" s="19" t="s">
        <v>20</v>
      </c>
      <c r="B18" s="13" t="s">
        <v>66</v>
      </c>
    </row>
    <row r="19" spans="1:2" x14ac:dyDescent="0.25">
      <c r="A19" s="14" t="s">
        <v>40</v>
      </c>
      <c r="B19" s="13" t="s">
        <v>40</v>
      </c>
    </row>
    <row r="20" spans="1:2" x14ac:dyDescent="0.25">
      <c r="A20" s="12" t="s">
        <v>67</v>
      </c>
      <c r="B20" s="13" t="s">
        <v>40</v>
      </c>
    </row>
    <row r="21" spans="1:2" x14ac:dyDescent="0.25">
      <c r="A21" s="14" t="s">
        <v>68</v>
      </c>
      <c r="B21" s="13" t="s">
        <v>69</v>
      </c>
    </row>
    <row r="22" spans="1:2" x14ac:dyDescent="0.25">
      <c r="A22" s="14" t="s">
        <v>70</v>
      </c>
      <c r="B22" s="13" t="s">
        <v>71</v>
      </c>
    </row>
    <row r="23" spans="1:2" x14ac:dyDescent="0.25">
      <c r="A23" s="14" t="s">
        <v>72</v>
      </c>
      <c r="B23" s="13" t="s">
        <v>73</v>
      </c>
    </row>
    <row r="24" spans="1:2" x14ac:dyDescent="0.25">
      <c r="A24" s="14" t="s">
        <v>74</v>
      </c>
      <c r="B24" s="13" t="s">
        <v>75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0" customWidth="1"/>
    <col min="3" max="3" width="30" customWidth="1"/>
    <col min="4" max="4" width="34" customWidth="1"/>
    <col min="5" max="5" width="18" customWidth="1"/>
    <col min="6" max="6" width="34" customWidth="1"/>
    <col min="7" max="7" width="22" customWidth="1"/>
  </cols>
  <sheetData>
    <row r="1" spans="1:7" x14ac:dyDescent="0.25">
      <c r="A1" s="20" t="s">
        <v>76</v>
      </c>
      <c r="B1" s="20" t="s">
        <v>77</v>
      </c>
      <c r="C1" s="20" t="s">
        <v>78</v>
      </c>
      <c r="D1" s="20" t="s">
        <v>79</v>
      </c>
      <c r="E1" s="20" t="s">
        <v>80</v>
      </c>
      <c r="F1" s="20" t="s">
        <v>81</v>
      </c>
      <c r="G1" s="20" t="s">
        <v>82</v>
      </c>
    </row>
    <row r="2" spans="1:7" x14ac:dyDescent="0.25">
      <c r="A2" s="21">
        <v>1</v>
      </c>
      <c r="B2" s="21" t="s">
        <v>25</v>
      </c>
      <c r="C2" s="21" t="s">
        <v>83</v>
      </c>
      <c r="D2" s="21" t="s">
        <v>84</v>
      </c>
      <c r="E2" s="21" t="s">
        <v>85</v>
      </c>
      <c r="F2" s="22" t="s">
        <v>86</v>
      </c>
      <c r="G2" s="21" t="s">
        <v>87</v>
      </c>
    </row>
    <row r="3" spans="1:7" x14ac:dyDescent="0.25">
      <c r="A3" s="21">
        <v>2</v>
      </c>
      <c r="B3" s="21" t="s">
        <v>25</v>
      </c>
      <c r="C3" s="21" t="s">
        <v>88</v>
      </c>
      <c r="D3" s="21" t="s">
        <v>89</v>
      </c>
      <c r="E3" s="21" t="s">
        <v>85</v>
      </c>
      <c r="F3" s="22" t="s">
        <v>90</v>
      </c>
      <c r="G3" s="21" t="s">
        <v>87</v>
      </c>
    </row>
    <row r="4" spans="1:7" x14ac:dyDescent="0.25">
      <c r="A4" s="21">
        <v>3</v>
      </c>
      <c r="B4" s="21" t="s">
        <v>25</v>
      </c>
      <c r="C4" s="21" t="s">
        <v>91</v>
      </c>
      <c r="D4" s="21" t="s">
        <v>92</v>
      </c>
      <c r="E4" s="21" t="s">
        <v>85</v>
      </c>
      <c r="F4" s="21" t="s">
        <v>93</v>
      </c>
      <c r="G4" s="21" t="s">
        <v>87</v>
      </c>
    </row>
    <row r="5" spans="1:7" x14ac:dyDescent="0.25">
      <c r="A5" s="21">
        <v>4</v>
      </c>
      <c r="B5" s="21" t="s">
        <v>25</v>
      </c>
      <c r="C5" s="21" t="s">
        <v>94</v>
      </c>
      <c r="D5" s="21" t="s">
        <v>95</v>
      </c>
      <c r="E5" s="21" t="s">
        <v>85</v>
      </c>
      <c r="F5" s="21" t="s">
        <v>93</v>
      </c>
      <c r="G5" s="21" t="s">
        <v>87</v>
      </c>
    </row>
    <row r="6" spans="1:7" x14ac:dyDescent="0.25">
      <c r="A6" s="21">
        <v>5</v>
      </c>
      <c r="B6" s="21" t="s">
        <v>25</v>
      </c>
      <c r="C6" s="21" t="s">
        <v>96</v>
      </c>
      <c r="D6" s="21" t="s">
        <v>97</v>
      </c>
      <c r="E6" s="21" t="s">
        <v>85</v>
      </c>
      <c r="F6" s="21" t="s">
        <v>93</v>
      </c>
      <c r="G6" s="21" t="s">
        <v>87</v>
      </c>
    </row>
    <row r="7" spans="1:7" x14ac:dyDescent="0.25">
      <c r="A7" s="21">
        <v>6</v>
      </c>
      <c r="B7" s="21" t="s">
        <v>25</v>
      </c>
      <c r="C7" s="21" t="s">
        <v>98</v>
      </c>
      <c r="D7" s="21" t="s">
        <v>99</v>
      </c>
      <c r="E7" s="21" t="s">
        <v>85</v>
      </c>
      <c r="F7" s="22" t="s">
        <v>100</v>
      </c>
      <c r="G7" s="21" t="s">
        <v>87</v>
      </c>
    </row>
    <row r="8" spans="1:7" x14ac:dyDescent="0.25">
      <c r="A8" s="21">
        <v>7</v>
      </c>
      <c r="B8" s="21" t="s">
        <v>25</v>
      </c>
      <c r="C8" s="21" t="s">
        <v>101</v>
      </c>
      <c r="D8" s="21" t="s">
        <v>102</v>
      </c>
      <c r="E8" s="21" t="s">
        <v>85</v>
      </c>
      <c r="F8" s="22" t="s">
        <v>103</v>
      </c>
      <c r="G8" s="21" t="s">
        <v>87</v>
      </c>
    </row>
    <row r="9" spans="1:7" x14ac:dyDescent="0.25">
      <c r="A9" s="21">
        <v>8</v>
      </c>
      <c r="B9" s="21" t="s">
        <v>25</v>
      </c>
      <c r="C9" s="21" t="s">
        <v>104</v>
      </c>
      <c r="D9" s="21" t="s">
        <v>105</v>
      </c>
      <c r="E9" s="21" t="s">
        <v>85</v>
      </c>
      <c r="F9" s="21" t="s">
        <v>93</v>
      </c>
      <c r="G9" s="21" t="s">
        <v>87</v>
      </c>
    </row>
    <row r="10" spans="1:7" x14ac:dyDescent="0.25">
      <c r="A10" s="21">
        <v>9</v>
      </c>
      <c r="B10" s="21" t="s">
        <v>25</v>
      </c>
      <c r="C10" s="21" t="s">
        <v>106</v>
      </c>
      <c r="D10" s="21" t="s">
        <v>107</v>
      </c>
      <c r="E10" s="21" t="s">
        <v>85</v>
      </c>
      <c r="F10" s="21" t="s">
        <v>93</v>
      </c>
      <c r="G10" s="21" t="s">
        <v>87</v>
      </c>
    </row>
    <row r="11" spans="1:7" x14ac:dyDescent="0.25">
      <c r="A11" s="21">
        <v>10</v>
      </c>
      <c r="B11" s="21" t="s">
        <v>25</v>
      </c>
      <c r="C11" s="21" t="s">
        <v>108</v>
      </c>
      <c r="D11" s="21" t="s">
        <v>109</v>
      </c>
      <c r="E11" s="21" t="s">
        <v>85</v>
      </c>
      <c r="F11" s="21" t="s">
        <v>93</v>
      </c>
      <c r="G11" s="21" t="s">
        <v>87</v>
      </c>
    </row>
    <row r="12" spans="1:7" x14ac:dyDescent="0.25">
      <c r="A12" s="21">
        <v>11</v>
      </c>
      <c r="B12" s="21" t="s">
        <v>25</v>
      </c>
      <c r="C12" s="21" t="s">
        <v>110</v>
      </c>
      <c r="D12" s="21" t="s">
        <v>111</v>
      </c>
      <c r="E12" s="21" t="s">
        <v>85</v>
      </c>
      <c r="F12" s="22" t="s">
        <v>112</v>
      </c>
      <c r="G12" s="21" t="s">
        <v>87</v>
      </c>
    </row>
    <row r="13" spans="1:7" x14ac:dyDescent="0.25">
      <c r="A13" s="21">
        <v>12</v>
      </c>
      <c r="B13" s="21" t="s">
        <v>26</v>
      </c>
      <c r="C13" s="21" t="s">
        <v>113</v>
      </c>
      <c r="D13" s="21" t="s">
        <v>114</v>
      </c>
      <c r="E13" s="21" t="s">
        <v>85</v>
      </c>
      <c r="F13" s="22" t="s">
        <v>115</v>
      </c>
      <c r="G13" s="21" t="s">
        <v>87</v>
      </c>
    </row>
    <row r="14" spans="1:7" x14ac:dyDescent="0.25">
      <c r="A14" s="21">
        <v>13</v>
      </c>
      <c r="B14" s="21" t="s">
        <v>26</v>
      </c>
      <c r="C14" s="21" t="s">
        <v>116</v>
      </c>
      <c r="D14" s="21" t="s">
        <v>117</v>
      </c>
      <c r="E14" s="21" t="s">
        <v>85</v>
      </c>
      <c r="F14" s="22" t="s">
        <v>118</v>
      </c>
      <c r="G14" s="21" t="s">
        <v>87</v>
      </c>
    </row>
    <row r="15" spans="1:7" x14ac:dyDescent="0.25">
      <c r="A15" s="21">
        <v>14</v>
      </c>
      <c r="B15" s="21" t="s">
        <v>26</v>
      </c>
      <c r="C15" s="21" t="s">
        <v>119</v>
      </c>
      <c r="D15" s="21" t="s">
        <v>120</v>
      </c>
      <c r="E15" s="21" t="s">
        <v>85</v>
      </c>
      <c r="F15" s="22" t="s">
        <v>121</v>
      </c>
      <c r="G15" s="21" t="s">
        <v>87</v>
      </c>
    </row>
    <row r="16" spans="1:7" x14ac:dyDescent="0.25">
      <c r="A16" s="21">
        <v>15</v>
      </c>
      <c r="B16" s="21" t="s">
        <v>26</v>
      </c>
      <c r="C16" s="21" t="s">
        <v>122</v>
      </c>
      <c r="D16" s="21" t="s">
        <v>123</v>
      </c>
      <c r="E16" s="21" t="s">
        <v>85</v>
      </c>
      <c r="F16" s="22" t="s">
        <v>124</v>
      </c>
      <c r="G16" s="21" t="s">
        <v>87</v>
      </c>
    </row>
    <row r="17" spans="1:7" x14ac:dyDescent="0.25">
      <c r="A17" s="21">
        <v>16</v>
      </c>
      <c r="B17" s="21" t="s">
        <v>26</v>
      </c>
      <c r="C17" s="21" t="s">
        <v>125</v>
      </c>
      <c r="D17" s="21" t="s">
        <v>126</v>
      </c>
      <c r="E17" s="21" t="s">
        <v>85</v>
      </c>
      <c r="F17" s="22" t="s">
        <v>127</v>
      </c>
      <c r="G17" s="21" t="s">
        <v>87</v>
      </c>
    </row>
    <row r="18" spans="1:7" x14ac:dyDescent="0.25">
      <c r="A18" s="21">
        <v>17</v>
      </c>
      <c r="B18" s="21" t="s">
        <v>26</v>
      </c>
      <c r="C18" s="21" t="s">
        <v>128</v>
      </c>
      <c r="D18" s="21" t="s">
        <v>129</v>
      </c>
      <c r="E18" s="21" t="s">
        <v>85</v>
      </c>
      <c r="F18" s="22" t="s">
        <v>130</v>
      </c>
      <c r="G18" s="21" t="s">
        <v>87</v>
      </c>
    </row>
    <row r="19" spans="1:7" x14ac:dyDescent="0.25">
      <c r="A19" s="21">
        <v>18</v>
      </c>
      <c r="B19" s="21" t="s">
        <v>26</v>
      </c>
      <c r="C19" s="21" t="s">
        <v>131</v>
      </c>
      <c r="D19" s="21" t="s">
        <v>132</v>
      </c>
      <c r="E19" s="21" t="s">
        <v>85</v>
      </c>
      <c r="F19" s="22" t="s">
        <v>133</v>
      </c>
      <c r="G19" s="21" t="s">
        <v>87</v>
      </c>
    </row>
    <row r="20" spans="1:7" x14ac:dyDescent="0.25">
      <c r="A20" s="21">
        <v>19</v>
      </c>
      <c r="B20" s="21" t="s">
        <v>26</v>
      </c>
      <c r="C20" s="21" t="s">
        <v>134</v>
      </c>
      <c r="D20" s="21" t="s">
        <v>135</v>
      </c>
      <c r="E20" s="21" t="s">
        <v>85</v>
      </c>
      <c r="F20" s="21" t="s">
        <v>93</v>
      </c>
      <c r="G20" s="21" t="s">
        <v>87</v>
      </c>
    </row>
    <row r="21" spans="1:7" x14ac:dyDescent="0.25">
      <c r="A21" s="21">
        <v>20</v>
      </c>
      <c r="B21" s="21" t="s">
        <v>26</v>
      </c>
      <c r="C21" s="21" t="s">
        <v>136</v>
      </c>
      <c r="D21" s="21" t="s">
        <v>137</v>
      </c>
      <c r="E21" s="21" t="s">
        <v>85</v>
      </c>
      <c r="F21" s="21" t="s">
        <v>93</v>
      </c>
      <c r="G21" s="21" t="s">
        <v>87</v>
      </c>
    </row>
    <row r="22" spans="1:7" x14ac:dyDescent="0.25">
      <c r="A22" s="21">
        <v>21</v>
      </c>
      <c r="B22" s="21" t="s">
        <v>26</v>
      </c>
      <c r="C22" s="21" t="s">
        <v>138</v>
      </c>
      <c r="D22" s="21" t="s">
        <v>139</v>
      </c>
      <c r="E22" s="21" t="s">
        <v>85</v>
      </c>
      <c r="F22" s="21" t="s">
        <v>93</v>
      </c>
      <c r="G22" s="21" t="s">
        <v>87</v>
      </c>
    </row>
    <row r="23" spans="1:7" x14ac:dyDescent="0.25">
      <c r="A23" s="21">
        <v>22</v>
      </c>
      <c r="B23" s="21" t="s">
        <v>26</v>
      </c>
      <c r="C23" s="21" t="s">
        <v>140</v>
      </c>
      <c r="D23" s="21" t="s">
        <v>141</v>
      </c>
      <c r="E23" s="21" t="s">
        <v>85</v>
      </c>
      <c r="F23" s="21" t="s">
        <v>93</v>
      </c>
      <c r="G23" s="21" t="s">
        <v>87</v>
      </c>
    </row>
    <row r="24" spans="1:7" x14ac:dyDescent="0.25">
      <c r="A24" s="21">
        <v>23</v>
      </c>
      <c r="B24" s="21" t="s">
        <v>26</v>
      </c>
      <c r="C24" s="21" t="s">
        <v>142</v>
      </c>
      <c r="D24" s="21" t="s">
        <v>143</v>
      </c>
      <c r="E24" s="21" t="s">
        <v>85</v>
      </c>
      <c r="F24" s="21" t="s">
        <v>93</v>
      </c>
      <c r="G24" s="21" t="s">
        <v>87</v>
      </c>
    </row>
    <row r="25" spans="1:7" x14ac:dyDescent="0.25">
      <c r="A25" s="21">
        <v>24</v>
      </c>
      <c r="B25" s="21" t="s">
        <v>26</v>
      </c>
      <c r="C25" s="21" t="s">
        <v>144</v>
      </c>
      <c r="D25" s="21" t="s">
        <v>145</v>
      </c>
      <c r="E25" s="21" t="s">
        <v>85</v>
      </c>
      <c r="F25" s="21" t="s">
        <v>93</v>
      </c>
      <c r="G25" s="21" t="s">
        <v>87</v>
      </c>
    </row>
    <row r="26" spans="1:7" x14ac:dyDescent="0.25">
      <c r="A26" s="21">
        <v>25</v>
      </c>
      <c r="B26" s="21" t="s">
        <v>26</v>
      </c>
      <c r="C26" s="21" t="s">
        <v>146</v>
      </c>
      <c r="D26" s="21" t="s">
        <v>147</v>
      </c>
      <c r="E26" s="21" t="s">
        <v>85</v>
      </c>
      <c r="F26" s="21" t="s">
        <v>93</v>
      </c>
      <c r="G26" s="21" t="s">
        <v>87</v>
      </c>
    </row>
    <row r="27" spans="1:7" x14ac:dyDescent="0.25">
      <c r="A27" s="21">
        <v>26</v>
      </c>
      <c r="B27" s="21" t="s">
        <v>148</v>
      </c>
      <c r="C27" s="21" t="s">
        <v>149</v>
      </c>
      <c r="D27" s="21" t="s">
        <v>150</v>
      </c>
      <c r="E27" s="21" t="s">
        <v>85</v>
      </c>
      <c r="F27" s="22" t="s">
        <v>151</v>
      </c>
      <c r="G27" s="21" t="s">
        <v>87</v>
      </c>
    </row>
    <row r="28" spans="1:7" x14ac:dyDescent="0.25">
      <c r="A28" s="21">
        <v>27</v>
      </c>
      <c r="B28" s="21" t="s">
        <v>148</v>
      </c>
      <c r="C28" s="21" t="s">
        <v>152</v>
      </c>
      <c r="D28" s="21" t="s">
        <v>153</v>
      </c>
      <c r="E28" s="21" t="s">
        <v>85</v>
      </c>
      <c r="F28" s="21" t="s">
        <v>93</v>
      </c>
      <c r="G28" s="21" t="s">
        <v>87</v>
      </c>
    </row>
    <row r="29" spans="1:7" x14ac:dyDescent="0.25">
      <c r="A29" s="21">
        <v>28</v>
      </c>
      <c r="B29" s="21" t="s">
        <v>148</v>
      </c>
      <c r="C29" s="21" t="s">
        <v>154</v>
      </c>
      <c r="D29" s="21" t="s">
        <v>155</v>
      </c>
      <c r="E29" s="21" t="s">
        <v>85</v>
      </c>
      <c r="F29" s="21" t="s">
        <v>93</v>
      </c>
      <c r="G29" s="21" t="s">
        <v>87</v>
      </c>
    </row>
    <row r="30" spans="1:7" x14ac:dyDescent="0.25">
      <c r="A30" s="21">
        <v>29</v>
      </c>
      <c r="B30" s="21" t="s">
        <v>148</v>
      </c>
      <c r="C30" s="21" t="s">
        <v>156</v>
      </c>
      <c r="D30" s="21" t="s">
        <v>157</v>
      </c>
      <c r="E30" s="21" t="s">
        <v>85</v>
      </c>
      <c r="F30" s="21" t="s">
        <v>93</v>
      </c>
      <c r="G30" s="21" t="s">
        <v>87</v>
      </c>
    </row>
    <row r="31" spans="1:7" x14ac:dyDescent="0.25">
      <c r="A31" s="21">
        <v>30</v>
      </c>
      <c r="B31" s="21" t="s">
        <v>148</v>
      </c>
      <c r="C31" s="21" t="s">
        <v>158</v>
      </c>
      <c r="D31" s="21" t="s">
        <v>159</v>
      </c>
      <c r="E31" s="21" t="s">
        <v>85</v>
      </c>
      <c r="F31" s="21" t="s">
        <v>93</v>
      </c>
      <c r="G31" s="21" t="s">
        <v>87</v>
      </c>
    </row>
    <row r="32" spans="1:7" x14ac:dyDescent="0.25">
      <c r="A32" s="21">
        <v>31</v>
      </c>
      <c r="B32" s="21" t="s">
        <v>148</v>
      </c>
      <c r="C32" s="21" t="s">
        <v>160</v>
      </c>
      <c r="D32" s="21" t="s">
        <v>161</v>
      </c>
      <c r="E32" s="21" t="s">
        <v>85</v>
      </c>
      <c r="F32" s="21" t="s">
        <v>93</v>
      </c>
      <c r="G32" s="21" t="s">
        <v>87</v>
      </c>
    </row>
    <row r="33" spans="1:7" x14ac:dyDescent="0.25">
      <c r="A33" s="21">
        <v>32</v>
      </c>
      <c r="B33" s="21" t="s">
        <v>148</v>
      </c>
      <c r="C33" s="21" t="s">
        <v>162</v>
      </c>
      <c r="D33" s="21" t="s">
        <v>163</v>
      </c>
      <c r="E33" s="21" t="s">
        <v>85</v>
      </c>
      <c r="F33" s="22" t="s">
        <v>164</v>
      </c>
      <c r="G33" s="21" t="s">
        <v>87</v>
      </c>
    </row>
    <row r="34" spans="1:7" x14ac:dyDescent="0.25">
      <c r="A34" s="21">
        <v>33</v>
      </c>
      <c r="B34" s="21" t="s">
        <v>148</v>
      </c>
      <c r="C34" s="21" t="s">
        <v>165</v>
      </c>
      <c r="D34" s="21" t="s">
        <v>166</v>
      </c>
      <c r="E34" s="21" t="s">
        <v>85</v>
      </c>
      <c r="F34" s="21" t="s">
        <v>93</v>
      </c>
      <c r="G34" s="21" t="s">
        <v>87</v>
      </c>
    </row>
    <row r="35" spans="1:7" x14ac:dyDescent="0.25">
      <c r="A35" s="21">
        <v>34</v>
      </c>
      <c r="B35" s="21" t="s">
        <v>148</v>
      </c>
      <c r="C35" s="21" t="s">
        <v>167</v>
      </c>
      <c r="D35" s="21" t="s">
        <v>168</v>
      </c>
      <c r="E35" s="21" t="s">
        <v>85</v>
      </c>
      <c r="F35" s="21" t="s">
        <v>93</v>
      </c>
      <c r="G35" s="21" t="s">
        <v>87</v>
      </c>
    </row>
    <row r="36" spans="1:7" x14ac:dyDescent="0.25">
      <c r="A36" s="21">
        <v>35</v>
      </c>
      <c r="B36" s="21" t="s">
        <v>148</v>
      </c>
      <c r="C36" s="21" t="s">
        <v>169</v>
      </c>
      <c r="D36" s="21" t="s">
        <v>170</v>
      </c>
      <c r="E36" s="21" t="s">
        <v>85</v>
      </c>
      <c r="F36" s="21" t="s">
        <v>93</v>
      </c>
      <c r="G36" s="21" t="s">
        <v>87</v>
      </c>
    </row>
    <row r="37" spans="1:7" x14ac:dyDescent="0.25">
      <c r="A37" s="21">
        <v>36</v>
      </c>
      <c r="B37" s="21" t="s">
        <v>148</v>
      </c>
      <c r="C37" s="21" t="s">
        <v>171</v>
      </c>
      <c r="D37" s="21" t="s">
        <v>172</v>
      </c>
      <c r="E37" s="21" t="s">
        <v>85</v>
      </c>
      <c r="F37" s="21" t="s">
        <v>93</v>
      </c>
      <c r="G37" s="21" t="s">
        <v>87</v>
      </c>
    </row>
    <row r="38" spans="1:7" x14ac:dyDescent="0.25">
      <c r="A38" s="21">
        <v>37</v>
      </c>
      <c r="B38" s="21" t="s">
        <v>148</v>
      </c>
      <c r="C38" s="21" t="s">
        <v>173</v>
      </c>
      <c r="D38" s="21" t="s">
        <v>174</v>
      </c>
      <c r="E38" s="21" t="s">
        <v>85</v>
      </c>
      <c r="F38" s="21" t="s">
        <v>93</v>
      </c>
      <c r="G38" s="21" t="s">
        <v>87</v>
      </c>
    </row>
    <row r="39" spans="1:7" x14ac:dyDescent="0.25">
      <c r="A39" s="21">
        <v>38</v>
      </c>
      <c r="B39" s="21" t="s">
        <v>148</v>
      </c>
      <c r="C39" s="21" t="s">
        <v>175</v>
      </c>
      <c r="D39" s="21" t="s">
        <v>176</v>
      </c>
      <c r="E39" s="21" t="s">
        <v>85</v>
      </c>
      <c r="F39" s="21" t="s">
        <v>93</v>
      </c>
      <c r="G39" s="21" t="s">
        <v>87</v>
      </c>
    </row>
    <row r="40" spans="1:7" x14ac:dyDescent="0.25">
      <c r="A40" s="21">
        <v>39</v>
      </c>
      <c r="B40" s="21" t="s">
        <v>148</v>
      </c>
      <c r="C40" s="21" t="s">
        <v>177</v>
      </c>
      <c r="D40" s="21" t="s">
        <v>178</v>
      </c>
      <c r="E40" s="21" t="s">
        <v>85</v>
      </c>
      <c r="F40" s="21" t="s">
        <v>93</v>
      </c>
      <c r="G40" s="21" t="s">
        <v>87</v>
      </c>
    </row>
    <row r="41" spans="1:7" x14ac:dyDescent="0.25">
      <c r="A41" s="21">
        <v>40</v>
      </c>
      <c r="B41" s="21" t="s">
        <v>148</v>
      </c>
      <c r="C41" s="21" t="s">
        <v>179</v>
      </c>
      <c r="D41" s="21" t="s">
        <v>180</v>
      </c>
      <c r="E41" s="21" t="s">
        <v>85</v>
      </c>
      <c r="F41" s="21" t="s">
        <v>93</v>
      </c>
      <c r="G41" s="21" t="s">
        <v>87</v>
      </c>
    </row>
    <row r="42" spans="1:7" x14ac:dyDescent="0.25">
      <c r="A42" s="21">
        <v>41</v>
      </c>
      <c r="B42" s="21" t="s">
        <v>29</v>
      </c>
      <c r="C42" s="21" t="s">
        <v>181</v>
      </c>
      <c r="D42" s="21" t="s">
        <v>182</v>
      </c>
      <c r="E42" s="21" t="s">
        <v>85</v>
      </c>
      <c r="F42" s="21" t="s">
        <v>93</v>
      </c>
      <c r="G42" s="21" t="s">
        <v>87</v>
      </c>
    </row>
    <row r="43" spans="1:7" x14ac:dyDescent="0.25">
      <c r="A43" s="21">
        <v>42</v>
      </c>
      <c r="B43" s="21" t="s">
        <v>29</v>
      </c>
      <c r="C43" s="21" t="s">
        <v>183</v>
      </c>
      <c r="D43" s="21" t="s">
        <v>184</v>
      </c>
      <c r="E43" s="21" t="s">
        <v>85</v>
      </c>
      <c r="F43" s="21" t="s">
        <v>93</v>
      </c>
      <c r="G43" s="21" t="s">
        <v>87</v>
      </c>
    </row>
    <row r="44" spans="1:7" x14ac:dyDescent="0.25">
      <c r="A44" s="21">
        <v>43</v>
      </c>
      <c r="B44" s="21" t="s">
        <v>29</v>
      </c>
      <c r="C44" s="21" t="s">
        <v>185</v>
      </c>
      <c r="D44" s="21" t="s">
        <v>186</v>
      </c>
      <c r="E44" s="21" t="s">
        <v>85</v>
      </c>
      <c r="F44" s="21" t="s">
        <v>93</v>
      </c>
      <c r="G44" s="21" t="s">
        <v>87</v>
      </c>
    </row>
    <row r="45" spans="1:7" x14ac:dyDescent="0.25">
      <c r="A45" s="21">
        <v>44</v>
      </c>
      <c r="B45" s="21" t="s">
        <v>29</v>
      </c>
      <c r="C45" s="21" t="s">
        <v>187</v>
      </c>
      <c r="D45" s="21" t="s">
        <v>188</v>
      </c>
      <c r="E45" s="21" t="s">
        <v>85</v>
      </c>
      <c r="F45" s="21" t="s">
        <v>93</v>
      </c>
      <c r="G45" s="21" t="s">
        <v>87</v>
      </c>
    </row>
    <row r="46" spans="1:7" x14ac:dyDescent="0.25">
      <c r="A46" s="21">
        <v>45</v>
      </c>
      <c r="B46" s="21" t="s">
        <v>29</v>
      </c>
      <c r="C46" s="21" t="s">
        <v>189</v>
      </c>
      <c r="D46" s="21" t="s">
        <v>190</v>
      </c>
      <c r="E46" s="21" t="s">
        <v>85</v>
      </c>
      <c r="F46" s="21" t="s">
        <v>93</v>
      </c>
      <c r="G46" s="21" t="s">
        <v>87</v>
      </c>
    </row>
    <row r="47" spans="1:7" x14ac:dyDescent="0.25">
      <c r="A47" s="21">
        <v>46</v>
      </c>
      <c r="B47" s="21" t="s">
        <v>29</v>
      </c>
      <c r="C47" s="21" t="s">
        <v>191</v>
      </c>
      <c r="D47" s="21" t="s">
        <v>192</v>
      </c>
      <c r="E47" s="21" t="s">
        <v>85</v>
      </c>
      <c r="F47" s="21" t="s">
        <v>93</v>
      </c>
      <c r="G47" s="21" t="s">
        <v>87</v>
      </c>
    </row>
    <row r="48" spans="1:7" x14ac:dyDescent="0.25">
      <c r="A48" s="21">
        <v>47</v>
      </c>
      <c r="B48" s="21" t="s">
        <v>29</v>
      </c>
      <c r="C48" s="21" t="s">
        <v>193</v>
      </c>
      <c r="D48" s="21" t="s">
        <v>194</v>
      </c>
      <c r="E48" s="21" t="s">
        <v>85</v>
      </c>
      <c r="F48" s="21" t="s">
        <v>93</v>
      </c>
      <c r="G48" s="21" t="s">
        <v>87</v>
      </c>
    </row>
    <row r="49" spans="1:7" x14ac:dyDescent="0.25">
      <c r="A49" s="21">
        <v>48</v>
      </c>
      <c r="B49" s="21" t="s">
        <v>29</v>
      </c>
      <c r="C49" s="21" t="s">
        <v>195</v>
      </c>
      <c r="D49" s="21" t="s">
        <v>196</v>
      </c>
      <c r="E49" s="21" t="s">
        <v>85</v>
      </c>
      <c r="F49" s="21" t="s">
        <v>93</v>
      </c>
      <c r="G49" s="21" t="s">
        <v>87</v>
      </c>
    </row>
    <row r="50" spans="1:7" x14ac:dyDescent="0.25">
      <c r="A50" s="21">
        <v>49</v>
      </c>
      <c r="B50" s="21" t="s">
        <v>30</v>
      </c>
      <c r="C50" s="21" t="s">
        <v>197</v>
      </c>
      <c r="D50" s="21" t="s">
        <v>198</v>
      </c>
      <c r="E50" s="21" t="s">
        <v>85</v>
      </c>
      <c r="F50" s="22" t="s">
        <v>199</v>
      </c>
      <c r="G50" s="21" t="s">
        <v>87</v>
      </c>
    </row>
    <row r="51" spans="1:7" x14ac:dyDescent="0.25">
      <c r="A51" s="21">
        <v>50</v>
      </c>
      <c r="B51" s="21" t="s">
        <v>30</v>
      </c>
      <c r="C51" s="21" t="s">
        <v>200</v>
      </c>
      <c r="D51" s="21" t="s">
        <v>201</v>
      </c>
      <c r="E51" s="21" t="s">
        <v>85</v>
      </c>
      <c r="F51" s="22" t="s">
        <v>202</v>
      </c>
      <c r="G51" s="21" t="s">
        <v>87</v>
      </c>
    </row>
    <row r="52" spans="1:7" x14ac:dyDescent="0.25">
      <c r="A52" s="21">
        <v>51</v>
      </c>
      <c r="B52" s="21" t="s">
        <v>30</v>
      </c>
      <c r="C52" s="21" t="s">
        <v>203</v>
      </c>
      <c r="D52" s="21" t="s">
        <v>204</v>
      </c>
      <c r="E52" s="21" t="s">
        <v>85</v>
      </c>
      <c r="F52" s="21" t="s">
        <v>93</v>
      </c>
      <c r="G52" s="21" t="s">
        <v>87</v>
      </c>
    </row>
    <row r="53" spans="1:7" x14ac:dyDescent="0.25">
      <c r="A53" s="21">
        <v>52</v>
      </c>
      <c r="B53" s="21" t="s">
        <v>30</v>
      </c>
      <c r="C53" s="21" t="s">
        <v>205</v>
      </c>
      <c r="D53" s="21" t="s">
        <v>206</v>
      </c>
      <c r="E53" s="21" t="s">
        <v>85</v>
      </c>
      <c r="F53" s="22" t="s">
        <v>207</v>
      </c>
      <c r="G53" s="21" t="s">
        <v>87</v>
      </c>
    </row>
    <row r="54" spans="1:7" x14ac:dyDescent="0.25">
      <c r="A54" s="21">
        <v>53</v>
      </c>
      <c r="B54" s="21" t="s">
        <v>30</v>
      </c>
      <c r="C54" s="21" t="s">
        <v>208</v>
      </c>
      <c r="D54" s="21" t="s">
        <v>209</v>
      </c>
      <c r="E54" s="21" t="s">
        <v>85</v>
      </c>
      <c r="F54" s="22" t="s">
        <v>210</v>
      </c>
      <c r="G54" s="21" t="s">
        <v>87</v>
      </c>
    </row>
    <row r="55" spans="1:7" x14ac:dyDescent="0.25">
      <c r="A55" s="21">
        <v>54</v>
      </c>
      <c r="B55" s="21" t="s">
        <v>30</v>
      </c>
      <c r="C55" s="21" t="s">
        <v>211</v>
      </c>
      <c r="D55" s="21" t="s">
        <v>212</v>
      </c>
      <c r="E55" s="21" t="s">
        <v>85</v>
      </c>
      <c r="F55" s="22" t="s">
        <v>213</v>
      </c>
      <c r="G55" s="21" t="s">
        <v>87</v>
      </c>
    </row>
    <row r="56" spans="1:7" x14ac:dyDescent="0.25">
      <c r="A56" s="21">
        <v>55</v>
      </c>
      <c r="B56" s="21" t="s">
        <v>30</v>
      </c>
      <c r="C56" s="21" t="s">
        <v>214</v>
      </c>
      <c r="D56" s="21" t="s">
        <v>215</v>
      </c>
      <c r="E56" s="21" t="s">
        <v>85</v>
      </c>
      <c r="F56" s="22" t="s">
        <v>216</v>
      </c>
      <c r="G56" s="21" t="s">
        <v>87</v>
      </c>
    </row>
    <row r="57" spans="1:7" x14ac:dyDescent="0.25">
      <c r="A57" s="21">
        <v>56</v>
      </c>
      <c r="B57" s="21" t="s">
        <v>30</v>
      </c>
      <c r="C57" s="21" t="s">
        <v>217</v>
      </c>
      <c r="D57" s="21" t="s">
        <v>218</v>
      </c>
      <c r="E57" s="21" t="s">
        <v>85</v>
      </c>
      <c r="F57" s="22" t="s">
        <v>219</v>
      </c>
      <c r="G57" s="21" t="s">
        <v>87</v>
      </c>
    </row>
    <row r="58" spans="1:7" x14ac:dyDescent="0.25">
      <c r="A58" s="21">
        <v>57</v>
      </c>
      <c r="B58" s="21" t="s">
        <v>30</v>
      </c>
      <c r="C58" s="21" t="s">
        <v>220</v>
      </c>
      <c r="D58" s="21" t="s">
        <v>221</v>
      </c>
      <c r="E58" s="21" t="s">
        <v>85</v>
      </c>
      <c r="F58" s="21" t="s">
        <v>93</v>
      </c>
      <c r="G58" s="21" t="s">
        <v>87</v>
      </c>
    </row>
    <row r="59" spans="1:7" x14ac:dyDescent="0.25">
      <c r="A59" s="21">
        <v>58</v>
      </c>
      <c r="B59" s="21" t="s">
        <v>30</v>
      </c>
      <c r="C59" s="21" t="s">
        <v>222</v>
      </c>
      <c r="D59" s="21" t="s">
        <v>223</v>
      </c>
      <c r="E59" s="21" t="s">
        <v>85</v>
      </c>
      <c r="F59" s="21" t="s">
        <v>93</v>
      </c>
      <c r="G59" s="21" t="s">
        <v>87</v>
      </c>
    </row>
    <row r="60" spans="1:7" x14ac:dyDescent="0.25">
      <c r="A60" s="21">
        <v>59</v>
      </c>
      <c r="B60" s="21" t="s">
        <v>30</v>
      </c>
      <c r="C60" s="21" t="s">
        <v>224</v>
      </c>
      <c r="D60" s="21" t="s">
        <v>225</v>
      </c>
      <c r="E60" s="21" t="s">
        <v>85</v>
      </c>
      <c r="F60" s="21" t="s">
        <v>93</v>
      </c>
      <c r="G60" s="21" t="s">
        <v>87</v>
      </c>
    </row>
    <row r="61" spans="1:7" x14ac:dyDescent="0.25">
      <c r="A61" s="21">
        <v>60</v>
      </c>
      <c r="B61" s="21" t="s">
        <v>30</v>
      </c>
      <c r="C61" s="21" t="s">
        <v>226</v>
      </c>
      <c r="D61" s="21" t="s">
        <v>227</v>
      </c>
      <c r="E61" s="21" t="s">
        <v>85</v>
      </c>
      <c r="F61" s="21" t="s">
        <v>93</v>
      </c>
      <c r="G61" s="21" t="s">
        <v>87</v>
      </c>
    </row>
    <row r="62" spans="1:7" x14ac:dyDescent="0.25">
      <c r="A62" s="21">
        <v>61</v>
      </c>
      <c r="B62" s="21" t="s">
        <v>30</v>
      </c>
      <c r="C62" s="21" t="s">
        <v>228</v>
      </c>
      <c r="D62" s="21" t="s">
        <v>229</v>
      </c>
      <c r="E62" s="21" t="s">
        <v>85</v>
      </c>
      <c r="F62" s="21" t="s">
        <v>93</v>
      </c>
      <c r="G62" s="21" t="s">
        <v>87</v>
      </c>
    </row>
    <row r="63" spans="1:7" x14ac:dyDescent="0.25">
      <c r="A63" s="21">
        <v>62</v>
      </c>
      <c r="B63" s="21" t="s">
        <v>31</v>
      </c>
      <c r="C63" s="21" t="s">
        <v>230</v>
      </c>
      <c r="D63" s="21" t="s">
        <v>231</v>
      </c>
      <c r="E63" s="21" t="s">
        <v>85</v>
      </c>
      <c r="F63" s="21" t="s">
        <v>93</v>
      </c>
      <c r="G63" s="21" t="s">
        <v>87</v>
      </c>
    </row>
    <row r="64" spans="1:7" x14ac:dyDescent="0.25">
      <c r="A64" s="21">
        <v>63</v>
      </c>
      <c r="B64" s="21" t="s">
        <v>31</v>
      </c>
      <c r="C64" s="21" t="s">
        <v>232</v>
      </c>
      <c r="D64" s="21" t="s">
        <v>233</v>
      </c>
      <c r="E64" s="21" t="s">
        <v>85</v>
      </c>
      <c r="F64" s="21" t="s">
        <v>93</v>
      </c>
      <c r="G64" s="21" t="s">
        <v>87</v>
      </c>
    </row>
    <row r="65" spans="1:7" x14ac:dyDescent="0.25">
      <c r="A65" s="21">
        <v>64</v>
      </c>
      <c r="B65" s="21" t="s">
        <v>31</v>
      </c>
      <c r="C65" s="21" t="s">
        <v>234</v>
      </c>
      <c r="D65" s="21" t="s">
        <v>235</v>
      </c>
      <c r="E65" s="21" t="s">
        <v>85</v>
      </c>
      <c r="F65" s="21" t="s">
        <v>93</v>
      </c>
      <c r="G65" s="21" t="s">
        <v>87</v>
      </c>
    </row>
    <row r="66" spans="1:7" x14ac:dyDescent="0.25">
      <c r="A66" s="21">
        <v>65</v>
      </c>
      <c r="B66" s="21" t="s">
        <v>31</v>
      </c>
      <c r="C66" s="21" t="s">
        <v>236</v>
      </c>
      <c r="D66" s="21" t="s">
        <v>237</v>
      </c>
      <c r="E66" s="21" t="s">
        <v>85</v>
      </c>
      <c r="F66" s="21" t="s">
        <v>93</v>
      </c>
      <c r="G66" s="21" t="s">
        <v>87</v>
      </c>
    </row>
    <row r="67" spans="1:7" x14ac:dyDescent="0.25">
      <c r="A67" s="21">
        <v>66</v>
      </c>
      <c r="B67" s="21" t="s">
        <v>31</v>
      </c>
      <c r="C67" s="21" t="s">
        <v>238</v>
      </c>
      <c r="D67" s="21" t="s">
        <v>239</v>
      </c>
      <c r="E67" s="21" t="s">
        <v>85</v>
      </c>
      <c r="F67" s="21" t="s">
        <v>93</v>
      </c>
      <c r="G67" s="21" t="s">
        <v>87</v>
      </c>
    </row>
    <row r="68" spans="1:7" x14ac:dyDescent="0.25">
      <c r="A68" s="21">
        <v>67</v>
      </c>
      <c r="B68" s="21" t="s">
        <v>31</v>
      </c>
      <c r="C68" s="21" t="s">
        <v>240</v>
      </c>
      <c r="D68" s="21" t="s">
        <v>241</v>
      </c>
      <c r="E68" s="21" t="s">
        <v>85</v>
      </c>
      <c r="F68" s="21" t="s">
        <v>93</v>
      </c>
      <c r="G68" s="21" t="s">
        <v>87</v>
      </c>
    </row>
    <row r="69" spans="1:7" x14ac:dyDescent="0.25">
      <c r="A69" s="21">
        <v>68</v>
      </c>
      <c r="B69" s="21" t="s">
        <v>31</v>
      </c>
      <c r="C69" s="21" t="s">
        <v>242</v>
      </c>
      <c r="D69" s="21" t="s">
        <v>243</v>
      </c>
      <c r="E69" s="21" t="s">
        <v>85</v>
      </c>
      <c r="F69" s="21" t="s">
        <v>93</v>
      </c>
      <c r="G69" s="21" t="s">
        <v>87</v>
      </c>
    </row>
    <row r="70" spans="1:7" x14ac:dyDescent="0.25">
      <c r="A70" s="21">
        <v>69</v>
      </c>
      <c r="B70" s="21" t="s">
        <v>31</v>
      </c>
      <c r="C70" s="21" t="s">
        <v>244</v>
      </c>
      <c r="D70" s="21" t="s">
        <v>245</v>
      </c>
      <c r="E70" s="21" t="s">
        <v>85</v>
      </c>
      <c r="F70" s="21" t="s">
        <v>93</v>
      </c>
      <c r="G70" s="21" t="s">
        <v>87</v>
      </c>
    </row>
    <row r="71" spans="1:7" x14ac:dyDescent="0.25">
      <c r="A71" s="21">
        <v>70</v>
      </c>
      <c r="B71" s="21" t="s">
        <v>31</v>
      </c>
      <c r="C71" s="21" t="s">
        <v>246</v>
      </c>
      <c r="D71" s="21" t="s">
        <v>247</v>
      </c>
      <c r="E71" s="21" t="s">
        <v>85</v>
      </c>
      <c r="F71" s="21" t="s">
        <v>93</v>
      </c>
      <c r="G71" s="21" t="s">
        <v>87</v>
      </c>
    </row>
    <row r="72" spans="1:7" x14ac:dyDescent="0.25">
      <c r="A72" s="21">
        <v>71</v>
      </c>
      <c r="B72" s="21" t="s">
        <v>31</v>
      </c>
      <c r="C72" s="21" t="s">
        <v>248</v>
      </c>
      <c r="D72" s="21" t="s">
        <v>249</v>
      </c>
      <c r="E72" s="21" t="s">
        <v>85</v>
      </c>
      <c r="F72" s="21" t="s">
        <v>93</v>
      </c>
      <c r="G72" s="21" t="s">
        <v>87</v>
      </c>
    </row>
    <row r="73" spans="1:7" x14ac:dyDescent="0.25">
      <c r="A73" s="21">
        <v>72</v>
      </c>
      <c r="B73" s="21" t="s">
        <v>31</v>
      </c>
      <c r="C73" s="21" t="s">
        <v>250</v>
      </c>
      <c r="D73" s="21" t="s">
        <v>251</v>
      </c>
      <c r="E73" s="21" t="s">
        <v>85</v>
      </c>
      <c r="F73" s="21" t="s">
        <v>93</v>
      </c>
      <c r="G73" s="21" t="s">
        <v>87</v>
      </c>
    </row>
    <row r="74" spans="1:7" x14ac:dyDescent="0.25">
      <c r="A74" s="21">
        <v>73</v>
      </c>
      <c r="B74" s="21" t="s">
        <v>31</v>
      </c>
      <c r="C74" s="21" t="s">
        <v>252</v>
      </c>
      <c r="D74" s="21" t="s">
        <v>253</v>
      </c>
      <c r="E74" s="21" t="s">
        <v>85</v>
      </c>
      <c r="F74" s="21" t="s">
        <v>93</v>
      </c>
      <c r="G74" s="21" t="s">
        <v>87</v>
      </c>
    </row>
    <row r="75" spans="1:7" x14ac:dyDescent="0.25">
      <c r="A75" s="21">
        <v>74</v>
      </c>
      <c r="B75" s="21" t="s">
        <v>31</v>
      </c>
      <c r="C75" s="21" t="s">
        <v>254</v>
      </c>
      <c r="D75" s="21" t="s">
        <v>255</v>
      </c>
      <c r="E75" s="21" t="s">
        <v>85</v>
      </c>
      <c r="F75" s="21" t="s">
        <v>93</v>
      </c>
      <c r="G75" s="21" t="s">
        <v>87</v>
      </c>
    </row>
    <row r="76" spans="1:7" x14ac:dyDescent="0.25">
      <c r="A76" s="21">
        <v>75</v>
      </c>
      <c r="B76" s="21" t="s">
        <v>31</v>
      </c>
      <c r="C76" s="21" t="s">
        <v>256</v>
      </c>
      <c r="D76" s="21" t="s">
        <v>257</v>
      </c>
      <c r="E76" s="21" t="s">
        <v>85</v>
      </c>
      <c r="F76" s="21" t="s">
        <v>93</v>
      </c>
      <c r="G76" s="21" t="s">
        <v>87</v>
      </c>
    </row>
    <row r="77" spans="1:7" x14ac:dyDescent="0.25">
      <c r="A77" s="21">
        <v>76</v>
      </c>
      <c r="B77" s="21" t="s">
        <v>31</v>
      </c>
      <c r="C77" s="21" t="s">
        <v>258</v>
      </c>
      <c r="D77" s="21" t="s">
        <v>259</v>
      </c>
      <c r="E77" s="21" t="s">
        <v>85</v>
      </c>
      <c r="F77" s="21" t="s">
        <v>93</v>
      </c>
      <c r="G77" s="21" t="s">
        <v>87</v>
      </c>
    </row>
    <row r="78" spans="1:7" x14ac:dyDescent="0.25">
      <c r="A78" s="21">
        <v>77</v>
      </c>
      <c r="B78" s="21" t="s">
        <v>31</v>
      </c>
      <c r="C78" s="21" t="s">
        <v>260</v>
      </c>
      <c r="D78" s="21" t="s">
        <v>261</v>
      </c>
      <c r="E78" s="21" t="s">
        <v>85</v>
      </c>
      <c r="F78" s="21" t="s">
        <v>93</v>
      </c>
      <c r="G78" s="21" t="s">
        <v>87</v>
      </c>
    </row>
    <row r="79" spans="1:7" x14ac:dyDescent="0.25">
      <c r="A79" s="21">
        <v>78</v>
      </c>
      <c r="B79" s="21" t="s">
        <v>31</v>
      </c>
      <c r="C79" s="21" t="s">
        <v>262</v>
      </c>
      <c r="D79" s="21" t="s">
        <v>263</v>
      </c>
      <c r="E79" s="21" t="s">
        <v>85</v>
      </c>
      <c r="F79" s="21" t="s">
        <v>93</v>
      </c>
      <c r="G79" s="21" t="s">
        <v>87</v>
      </c>
    </row>
    <row r="80" spans="1:7" x14ac:dyDescent="0.25">
      <c r="A80" s="21">
        <v>79</v>
      </c>
      <c r="B80" s="21" t="s">
        <v>31</v>
      </c>
      <c r="C80" s="21" t="s">
        <v>264</v>
      </c>
      <c r="D80" s="21" t="s">
        <v>265</v>
      </c>
      <c r="E80" s="21" t="s">
        <v>85</v>
      </c>
      <c r="F80" s="21" t="s">
        <v>93</v>
      </c>
      <c r="G80" s="21" t="s">
        <v>87</v>
      </c>
    </row>
    <row r="81" spans="1:7" x14ac:dyDescent="0.25">
      <c r="A81" s="21">
        <v>80</v>
      </c>
      <c r="B81" s="21" t="s">
        <v>31</v>
      </c>
      <c r="C81" s="21" t="s">
        <v>266</v>
      </c>
      <c r="D81" s="21" t="s">
        <v>267</v>
      </c>
      <c r="E81" s="21" t="s">
        <v>85</v>
      </c>
      <c r="F81" s="21" t="s">
        <v>93</v>
      </c>
      <c r="G81" s="21" t="s">
        <v>87</v>
      </c>
    </row>
    <row r="82" spans="1:7" x14ac:dyDescent="0.25">
      <c r="A82" s="21">
        <v>81</v>
      </c>
      <c r="B82" s="21" t="s">
        <v>31</v>
      </c>
      <c r="C82" s="21" t="s">
        <v>268</v>
      </c>
      <c r="D82" s="21" t="s">
        <v>269</v>
      </c>
      <c r="E82" s="21" t="s">
        <v>85</v>
      </c>
      <c r="F82" s="21" t="s">
        <v>93</v>
      </c>
      <c r="G82" s="21" t="s">
        <v>87</v>
      </c>
    </row>
    <row r="83" spans="1:7" x14ac:dyDescent="0.25">
      <c r="A83" s="21">
        <v>82</v>
      </c>
      <c r="B83" s="21" t="s">
        <v>31</v>
      </c>
      <c r="C83" s="21" t="s">
        <v>270</v>
      </c>
      <c r="D83" s="21" t="s">
        <v>271</v>
      </c>
      <c r="E83" s="21" t="s">
        <v>85</v>
      </c>
      <c r="F83" s="21" t="s">
        <v>93</v>
      </c>
      <c r="G83" s="21" t="s">
        <v>87</v>
      </c>
    </row>
    <row r="84" spans="1:7" x14ac:dyDescent="0.25">
      <c r="A84" s="21">
        <v>83</v>
      </c>
      <c r="B84" s="21" t="s">
        <v>31</v>
      </c>
      <c r="C84" s="21" t="s">
        <v>272</v>
      </c>
      <c r="D84" s="21" t="s">
        <v>273</v>
      </c>
      <c r="E84" s="21" t="s">
        <v>85</v>
      </c>
      <c r="F84" s="21" t="s">
        <v>93</v>
      </c>
      <c r="G84" s="21" t="s">
        <v>87</v>
      </c>
    </row>
    <row r="85" spans="1:7" x14ac:dyDescent="0.25">
      <c r="A85" s="21">
        <v>84</v>
      </c>
      <c r="B85" s="21" t="s">
        <v>31</v>
      </c>
      <c r="C85" s="21" t="s">
        <v>274</v>
      </c>
      <c r="D85" s="21" t="s">
        <v>275</v>
      </c>
      <c r="E85" s="21" t="s">
        <v>85</v>
      </c>
      <c r="F85" s="21" t="s">
        <v>93</v>
      </c>
      <c r="G85" s="21" t="s">
        <v>87</v>
      </c>
    </row>
    <row r="86" spans="1:7" x14ac:dyDescent="0.25">
      <c r="A86" s="21">
        <v>85</v>
      </c>
      <c r="B86" s="21" t="s">
        <v>31</v>
      </c>
      <c r="C86" s="21" t="s">
        <v>276</v>
      </c>
      <c r="D86" s="21" t="s">
        <v>277</v>
      </c>
      <c r="E86" s="21" t="s">
        <v>85</v>
      </c>
      <c r="F86" s="21" t="s">
        <v>93</v>
      </c>
      <c r="G86" s="21" t="s">
        <v>87</v>
      </c>
    </row>
    <row r="87" spans="1:7" x14ac:dyDescent="0.25">
      <c r="A87" s="21">
        <v>86</v>
      </c>
      <c r="B87" s="21" t="s">
        <v>31</v>
      </c>
      <c r="C87" s="21" t="s">
        <v>278</v>
      </c>
      <c r="D87" s="21" t="s">
        <v>279</v>
      </c>
      <c r="E87" s="21" t="s">
        <v>85</v>
      </c>
      <c r="F87" s="21" t="s">
        <v>93</v>
      </c>
      <c r="G87" s="21" t="s">
        <v>87</v>
      </c>
    </row>
    <row r="88" spans="1:7" x14ac:dyDescent="0.25">
      <c r="A88" s="21">
        <v>87</v>
      </c>
      <c r="B88" s="21" t="s">
        <v>31</v>
      </c>
      <c r="C88" s="21" t="s">
        <v>280</v>
      </c>
      <c r="D88" s="21" t="s">
        <v>281</v>
      </c>
      <c r="E88" s="21" t="s">
        <v>85</v>
      </c>
      <c r="F88" s="21" t="s">
        <v>93</v>
      </c>
      <c r="G88" s="21" t="s">
        <v>87</v>
      </c>
    </row>
    <row r="89" spans="1:7" x14ac:dyDescent="0.25">
      <c r="A89" s="21">
        <v>88</v>
      </c>
      <c r="B89" s="21" t="s">
        <v>31</v>
      </c>
      <c r="C89" s="21" t="s">
        <v>282</v>
      </c>
      <c r="D89" s="21" t="s">
        <v>283</v>
      </c>
      <c r="E89" s="21" t="s">
        <v>85</v>
      </c>
      <c r="F89" s="21" t="s">
        <v>93</v>
      </c>
      <c r="G89" s="21" t="s">
        <v>87</v>
      </c>
    </row>
    <row r="90" spans="1:7" x14ac:dyDescent="0.25">
      <c r="A90" s="21">
        <v>89</v>
      </c>
      <c r="B90" s="21" t="s">
        <v>31</v>
      </c>
      <c r="C90" s="21" t="s">
        <v>284</v>
      </c>
      <c r="D90" s="21" t="s">
        <v>285</v>
      </c>
      <c r="E90" s="21" t="s">
        <v>85</v>
      </c>
      <c r="F90" s="21" t="s">
        <v>93</v>
      </c>
      <c r="G90" s="21" t="s">
        <v>87</v>
      </c>
    </row>
    <row r="91" spans="1:7" x14ac:dyDescent="0.25">
      <c r="A91" s="21">
        <v>90</v>
      </c>
      <c r="B91" s="21" t="s">
        <v>31</v>
      </c>
      <c r="C91" s="21" t="s">
        <v>286</v>
      </c>
      <c r="D91" s="21" t="s">
        <v>287</v>
      </c>
      <c r="E91" s="21" t="s">
        <v>85</v>
      </c>
      <c r="F91" s="21" t="s">
        <v>93</v>
      </c>
      <c r="G91" s="21" t="s">
        <v>87</v>
      </c>
    </row>
    <row r="92" spans="1:7" x14ac:dyDescent="0.25">
      <c r="A92" s="21">
        <v>91</v>
      </c>
      <c r="B92" s="21" t="s">
        <v>31</v>
      </c>
      <c r="C92" s="21" t="s">
        <v>288</v>
      </c>
      <c r="D92" s="21" t="s">
        <v>289</v>
      </c>
      <c r="E92" s="21" t="s">
        <v>85</v>
      </c>
      <c r="F92" s="21" t="s">
        <v>93</v>
      </c>
      <c r="G92" s="21" t="s">
        <v>87</v>
      </c>
    </row>
    <row r="93" spans="1:7" x14ac:dyDescent="0.25">
      <c r="A93" s="21">
        <v>92</v>
      </c>
      <c r="B93" s="21" t="s">
        <v>32</v>
      </c>
      <c r="C93" s="21" t="s">
        <v>290</v>
      </c>
      <c r="D93" s="21" t="s">
        <v>291</v>
      </c>
      <c r="E93" s="21" t="s">
        <v>85</v>
      </c>
      <c r="F93" s="21" t="s">
        <v>93</v>
      </c>
      <c r="G93" s="21" t="s">
        <v>87</v>
      </c>
    </row>
    <row r="94" spans="1:7" x14ac:dyDescent="0.25">
      <c r="A94" s="21">
        <v>93</v>
      </c>
      <c r="B94" s="21" t="s">
        <v>32</v>
      </c>
      <c r="C94" s="21" t="s">
        <v>292</v>
      </c>
      <c r="D94" s="21" t="s">
        <v>293</v>
      </c>
      <c r="E94" s="21" t="s">
        <v>85</v>
      </c>
      <c r="F94" s="21" t="s">
        <v>93</v>
      </c>
      <c r="G94" s="21" t="s">
        <v>87</v>
      </c>
    </row>
    <row r="95" spans="1:7" x14ac:dyDescent="0.25">
      <c r="A95" s="21">
        <v>94</v>
      </c>
      <c r="B95" s="21" t="s">
        <v>32</v>
      </c>
      <c r="C95" s="21" t="s">
        <v>294</v>
      </c>
      <c r="D95" s="21" t="s">
        <v>295</v>
      </c>
      <c r="E95" s="21" t="s">
        <v>85</v>
      </c>
      <c r="F95" s="21" t="s">
        <v>93</v>
      </c>
      <c r="G95" s="21" t="s">
        <v>87</v>
      </c>
    </row>
    <row r="96" spans="1:7" x14ac:dyDescent="0.25">
      <c r="A96" s="21">
        <v>95</v>
      </c>
      <c r="B96" s="21" t="s">
        <v>32</v>
      </c>
      <c r="C96" s="21" t="s">
        <v>296</v>
      </c>
      <c r="D96" s="21" t="s">
        <v>297</v>
      </c>
      <c r="E96" s="21" t="s">
        <v>85</v>
      </c>
      <c r="F96" s="21" t="s">
        <v>93</v>
      </c>
      <c r="G96" s="21" t="s">
        <v>87</v>
      </c>
    </row>
    <row r="97" spans="1:7" x14ac:dyDescent="0.25">
      <c r="A97" s="21">
        <v>96</v>
      </c>
      <c r="B97" s="21" t="s">
        <v>32</v>
      </c>
      <c r="C97" s="21" t="s">
        <v>298</v>
      </c>
      <c r="D97" s="21" t="s">
        <v>299</v>
      </c>
      <c r="E97" s="21" t="s">
        <v>85</v>
      </c>
      <c r="F97" s="21" t="s">
        <v>93</v>
      </c>
      <c r="G97" s="21" t="s">
        <v>87</v>
      </c>
    </row>
    <row r="98" spans="1:7" x14ac:dyDescent="0.25">
      <c r="A98" s="21">
        <v>97</v>
      </c>
      <c r="B98" s="21" t="s">
        <v>32</v>
      </c>
      <c r="C98" s="21" t="s">
        <v>300</v>
      </c>
      <c r="D98" s="21" t="s">
        <v>301</v>
      </c>
      <c r="E98" s="21" t="s">
        <v>85</v>
      </c>
      <c r="F98" s="21" t="s">
        <v>93</v>
      </c>
      <c r="G98" s="21" t="s">
        <v>87</v>
      </c>
    </row>
    <row r="99" spans="1:7" x14ac:dyDescent="0.25">
      <c r="A99" s="21">
        <v>98</v>
      </c>
      <c r="B99" s="21" t="s">
        <v>32</v>
      </c>
      <c r="C99" s="21" t="s">
        <v>302</v>
      </c>
      <c r="D99" s="21" t="s">
        <v>303</v>
      </c>
      <c r="E99" s="21" t="s">
        <v>85</v>
      </c>
      <c r="F99" s="21" t="s">
        <v>93</v>
      </c>
      <c r="G99" s="21" t="s">
        <v>87</v>
      </c>
    </row>
    <row r="100" spans="1:7" x14ac:dyDescent="0.25">
      <c r="A100" s="21">
        <v>99</v>
      </c>
      <c r="B100" s="21" t="s">
        <v>32</v>
      </c>
      <c r="C100" s="21" t="s">
        <v>304</v>
      </c>
      <c r="D100" s="21" t="s">
        <v>305</v>
      </c>
      <c r="E100" s="21" t="s">
        <v>85</v>
      </c>
      <c r="F100" s="21" t="s">
        <v>93</v>
      </c>
      <c r="G100" s="21" t="s">
        <v>87</v>
      </c>
    </row>
    <row r="101" spans="1:7" x14ac:dyDescent="0.25">
      <c r="A101" s="21">
        <v>100</v>
      </c>
      <c r="B101" s="21" t="s">
        <v>32</v>
      </c>
      <c r="C101" s="21" t="s">
        <v>306</v>
      </c>
      <c r="D101" s="21" t="s">
        <v>307</v>
      </c>
      <c r="E101" s="21" t="s">
        <v>85</v>
      </c>
      <c r="F101" s="21" t="s">
        <v>93</v>
      </c>
      <c r="G101" s="21" t="s">
        <v>87</v>
      </c>
    </row>
    <row r="102" spans="1:7" x14ac:dyDescent="0.25">
      <c r="A102" s="21">
        <v>101</v>
      </c>
      <c r="B102" s="21" t="s">
        <v>32</v>
      </c>
      <c r="C102" s="21" t="s">
        <v>308</v>
      </c>
      <c r="D102" s="21" t="s">
        <v>309</v>
      </c>
      <c r="E102" s="21" t="s">
        <v>85</v>
      </c>
      <c r="F102" s="21" t="s">
        <v>93</v>
      </c>
      <c r="G102" s="21" t="s">
        <v>87</v>
      </c>
    </row>
    <row r="103" spans="1:7" x14ac:dyDescent="0.25">
      <c r="A103" s="21">
        <v>102</v>
      </c>
      <c r="B103" s="21" t="s">
        <v>32</v>
      </c>
      <c r="C103" s="21" t="s">
        <v>310</v>
      </c>
      <c r="D103" s="21" t="s">
        <v>311</v>
      </c>
      <c r="E103" s="21" t="s">
        <v>85</v>
      </c>
      <c r="F103" s="21" t="s">
        <v>93</v>
      </c>
      <c r="G103" s="21" t="s">
        <v>87</v>
      </c>
    </row>
    <row r="104" spans="1:7" x14ac:dyDescent="0.25">
      <c r="A104" s="21">
        <v>103</v>
      </c>
      <c r="B104" s="21" t="s">
        <v>32</v>
      </c>
      <c r="C104" s="21" t="s">
        <v>312</v>
      </c>
      <c r="D104" s="21" t="s">
        <v>313</v>
      </c>
      <c r="E104" s="21" t="s">
        <v>85</v>
      </c>
      <c r="F104" s="21" t="s">
        <v>93</v>
      </c>
      <c r="G104" s="21" t="s">
        <v>87</v>
      </c>
    </row>
    <row r="105" spans="1:7" x14ac:dyDescent="0.25">
      <c r="A105" s="21">
        <v>104</v>
      </c>
      <c r="B105" s="21" t="s">
        <v>314</v>
      </c>
      <c r="C105" s="21" t="s">
        <v>315</v>
      </c>
      <c r="D105" s="21" t="s">
        <v>316</v>
      </c>
      <c r="E105" s="21" t="s">
        <v>85</v>
      </c>
      <c r="F105" s="21" t="s">
        <v>93</v>
      </c>
      <c r="G105" s="21" t="s">
        <v>87</v>
      </c>
    </row>
    <row r="106" spans="1:7" x14ac:dyDescent="0.25">
      <c r="A106" s="21">
        <v>105</v>
      </c>
      <c r="B106" s="21" t="s">
        <v>314</v>
      </c>
      <c r="C106" s="21" t="s">
        <v>317</v>
      </c>
      <c r="D106" s="21" t="s">
        <v>318</v>
      </c>
      <c r="E106" s="21" t="s">
        <v>85</v>
      </c>
      <c r="F106" s="21" t="s">
        <v>93</v>
      </c>
      <c r="G106" s="21" t="s">
        <v>87</v>
      </c>
    </row>
    <row r="107" spans="1:7" x14ac:dyDescent="0.25">
      <c r="A107" s="21">
        <v>106</v>
      </c>
      <c r="B107" s="21" t="s">
        <v>314</v>
      </c>
      <c r="C107" s="21" t="s">
        <v>319</v>
      </c>
      <c r="D107" s="21" t="s">
        <v>320</v>
      </c>
      <c r="E107" s="21" t="s">
        <v>85</v>
      </c>
      <c r="F107" s="21" t="s">
        <v>93</v>
      </c>
      <c r="G107" s="21" t="s">
        <v>87</v>
      </c>
    </row>
    <row r="108" spans="1:7" x14ac:dyDescent="0.25">
      <c r="A108" s="21">
        <v>107</v>
      </c>
      <c r="B108" s="21" t="s">
        <v>314</v>
      </c>
      <c r="C108" s="21" t="s">
        <v>321</v>
      </c>
      <c r="D108" s="21" t="s">
        <v>322</v>
      </c>
      <c r="E108" s="21" t="s">
        <v>85</v>
      </c>
      <c r="F108" s="21" t="s">
        <v>93</v>
      </c>
      <c r="G108" s="21" t="s">
        <v>87</v>
      </c>
    </row>
    <row r="109" spans="1:7" x14ac:dyDescent="0.25">
      <c r="A109" s="21">
        <v>108</v>
      </c>
      <c r="B109" s="21" t="s">
        <v>314</v>
      </c>
      <c r="C109" s="21" t="s">
        <v>323</v>
      </c>
      <c r="D109" s="21" t="s">
        <v>324</v>
      </c>
      <c r="E109" s="21" t="s">
        <v>85</v>
      </c>
      <c r="F109" s="21" t="s">
        <v>93</v>
      </c>
      <c r="G109" s="21" t="s">
        <v>87</v>
      </c>
    </row>
    <row r="110" spans="1:7" x14ac:dyDescent="0.25">
      <c r="A110" s="21">
        <v>109</v>
      </c>
      <c r="B110" s="21" t="s">
        <v>314</v>
      </c>
      <c r="C110" s="21" t="s">
        <v>325</v>
      </c>
      <c r="D110" s="21" t="s">
        <v>326</v>
      </c>
      <c r="E110" s="21" t="s">
        <v>85</v>
      </c>
      <c r="F110" s="21" t="s">
        <v>93</v>
      </c>
      <c r="G110" s="21" t="s">
        <v>87</v>
      </c>
    </row>
    <row r="111" spans="1:7" x14ac:dyDescent="0.25">
      <c r="A111" s="21">
        <v>110</v>
      </c>
      <c r="B111" s="21" t="s">
        <v>314</v>
      </c>
      <c r="C111" s="21" t="s">
        <v>30</v>
      </c>
      <c r="D111" s="21" t="s">
        <v>327</v>
      </c>
      <c r="E111" s="21" t="s">
        <v>85</v>
      </c>
      <c r="F111" s="21" t="s">
        <v>93</v>
      </c>
      <c r="G111" s="21" t="s">
        <v>87</v>
      </c>
    </row>
    <row r="112" spans="1:7" x14ac:dyDescent="0.25">
      <c r="A112" s="21">
        <v>111</v>
      </c>
      <c r="B112" s="21" t="s">
        <v>314</v>
      </c>
      <c r="C112" s="21" t="s">
        <v>328</v>
      </c>
      <c r="D112" s="21" t="s">
        <v>329</v>
      </c>
      <c r="E112" s="21" t="s">
        <v>85</v>
      </c>
      <c r="F112" s="21" t="s">
        <v>93</v>
      </c>
      <c r="G112" s="21" t="s">
        <v>87</v>
      </c>
    </row>
    <row r="113" spans="1:7" x14ac:dyDescent="0.25">
      <c r="A113" s="21">
        <v>112</v>
      </c>
      <c r="B113" s="21" t="s">
        <v>314</v>
      </c>
      <c r="C113" s="21" t="s">
        <v>156</v>
      </c>
      <c r="D113" s="21" t="s">
        <v>330</v>
      </c>
      <c r="E113" s="21" t="s">
        <v>85</v>
      </c>
      <c r="F113" s="21" t="s">
        <v>93</v>
      </c>
      <c r="G113" s="21" t="s">
        <v>87</v>
      </c>
    </row>
    <row r="114" spans="1:7" x14ac:dyDescent="0.25">
      <c r="A114" s="21">
        <v>113</v>
      </c>
      <c r="B114" s="21" t="s">
        <v>314</v>
      </c>
      <c r="C114" s="21" t="s">
        <v>331</v>
      </c>
      <c r="D114" s="21" t="s">
        <v>332</v>
      </c>
      <c r="E114" s="21" t="s">
        <v>85</v>
      </c>
      <c r="F114" s="21" t="s">
        <v>93</v>
      </c>
      <c r="G114" s="21" t="s">
        <v>87</v>
      </c>
    </row>
    <row r="115" spans="1:7" x14ac:dyDescent="0.25">
      <c r="A115" s="21">
        <v>114</v>
      </c>
      <c r="B115" s="21" t="s">
        <v>314</v>
      </c>
      <c r="C115" s="21" t="s">
        <v>333</v>
      </c>
      <c r="D115" s="21" t="s">
        <v>334</v>
      </c>
      <c r="E115" s="21" t="s">
        <v>85</v>
      </c>
      <c r="F115" s="21" t="s">
        <v>93</v>
      </c>
      <c r="G115" s="21" t="s">
        <v>87</v>
      </c>
    </row>
    <row r="116" spans="1:7" x14ac:dyDescent="0.25">
      <c r="A116" s="21">
        <v>115</v>
      </c>
      <c r="B116" s="21" t="s">
        <v>314</v>
      </c>
      <c r="C116" s="21" t="s">
        <v>335</v>
      </c>
      <c r="D116" s="21" t="s">
        <v>336</v>
      </c>
      <c r="E116" s="21" t="s">
        <v>85</v>
      </c>
      <c r="F116" s="21" t="s">
        <v>93</v>
      </c>
      <c r="G116" s="21" t="s">
        <v>87</v>
      </c>
    </row>
    <row r="117" spans="1:7" x14ac:dyDescent="0.25">
      <c r="A117" s="21">
        <v>116</v>
      </c>
      <c r="B117" s="21" t="s">
        <v>314</v>
      </c>
      <c r="C117" s="21" t="s">
        <v>337</v>
      </c>
      <c r="D117" s="21" t="s">
        <v>338</v>
      </c>
      <c r="E117" s="21" t="s">
        <v>85</v>
      </c>
      <c r="F117" s="21" t="s">
        <v>93</v>
      </c>
      <c r="G117" s="21" t="s">
        <v>87</v>
      </c>
    </row>
    <row r="118" spans="1:7" x14ac:dyDescent="0.25">
      <c r="A118" s="21">
        <v>117</v>
      </c>
      <c r="B118" s="21" t="s">
        <v>314</v>
      </c>
      <c r="C118" s="21" t="s">
        <v>29</v>
      </c>
      <c r="D118" s="21" t="s">
        <v>339</v>
      </c>
      <c r="E118" s="21" t="s">
        <v>85</v>
      </c>
      <c r="F118" s="21" t="s">
        <v>93</v>
      </c>
      <c r="G118" s="21" t="s">
        <v>87</v>
      </c>
    </row>
    <row r="119" spans="1:7" x14ac:dyDescent="0.25">
      <c r="A119" s="21">
        <v>118</v>
      </c>
      <c r="B119" s="21" t="s">
        <v>314</v>
      </c>
      <c r="C119" s="21" t="s">
        <v>340</v>
      </c>
      <c r="D119" s="21" t="s">
        <v>341</v>
      </c>
      <c r="E119" s="21" t="s">
        <v>85</v>
      </c>
      <c r="F119" s="21" t="s">
        <v>93</v>
      </c>
      <c r="G119" s="21" t="s">
        <v>87</v>
      </c>
    </row>
    <row r="120" spans="1:7" x14ac:dyDescent="0.25">
      <c r="A120" s="21">
        <v>119</v>
      </c>
      <c r="B120" s="21" t="s">
        <v>314</v>
      </c>
      <c r="C120" s="21" t="s">
        <v>342</v>
      </c>
      <c r="D120" s="21" t="s">
        <v>343</v>
      </c>
      <c r="E120" s="21" t="s">
        <v>85</v>
      </c>
      <c r="F120" s="21" t="s">
        <v>93</v>
      </c>
      <c r="G120" s="21" t="s">
        <v>87</v>
      </c>
    </row>
    <row r="121" spans="1:7" x14ac:dyDescent="0.25">
      <c r="A121" s="21">
        <v>120</v>
      </c>
      <c r="B121" s="21" t="s">
        <v>314</v>
      </c>
      <c r="C121" s="21" t="s">
        <v>344</v>
      </c>
      <c r="D121" s="21" t="s">
        <v>345</v>
      </c>
      <c r="E121" s="21" t="s">
        <v>85</v>
      </c>
      <c r="F121" s="21" t="s">
        <v>93</v>
      </c>
      <c r="G121" s="21" t="s">
        <v>87</v>
      </c>
    </row>
    <row r="122" spans="1:7" x14ac:dyDescent="0.25">
      <c r="A122" s="21">
        <v>121</v>
      </c>
      <c r="B122" s="21" t="s">
        <v>314</v>
      </c>
      <c r="C122" s="21" t="s">
        <v>346</v>
      </c>
      <c r="D122" s="21" t="s">
        <v>347</v>
      </c>
      <c r="E122" s="21" t="s">
        <v>85</v>
      </c>
      <c r="F122" s="21" t="s">
        <v>93</v>
      </c>
      <c r="G122" s="21" t="s">
        <v>87</v>
      </c>
    </row>
    <row r="123" spans="1:7" x14ac:dyDescent="0.25">
      <c r="A123" s="21">
        <v>122</v>
      </c>
      <c r="B123" s="21" t="s">
        <v>314</v>
      </c>
      <c r="C123" s="21" t="s">
        <v>348</v>
      </c>
      <c r="D123" s="21" t="s">
        <v>349</v>
      </c>
      <c r="E123" s="21" t="s">
        <v>85</v>
      </c>
      <c r="F123" s="21" t="s">
        <v>93</v>
      </c>
      <c r="G123" s="21" t="s">
        <v>87</v>
      </c>
    </row>
    <row r="124" spans="1:7" x14ac:dyDescent="0.25">
      <c r="A124" s="21">
        <v>123</v>
      </c>
      <c r="B124" s="21" t="s">
        <v>314</v>
      </c>
      <c r="C124" s="21" t="s">
        <v>350</v>
      </c>
      <c r="D124" s="21" t="s">
        <v>351</v>
      </c>
      <c r="E124" s="21" t="s">
        <v>85</v>
      </c>
      <c r="F124" s="21" t="s">
        <v>93</v>
      </c>
      <c r="G124" s="21" t="s">
        <v>87</v>
      </c>
    </row>
    <row r="125" spans="1:7" x14ac:dyDescent="0.25">
      <c r="A125" s="21">
        <v>124</v>
      </c>
      <c r="B125" s="21" t="s">
        <v>314</v>
      </c>
      <c r="C125" s="21" t="s">
        <v>276</v>
      </c>
      <c r="D125" s="21" t="s">
        <v>352</v>
      </c>
      <c r="E125" s="21" t="s">
        <v>85</v>
      </c>
      <c r="F125" s="21" t="s">
        <v>93</v>
      </c>
      <c r="G125" s="21" t="s">
        <v>87</v>
      </c>
    </row>
    <row r="126" spans="1:7" x14ac:dyDescent="0.25">
      <c r="A126" s="21">
        <v>125</v>
      </c>
      <c r="B126" s="21" t="s">
        <v>314</v>
      </c>
      <c r="C126" s="21" t="s">
        <v>353</v>
      </c>
      <c r="D126" s="21" t="s">
        <v>354</v>
      </c>
      <c r="E126" s="21" t="s">
        <v>85</v>
      </c>
      <c r="F126" s="21" t="s">
        <v>93</v>
      </c>
      <c r="G126" s="21" t="s">
        <v>87</v>
      </c>
    </row>
    <row r="127" spans="1:7" x14ac:dyDescent="0.25">
      <c r="A127" s="21">
        <v>126</v>
      </c>
      <c r="B127" s="21" t="s">
        <v>34</v>
      </c>
      <c r="C127" s="21" t="s">
        <v>355</v>
      </c>
      <c r="D127" s="21" t="s">
        <v>356</v>
      </c>
      <c r="E127" s="21" t="s">
        <v>85</v>
      </c>
      <c r="F127" s="22" t="s">
        <v>357</v>
      </c>
      <c r="G127" s="21" t="s">
        <v>87</v>
      </c>
    </row>
    <row r="128" spans="1:7" x14ac:dyDescent="0.25">
      <c r="A128" s="21">
        <v>127</v>
      </c>
      <c r="B128" s="21" t="s">
        <v>27</v>
      </c>
      <c r="C128" s="21" t="s">
        <v>358</v>
      </c>
      <c r="D128" s="21" t="s">
        <v>359</v>
      </c>
      <c r="E128" s="21" t="s">
        <v>85</v>
      </c>
      <c r="F128" s="22" t="s">
        <v>360</v>
      </c>
      <c r="G128" s="21" t="s">
        <v>87</v>
      </c>
    </row>
    <row r="129" spans="1:7" x14ac:dyDescent="0.25">
      <c r="A129" s="21">
        <v>128</v>
      </c>
      <c r="B129" s="21" t="s">
        <v>34</v>
      </c>
      <c r="C129" s="21" t="s">
        <v>361</v>
      </c>
      <c r="D129" s="21" t="s">
        <v>362</v>
      </c>
      <c r="E129" s="21" t="s">
        <v>85</v>
      </c>
      <c r="F129" s="22" t="s">
        <v>363</v>
      </c>
      <c r="G129" s="21" t="s">
        <v>87</v>
      </c>
    </row>
  </sheetData>
  <autoFilter ref="A1:G129"/>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2"/>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377</v>
      </c>
      <c r="B2" s="23" t="s">
        <v>378</v>
      </c>
      <c r="C2" s="23" t="s">
        <v>379</v>
      </c>
      <c r="D2" s="23" t="s">
        <v>380</v>
      </c>
      <c r="E2" s="23" t="s">
        <v>381</v>
      </c>
      <c r="F2" s="23" t="s">
        <v>40</v>
      </c>
      <c r="G2" s="23" t="s">
        <v>382</v>
      </c>
      <c r="H2" s="23" t="s">
        <v>383</v>
      </c>
      <c r="I2" s="23" t="s">
        <v>384</v>
      </c>
      <c r="J2" s="23" t="s">
        <v>385</v>
      </c>
      <c r="K2" s="24" t="s">
        <v>386</v>
      </c>
      <c r="L2" s="23" t="s">
        <v>13</v>
      </c>
      <c r="M2" s="25" t="s">
        <v>18</v>
      </c>
      <c r="N2" s="23" t="s">
        <v>40</v>
      </c>
      <c r="O2" s="23" t="s">
        <v>387</v>
      </c>
      <c r="P2" s="23" t="s">
        <v>40</v>
      </c>
      <c r="Q2" s="23" t="s">
        <v>40</v>
      </c>
      <c r="R2" s="23" t="s">
        <v>388</v>
      </c>
      <c r="S2" s="23" t="s">
        <v>40</v>
      </c>
      <c r="T2" s="23" t="s">
        <v>40</v>
      </c>
    </row>
    <row r="3" spans="1:20" x14ac:dyDescent="0.25">
      <c r="A3" s="23" t="s">
        <v>389</v>
      </c>
      <c r="B3" s="23" t="s">
        <v>378</v>
      </c>
      <c r="C3" s="23" t="s">
        <v>379</v>
      </c>
      <c r="D3" s="23" t="s">
        <v>390</v>
      </c>
      <c r="E3" s="23" t="s">
        <v>381</v>
      </c>
      <c r="F3" s="23" t="s">
        <v>391</v>
      </c>
      <c r="G3" s="23" t="s">
        <v>392</v>
      </c>
      <c r="H3" s="23" t="s">
        <v>393</v>
      </c>
      <c r="I3" s="23" t="s">
        <v>394</v>
      </c>
      <c r="J3" s="23" t="s">
        <v>395</v>
      </c>
      <c r="K3" s="26" t="s">
        <v>396</v>
      </c>
      <c r="L3" s="23" t="s">
        <v>13</v>
      </c>
      <c r="M3" s="25" t="s">
        <v>18</v>
      </c>
      <c r="N3" s="23" t="s">
        <v>40</v>
      </c>
      <c r="O3" s="23" t="s">
        <v>387</v>
      </c>
      <c r="P3" s="23" t="s">
        <v>40</v>
      </c>
      <c r="Q3" s="23" t="s">
        <v>40</v>
      </c>
      <c r="R3" s="23" t="s">
        <v>388</v>
      </c>
      <c r="S3" s="23" t="s">
        <v>40</v>
      </c>
      <c r="T3" s="23" t="s">
        <v>40</v>
      </c>
    </row>
    <row r="4" spans="1:20" x14ac:dyDescent="0.25">
      <c r="A4" s="23" t="s">
        <v>397</v>
      </c>
      <c r="B4" s="23" t="s">
        <v>378</v>
      </c>
      <c r="C4" s="23" t="s">
        <v>379</v>
      </c>
      <c r="D4" s="23" t="s">
        <v>398</v>
      </c>
      <c r="E4" s="23" t="s">
        <v>381</v>
      </c>
      <c r="F4" s="23" t="s">
        <v>399</v>
      </c>
      <c r="G4" s="23" t="s">
        <v>400</v>
      </c>
      <c r="H4" s="23" t="s">
        <v>401</v>
      </c>
      <c r="I4" s="23" t="s">
        <v>402</v>
      </c>
      <c r="J4" s="23" t="s">
        <v>403</v>
      </c>
      <c r="K4" s="27" t="s">
        <v>404</v>
      </c>
      <c r="L4" s="23" t="s">
        <v>405</v>
      </c>
      <c r="M4" s="25" t="s">
        <v>18</v>
      </c>
      <c r="N4" s="23" t="s">
        <v>40</v>
      </c>
      <c r="O4" s="23" t="s">
        <v>387</v>
      </c>
      <c r="P4" s="23" t="s">
        <v>40</v>
      </c>
      <c r="Q4" s="23" t="s">
        <v>40</v>
      </c>
      <c r="R4" s="23" t="s">
        <v>388</v>
      </c>
      <c r="S4" s="23" t="s">
        <v>40</v>
      </c>
      <c r="T4" s="23" t="s">
        <v>40</v>
      </c>
    </row>
    <row r="5" spans="1:20" x14ac:dyDescent="0.25">
      <c r="A5" s="23" t="s">
        <v>406</v>
      </c>
      <c r="B5" s="23" t="s">
        <v>378</v>
      </c>
      <c r="C5" s="23" t="s">
        <v>407</v>
      </c>
      <c r="D5" s="23" t="s">
        <v>408</v>
      </c>
      <c r="E5" s="23" t="s">
        <v>409</v>
      </c>
      <c r="F5" s="23" t="s">
        <v>410</v>
      </c>
      <c r="G5" s="23" t="s">
        <v>411</v>
      </c>
      <c r="H5" s="23" t="s">
        <v>412</v>
      </c>
      <c r="I5" s="23" t="s">
        <v>413</v>
      </c>
      <c r="J5" s="23" t="s">
        <v>14</v>
      </c>
      <c r="K5" s="26" t="s">
        <v>396</v>
      </c>
      <c r="L5" s="23" t="s">
        <v>13</v>
      </c>
      <c r="M5" s="28" t="s">
        <v>16</v>
      </c>
      <c r="N5" s="23" t="s">
        <v>414</v>
      </c>
      <c r="O5" s="29" t="s">
        <v>87</v>
      </c>
      <c r="P5" s="23" t="s">
        <v>40</v>
      </c>
      <c r="Q5" s="23" t="s">
        <v>40</v>
      </c>
      <c r="R5" s="23" t="s">
        <v>388</v>
      </c>
      <c r="S5" s="23" t="s">
        <v>40</v>
      </c>
      <c r="T5" s="23" t="s">
        <v>40</v>
      </c>
    </row>
    <row r="6" spans="1:20" x14ac:dyDescent="0.25">
      <c r="A6" s="23" t="s">
        <v>415</v>
      </c>
      <c r="B6" s="23" t="s">
        <v>378</v>
      </c>
      <c r="C6" s="23" t="s">
        <v>407</v>
      </c>
      <c r="D6" s="23" t="s">
        <v>416</v>
      </c>
      <c r="E6" s="23" t="s">
        <v>417</v>
      </c>
      <c r="F6" s="23" t="s">
        <v>418</v>
      </c>
      <c r="G6" s="23" t="s">
        <v>419</v>
      </c>
      <c r="H6" s="23" t="s">
        <v>420</v>
      </c>
      <c r="I6" s="23" t="s">
        <v>421</v>
      </c>
      <c r="J6" s="23" t="s">
        <v>14</v>
      </c>
      <c r="K6" s="26" t="s">
        <v>396</v>
      </c>
      <c r="L6" s="23" t="s">
        <v>13</v>
      </c>
      <c r="M6" s="28" t="s">
        <v>16</v>
      </c>
      <c r="N6" s="23" t="s">
        <v>422</v>
      </c>
      <c r="O6" s="29" t="s">
        <v>87</v>
      </c>
      <c r="P6" s="23" t="s">
        <v>40</v>
      </c>
      <c r="Q6" s="23" t="s">
        <v>40</v>
      </c>
      <c r="R6" s="23" t="s">
        <v>388</v>
      </c>
      <c r="S6" s="23" t="s">
        <v>40</v>
      </c>
      <c r="T6" s="23" t="s">
        <v>40</v>
      </c>
    </row>
    <row r="7" spans="1:20" x14ac:dyDescent="0.25">
      <c r="A7" s="23" t="s">
        <v>423</v>
      </c>
      <c r="B7" s="23" t="s">
        <v>378</v>
      </c>
      <c r="C7" s="23" t="s">
        <v>407</v>
      </c>
      <c r="D7" s="23" t="s">
        <v>424</v>
      </c>
      <c r="E7" s="23" t="s">
        <v>425</v>
      </c>
      <c r="F7" s="23" t="s">
        <v>40</v>
      </c>
      <c r="G7" s="23" t="s">
        <v>426</v>
      </c>
      <c r="H7" s="23" t="s">
        <v>427</v>
      </c>
      <c r="I7" s="23" t="s">
        <v>428</v>
      </c>
      <c r="J7" s="23" t="s">
        <v>14</v>
      </c>
      <c r="K7" s="24" t="s">
        <v>386</v>
      </c>
      <c r="L7" s="23" t="s">
        <v>405</v>
      </c>
      <c r="M7" s="25" t="s">
        <v>18</v>
      </c>
      <c r="N7" s="23" t="s">
        <v>40</v>
      </c>
      <c r="O7" s="23" t="s">
        <v>387</v>
      </c>
      <c r="P7" s="23" t="s">
        <v>40</v>
      </c>
      <c r="Q7" s="23" t="s">
        <v>40</v>
      </c>
      <c r="R7" s="23" t="s">
        <v>388</v>
      </c>
      <c r="S7" s="23" t="s">
        <v>40</v>
      </c>
      <c r="T7" s="23" t="s">
        <v>40</v>
      </c>
    </row>
    <row r="8" spans="1:20" x14ac:dyDescent="0.25">
      <c r="A8" s="23" t="s">
        <v>429</v>
      </c>
      <c r="B8" s="23" t="s">
        <v>378</v>
      </c>
      <c r="C8" s="23" t="s">
        <v>407</v>
      </c>
      <c r="D8" s="23" t="s">
        <v>430</v>
      </c>
      <c r="E8" s="23" t="s">
        <v>381</v>
      </c>
      <c r="F8" s="23" t="s">
        <v>40</v>
      </c>
      <c r="G8" s="23" t="s">
        <v>431</v>
      </c>
      <c r="H8" s="23" t="s">
        <v>432</v>
      </c>
      <c r="I8" s="23" t="s">
        <v>433</v>
      </c>
      <c r="J8" s="23" t="s">
        <v>434</v>
      </c>
      <c r="K8" s="27" t="s">
        <v>404</v>
      </c>
      <c r="L8" s="23" t="s">
        <v>405</v>
      </c>
      <c r="M8" s="25" t="s">
        <v>18</v>
      </c>
      <c r="N8" s="23" t="s">
        <v>40</v>
      </c>
      <c r="O8" s="23" t="s">
        <v>387</v>
      </c>
      <c r="P8" s="23" t="s">
        <v>40</v>
      </c>
      <c r="Q8" s="23" t="s">
        <v>40</v>
      </c>
      <c r="R8" s="23" t="s">
        <v>388</v>
      </c>
      <c r="S8" s="23" t="s">
        <v>40</v>
      </c>
      <c r="T8" s="23" t="s">
        <v>40</v>
      </c>
    </row>
    <row r="9" spans="1:20" x14ac:dyDescent="0.25">
      <c r="A9" s="23" t="s">
        <v>435</v>
      </c>
      <c r="B9" s="23" t="s">
        <v>378</v>
      </c>
      <c r="C9" s="23" t="s">
        <v>436</v>
      </c>
      <c r="D9" s="23" t="s">
        <v>437</v>
      </c>
      <c r="E9" s="23" t="s">
        <v>381</v>
      </c>
      <c r="F9" s="23" t="s">
        <v>438</v>
      </c>
      <c r="G9" s="23" t="s">
        <v>439</v>
      </c>
      <c r="H9" s="23" t="s">
        <v>440</v>
      </c>
      <c r="I9" s="23" t="s">
        <v>441</v>
      </c>
      <c r="J9" s="23" t="s">
        <v>15</v>
      </c>
      <c r="K9" s="24" t="s">
        <v>386</v>
      </c>
      <c r="L9" s="23" t="s">
        <v>13</v>
      </c>
      <c r="M9" s="25" t="s">
        <v>18</v>
      </c>
      <c r="N9" s="23" t="s">
        <v>40</v>
      </c>
      <c r="O9" s="23" t="s">
        <v>387</v>
      </c>
      <c r="P9" s="23" t="s">
        <v>40</v>
      </c>
      <c r="Q9" s="23" t="s">
        <v>40</v>
      </c>
      <c r="R9" s="23" t="s">
        <v>388</v>
      </c>
      <c r="S9" s="23" t="s">
        <v>40</v>
      </c>
      <c r="T9" s="23" t="s">
        <v>40</v>
      </c>
    </row>
    <row r="10" spans="1:20" x14ac:dyDescent="0.25">
      <c r="A10" s="23" t="s">
        <v>442</v>
      </c>
      <c r="B10" s="23" t="s">
        <v>378</v>
      </c>
      <c r="C10" s="23" t="s">
        <v>436</v>
      </c>
      <c r="D10" s="23" t="s">
        <v>443</v>
      </c>
      <c r="E10" s="23" t="s">
        <v>381</v>
      </c>
      <c r="F10" s="23" t="s">
        <v>444</v>
      </c>
      <c r="G10" s="23" t="s">
        <v>445</v>
      </c>
      <c r="H10" s="23" t="s">
        <v>446</v>
      </c>
      <c r="I10" s="23" t="s">
        <v>447</v>
      </c>
      <c r="J10" s="23" t="s">
        <v>15</v>
      </c>
      <c r="K10" s="24" t="s">
        <v>386</v>
      </c>
      <c r="L10" s="23" t="s">
        <v>13</v>
      </c>
      <c r="M10" s="25" t="s">
        <v>18</v>
      </c>
      <c r="N10" s="23" t="s">
        <v>40</v>
      </c>
      <c r="O10" s="23" t="s">
        <v>387</v>
      </c>
      <c r="P10" s="23" t="s">
        <v>40</v>
      </c>
      <c r="Q10" s="23" t="s">
        <v>40</v>
      </c>
      <c r="R10" s="23" t="s">
        <v>388</v>
      </c>
      <c r="S10" s="23" t="s">
        <v>40</v>
      </c>
      <c r="T10" s="23" t="s">
        <v>40</v>
      </c>
    </row>
    <row r="11" spans="1:20" x14ac:dyDescent="0.25">
      <c r="A11" s="23" t="s">
        <v>448</v>
      </c>
      <c r="B11" s="23" t="s">
        <v>378</v>
      </c>
      <c r="C11" s="23" t="s">
        <v>436</v>
      </c>
      <c r="D11" s="23" t="s">
        <v>449</v>
      </c>
      <c r="E11" s="23" t="s">
        <v>381</v>
      </c>
      <c r="F11" s="23" t="s">
        <v>450</v>
      </c>
      <c r="G11" s="23" t="s">
        <v>451</v>
      </c>
      <c r="H11" s="23" t="s">
        <v>452</v>
      </c>
      <c r="I11" s="23" t="s">
        <v>453</v>
      </c>
      <c r="J11" s="23" t="s">
        <v>15</v>
      </c>
      <c r="K11" s="24" t="s">
        <v>386</v>
      </c>
      <c r="L11" s="23" t="s">
        <v>13</v>
      </c>
      <c r="M11" s="25" t="s">
        <v>18</v>
      </c>
      <c r="N11" s="23" t="s">
        <v>40</v>
      </c>
      <c r="O11" s="23" t="s">
        <v>387</v>
      </c>
      <c r="P11" s="23" t="s">
        <v>40</v>
      </c>
      <c r="Q11" s="23" t="s">
        <v>40</v>
      </c>
      <c r="R11" s="23" t="s">
        <v>388</v>
      </c>
      <c r="S11" s="23" t="s">
        <v>40</v>
      </c>
      <c r="T11" s="23" t="s">
        <v>40</v>
      </c>
    </row>
    <row r="12" spans="1:20" x14ac:dyDescent="0.25">
      <c r="A12" s="23" t="s">
        <v>454</v>
      </c>
      <c r="B12" s="23" t="s">
        <v>378</v>
      </c>
      <c r="C12" s="23" t="s">
        <v>436</v>
      </c>
      <c r="D12" s="23" t="s">
        <v>455</v>
      </c>
      <c r="E12" s="23" t="s">
        <v>456</v>
      </c>
      <c r="F12" s="23" t="s">
        <v>40</v>
      </c>
      <c r="G12" s="23" t="s">
        <v>457</v>
      </c>
      <c r="H12" s="23" t="s">
        <v>458</v>
      </c>
      <c r="I12" s="23" t="s">
        <v>459</v>
      </c>
      <c r="J12" s="23" t="s">
        <v>395</v>
      </c>
      <c r="K12" s="26" t="s">
        <v>396</v>
      </c>
      <c r="L12" s="23" t="s">
        <v>13</v>
      </c>
      <c r="M12" s="25" t="s">
        <v>18</v>
      </c>
      <c r="N12" s="23" t="s">
        <v>40</v>
      </c>
      <c r="O12" s="23" t="s">
        <v>387</v>
      </c>
      <c r="P12" s="23" t="s">
        <v>40</v>
      </c>
      <c r="Q12" s="23" t="s">
        <v>40</v>
      </c>
      <c r="R12" s="23" t="s">
        <v>388</v>
      </c>
      <c r="S12" s="23" t="s">
        <v>40</v>
      </c>
      <c r="T12" s="23" t="s">
        <v>40</v>
      </c>
    </row>
    <row r="13" spans="1:20" x14ac:dyDescent="0.25">
      <c r="A13" s="23" t="s">
        <v>460</v>
      </c>
      <c r="B13" s="23" t="s">
        <v>378</v>
      </c>
      <c r="C13" s="23" t="s">
        <v>461</v>
      </c>
      <c r="D13" s="23" t="s">
        <v>462</v>
      </c>
      <c r="E13" s="23" t="s">
        <v>381</v>
      </c>
      <c r="F13" s="23" t="s">
        <v>40</v>
      </c>
      <c r="G13" s="23" t="s">
        <v>463</v>
      </c>
      <c r="H13" s="23" t="s">
        <v>464</v>
      </c>
      <c r="I13" s="23" t="s">
        <v>465</v>
      </c>
      <c r="J13" s="23" t="s">
        <v>466</v>
      </c>
      <c r="K13" s="24" t="s">
        <v>386</v>
      </c>
      <c r="L13" s="23" t="s">
        <v>13</v>
      </c>
      <c r="M13" s="25" t="s">
        <v>18</v>
      </c>
      <c r="N13" s="23" t="s">
        <v>40</v>
      </c>
      <c r="O13" s="23" t="s">
        <v>387</v>
      </c>
      <c r="P13" s="23" t="s">
        <v>40</v>
      </c>
      <c r="Q13" s="23" t="s">
        <v>40</v>
      </c>
      <c r="R13" s="23" t="s">
        <v>388</v>
      </c>
      <c r="S13" s="23" t="s">
        <v>40</v>
      </c>
      <c r="T13" s="23" t="s">
        <v>40</v>
      </c>
    </row>
    <row r="14" spans="1:20" x14ac:dyDescent="0.25">
      <c r="A14" s="23" t="s">
        <v>467</v>
      </c>
      <c r="B14" s="23" t="s">
        <v>378</v>
      </c>
      <c r="C14" s="23" t="s">
        <v>461</v>
      </c>
      <c r="D14" s="23" t="s">
        <v>468</v>
      </c>
      <c r="E14" s="23" t="s">
        <v>381</v>
      </c>
      <c r="F14" s="23" t="s">
        <v>40</v>
      </c>
      <c r="G14" s="23" t="s">
        <v>469</v>
      </c>
      <c r="H14" s="23" t="s">
        <v>470</v>
      </c>
      <c r="I14" s="23" t="s">
        <v>471</v>
      </c>
      <c r="J14" s="23" t="s">
        <v>466</v>
      </c>
      <c r="K14" s="24" t="s">
        <v>386</v>
      </c>
      <c r="L14" s="23" t="s">
        <v>13</v>
      </c>
      <c r="M14" s="25" t="s">
        <v>18</v>
      </c>
      <c r="N14" s="23" t="s">
        <v>40</v>
      </c>
      <c r="O14" s="23" t="s">
        <v>387</v>
      </c>
      <c r="P14" s="23" t="s">
        <v>40</v>
      </c>
      <c r="Q14" s="23" t="s">
        <v>40</v>
      </c>
      <c r="R14" s="23" t="s">
        <v>388</v>
      </c>
      <c r="S14" s="23" t="s">
        <v>40</v>
      </c>
      <c r="T14" s="23" t="s">
        <v>40</v>
      </c>
    </row>
    <row r="15" spans="1:20" x14ac:dyDescent="0.25">
      <c r="A15" s="23" t="s">
        <v>472</v>
      </c>
      <c r="B15" s="23" t="s">
        <v>378</v>
      </c>
      <c r="C15" s="23" t="s">
        <v>461</v>
      </c>
      <c r="D15" s="23" t="s">
        <v>473</v>
      </c>
      <c r="E15" s="23" t="s">
        <v>381</v>
      </c>
      <c r="F15" s="23" t="s">
        <v>40</v>
      </c>
      <c r="G15" s="23" t="s">
        <v>474</v>
      </c>
      <c r="H15" s="23" t="s">
        <v>475</v>
      </c>
      <c r="I15" s="23" t="s">
        <v>476</v>
      </c>
      <c r="J15" s="23" t="s">
        <v>466</v>
      </c>
      <c r="K15" s="24" t="s">
        <v>386</v>
      </c>
      <c r="L15" s="23" t="s">
        <v>13</v>
      </c>
      <c r="M15" s="25" t="s">
        <v>18</v>
      </c>
      <c r="N15" s="23" t="s">
        <v>40</v>
      </c>
      <c r="O15" s="23" t="s">
        <v>387</v>
      </c>
      <c r="P15" s="23" t="s">
        <v>40</v>
      </c>
      <c r="Q15" s="23" t="s">
        <v>40</v>
      </c>
      <c r="R15" s="23" t="s">
        <v>388</v>
      </c>
      <c r="S15" s="23" t="s">
        <v>40</v>
      </c>
      <c r="T15" s="23" t="s">
        <v>40</v>
      </c>
    </row>
    <row r="16" spans="1:20" x14ac:dyDescent="0.25">
      <c r="A16" s="23" t="s">
        <v>477</v>
      </c>
      <c r="B16" s="23" t="s">
        <v>378</v>
      </c>
      <c r="C16" s="23" t="s">
        <v>461</v>
      </c>
      <c r="D16" s="23" t="s">
        <v>478</v>
      </c>
      <c r="E16" s="23" t="s">
        <v>381</v>
      </c>
      <c r="F16" s="23" t="s">
        <v>40</v>
      </c>
      <c r="G16" s="23" t="s">
        <v>479</v>
      </c>
      <c r="H16" s="23" t="s">
        <v>480</v>
      </c>
      <c r="I16" s="23" t="s">
        <v>481</v>
      </c>
      <c r="J16" s="23" t="s">
        <v>466</v>
      </c>
      <c r="K16" s="27" t="s">
        <v>404</v>
      </c>
      <c r="L16" s="23" t="s">
        <v>405</v>
      </c>
      <c r="M16" s="25" t="s">
        <v>18</v>
      </c>
      <c r="N16" s="23" t="s">
        <v>40</v>
      </c>
      <c r="O16" s="23" t="s">
        <v>387</v>
      </c>
      <c r="P16" s="23" t="s">
        <v>40</v>
      </c>
      <c r="Q16" s="23" t="s">
        <v>40</v>
      </c>
      <c r="R16" s="23" t="s">
        <v>388</v>
      </c>
      <c r="S16" s="23" t="s">
        <v>40</v>
      </c>
      <c r="T16" s="23" t="s">
        <v>40</v>
      </c>
    </row>
    <row r="17" spans="1:20" x14ac:dyDescent="0.25">
      <c r="A17" s="23" t="s">
        <v>482</v>
      </c>
      <c r="B17" s="23" t="s">
        <v>378</v>
      </c>
      <c r="C17" s="23" t="s">
        <v>483</v>
      </c>
      <c r="D17" s="23" t="s">
        <v>484</v>
      </c>
      <c r="E17" s="23" t="s">
        <v>381</v>
      </c>
      <c r="F17" s="23" t="s">
        <v>485</v>
      </c>
      <c r="G17" s="23" t="s">
        <v>486</v>
      </c>
      <c r="H17" s="23" t="s">
        <v>487</v>
      </c>
      <c r="I17" s="23" t="s">
        <v>488</v>
      </c>
      <c r="J17" s="23" t="s">
        <v>489</v>
      </c>
      <c r="K17" s="27" t="s">
        <v>404</v>
      </c>
      <c r="L17" s="23" t="s">
        <v>490</v>
      </c>
      <c r="M17" s="25" t="s">
        <v>18</v>
      </c>
      <c r="N17" s="23" t="s">
        <v>40</v>
      </c>
      <c r="O17" s="23" t="s">
        <v>387</v>
      </c>
      <c r="P17" s="23" t="s">
        <v>40</v>
      </c>
      <c r="Q17" s="23" t="s">
        <v>40</v>
      </c>
      <c r="R17" s="23" t="s">
        <v>388</v>
      </c>
      <c r="S17" s="23" t="s">
        <v>40</v>
      </c>
      <c r="T17" s="23" t="s">
        <v>40</v>
      </c>
    </row>
    <row r="18" spans="1:20" x14ac:dyDescent="0.25">
      <c r="A18" s="23" t="s">
        <v>491</v>
      </c>
      <c r="B18" s="23" t="s">
        <v>378</v>
      </c>
      <c r="C18" s="23" t="s">
        <v>483</v>
      </c>
      <c r="D18" s="23" t="s">
        <v>492</v>
      </c>
      <c r="E18" s="23" t="s">
        <v>381</v>
      </c>
      <c r="F18" s="23" t="s">
        <v>40</v>
      </c>
      <c r="G18" s="23" t="s">
        <v>493</v>
      </c>
      <c r="H18" s="23" t="s">
        <v>494</v>
      </c>
      <c r="I18" s="23" t="s">
        <v>495</v>
      </c>
      <c r="J18" s="23" t="s">
        <v>395</v>
      </c>
      <c r="K18" s="26" t="s">
        <v>396</v>
      </c>
      <c r="L18" s="23" t="s">
        <v>13</v>
      </c>
      <c r="M18" s="25" t="s">
        <v>18</v>
      </c>
      <c r="N18" s="23" t="s">
        <v>40</v>
      </c>
      <c r="O18" s="23" t="s">
        <v>387</v>
      </c>
      <c r="P18" s="23" t="s">
        <v>40</v>
      </c>
      <c r="Q18" s="23" t="s">
        <v>40</v>
      </c>
      <c r="R18" s="23" t="s">
        <v>388</v>
      </c>
      <c r="S18" s="23" t="s">
        <v>40</v>
      </c>
      <c r="T18" s="23" t="s">
        <v>40</v>
      </c>
    </row>
    <row r="19" spans="1:20" x14ac:dyDescent="0.25">
      <c r="A19" s="23" t="s">
        <v>496</v>
      </c>
      <c r="B19" s="23" t="s">
        <v>378</v>
      </c>
      <c r="C19" s="23" t="s">
        <v>483</v>
      </c>
      <c r="D19" s="23" t="s">
        <v>497</v>
      </c>
      <c r="E19" s="23" t="s">
        <v>381</v>
      </c>
      <c r="F19" s="23" t="s">
        <v>40</v>
      </c>
      <c r="G19" s="23" t="s">
        <v>498</v>
      </c>
      <c r="H19" s="23" t="s">
        <v>499</v>
      </c>
      <c r="I19" s="23" t="s">
        <v>500</v>
      </c>
      <c r="J19" s="23" t="s">
        <v>489</v>
      </c>
      <c r="K19" s="27" t="s">
        <v>404</v>
      </c>
      <c r="L19" s="23" t="s">
        <v>405</v>
      </c>
      <c r="M19" s="25" t="s">
        <v>18</v>
      </c>
      <c r="N19" s="23" t="s">
        <v>40</v>
      </c>
      <c r="O19" s="23" t="s">
        <v>387</v>
      </c>
      <c r="P19" s="23" t="s">
        <v>40</v>
      </c>
      <c r="Q19" s="23" t="s">
        <v>40</v>
      </c>
      <c r="R19" s="23" t="s">
        <v>388</v>
      </c>
      <c r="S19" s="23" t="s">
        <v>40</v>
      </c>
      <c r="T19" s="23" t="s">
        <v>40</v>
      </c>
    </row>
    <row r="20" spans="1:20" x14ac:dyDescent="0.25">
      <c r="A20" s="23" t="s">
        <v>501</v>
      </c>
      <c r="B20" s="23" t="s">
        <v>378</v>
      </c>
      <c r="C20" s="23" t="s">
        <v>395</v>
      </c>
      <c r="D20" s="23" t="s">
        <v>502</v>
      </c>
      <c r="E20" s="23" t="s">
        <v>381</v>
      </c>
      <c r="F20" s="23" t="s">
        <v>503</v>
      </c>
      <c r="G20" s="23" t="s">
        <v>504</v>
      </c>
      <c r="H20" s="23" t="s">
        <v>505</v>
      </c>
      <c r="I20" s="23" t="s">
        <v>506</v>
      </c>
      <c r="J20" s="23" t="s">
        <v>395</v>
      </c>
      <c r="K20" s="26" t="s">
        <v>396</v>
      </c>
      <c r="L20" s="23" t="s">
        <v>13</v>
      </c>
      <c r="M20" s="25" t="s">
        <v>18</v>
      </c>
      <c r="N20" s="23" t="s">
        <v>40</v>
      </c>
      <c r="O20" s="23" t="s">
        <v>387</v>
      </c>
      <c r="P20" s="23" t="s">
        <v>40</v>
      </c>
      <c r="Q20" s="23" t="s">
        <v>40</v>
      </c>
      <c r="R20" s="23" t="s">
        <v>388</v>
      </c>
      <c r="S20" s="23" t="s">
        <v>40</v>
      </c>
      <c r="T20" s="23" t="s">
        <v>40</v>
      </c>
    </row>
    <row r="21" spans="1:20" x14ac:dyDescent="0.25">
      <c r="A21" s="23" t="s">
        <v>507</v>
      </c>
      <c r="B21" s="23" t="s">
        <v>378</v>
      </c>
      <c r="C21" s="23" t="s">
        <v>395</v>
      </c>
      <c r="D21" s="23" t="s">
        <v>508</v>
      </c>
      <c r="E21" s="23" t="s">
        <v>381</v>
      </c>
      <c r="F21" s="23" t="s">
        <v>40</v>
      </c>
      <c r="G21" s="23" t="s">
        <v>509</v>
      </c>
      <c r="H21" s="23" t="s">
        <v>510</v>
      </c>
      <c r="I21" s="23" t="s">
        <v>511</v>
      </c>
      <c r="J21" s="23" t="s">
        <v>395</v>
      </c>
      <c r="K21" s="24" t="s">
        <v>386</v>
      </c>
      <c r="L21" s="23" t="s">
        <v>405</v>
      </c>
      <c r="M21" s="25" t="s">
        <v>18</v>
      </c>
      <c r="N21" s="23" t="s">
        <v>40</v>
      </c>
      <c r="O21" s="23" t="s">
        <v>387</v>
      </c>
      <c r="P21" s="23" t="s">
        <v>40</v>
      </c>
      <c r="Q21" s="23" t="s">
        <v>40</v>
      </c>
      <c r="R21" s="23" t="s">
        <v>388</v>
      </c>
      <c r="S21" s="23" t="s">
        <v>512</v>
      </c>
      <c r="T21" s="23" t="s">
        <v>40</v>
      </c>
    </row>
    <row r="22" spans="1:20" x14ac:dyDescent="0.25">
      <c r="A22" s="23" t="s">
        <v>513</v>
      </c>
      <c r="B22" s="23" t="s">
        <v>378</v>
      </c>
      <c r="C22" s="23" t="s">
        <v>395</v>
      </c>
      <c r="D22" s="23" t="s">
        <v>514</v>
      </c>
      <c r="E22" s="23" t="s">
        <v>381</v>
      </c>
      <c r="F22" s="23" t="s">
        <v>40</v>
      </c>
      <c r="G22" s="23" t="s">
        <v>515</v>
      </c>
      <c r="H22" s="23" t="s">
        <v>516</v>
      </c>
      <c r="I22" s="23" t="s">
        <v>517</v>
      </c>
      <c r="J22" s="23" t="s">
        <v>395</v>
      </c>
      <c r="K22" s="26" t="s">
        <v>396</v>
      </c>
      <c r="L22" s="23" t="s">
        <v>13</v>
      </c>
      <c r="M22" s="25" t="s">
        <v>18</v>
      </c>
      <c r="N22" s="23" t="s">
        <v>40</v>
      </c>
      <c r="O22" s="23" t="s">
        <v>387</v>
      </c>
      <c r="P22" s="23" t="s">
        <v>40</v>
      </c>
      <c r="Q22" s="23" t="s">
        <v>40</v>
      </c>
      <c r="R22" s="23" t="s">
        <v>388</v>
      </c>
      <c r="S22" s="23" t="s">
        <v>40</v>
      </c>
      <c r="T22" s="23" t="s">
        <v>40</v>
      </c>
    </row>
    <row r="23" spans="1:20" x14ac:dyDescent="0.25">
      <c r="A23" s="23" t="s">
        <v>518</v>
      </c>
      <c r="B23" s="23" t="s">
        <v>378</v>
      </c>
      <c r="C23" s="23" t="s">
        <v>519</v>
      </c>
      <c r="D23" s="23" t="s">
        <v>520</v>
      </c>
      <c r="E23" s="23" t="s">
        <v>521</v>
      </c>
      <c r="F23" s="23" t="s">
        <v>40</v>
      </c>
      <c r="G23" s="23" t="s">
        <v>522</v>
      </c>
      <c r="H23" s="23" t="s">
        <v>523</v>
      </c>
      <c r="I23" s="23" t="s">
        <v>524</v>
      </c>
      <c r="J23" s="23" t="s">
        <v>525</v>
      </c>
      <c r="K23" s="24" t="s">
        <v>386</v>
      </c>
      <c r="L23" s="23" t="s">
        <v>13</v>
      </c>
      <c r="M23" s="25" t="s">
        <v>18</v>
      </c>
      <c r="N23" s="23" t="s">
        <v>40</v>
      </c>
      <c r="O23" s="23" t="s">
        <v>387</v>
      </c>
      <c r="P23" s="23" t="s">
        <v>40</v>
      </c>
      <c r="Q23" s="23" t="s">
        <v>40</v>
      </c>
      <c r="R23" s="23" t="s">
        <v>388</v>
      </c>
      <c r="S23" s="23" t="s">
        <v>40</v>
      </c>
      <c r="T23" s="23" t="s">
        <v>40</v>
      </c>
    </row>
    <row r="24" spans="1:20" x14ac:dyDescent="0.25">
      <c r="A24" s="23" t="s">
        <v>526</v>
      </c>
      <c r="B24" s="23" t="s">
        <v>378</v>
      </c>
      <c r="C24" s="23" t="s">
        <v>519</v>
      </c>
      <c r="D24" s="23" t="s">
        <v>527</v>
      </c>
      <c r="E24" s="23" t="s">
        <v>528</v>
      </c>
      <c r="F24" s="23" t="s">
        <v>40</v>
      </c>
      <c r="G24" s="23" t="s">
        <v>529</v>
      </c>
      <c r="H24" s="23" t="s">
        <v>530</v>
      </c>
      <c r="I24" s="23" t="s">
        <v>531</v>
      </c>
      <c r="J24" s="23" t="s">
        <v>525</v>
      </c>
      <c r="K24" s="24" t="s">
        <v>386</v>
      </c>
      <c r="L24" s="23" t="s">
        <v>13</v>
      </c>
      <c r="M24" s="25" t="s">
        <v>18</v>
      </c>
      <c r="N24" s="23" t="s">
        <v>40</v>
      </c>
      <c r="O24" s="23" t="s">
        <v>387</v>
      </c>
      <c r="P24" s="23" t="s">
        <v>40</v>
      </c>
      <c r="Q24" s="23" t="s">
        <v>40</v>
      </c>
      <c r="R24" s="23" t="s">
        <v>388</v>
      </c>
      <c r="S24" s="23" t="s">
        <v>40</v>
      </c>
      <c r="T24" s="23" t="s">
        <v>40</v>
      </c>
    </row>
    <row r="25" spans="1:20" x14ac:dyDescent="0.25">
      <c r="A25" s="23" t="s">
        <v>532</v>
      </c>
      <c r="B25" s="23" t="s">
        <v>533</v>
      </c>
      <c r="C25" s="23" t="s">
        <v>534</v>
      </c>
      <c r="D25" s="23" t="s">
        <v>535</v>
      </c>
      <c r="E25" s="23" t="s">
        <v>381</v>
      </c>
      <c r="F25" s="23" t="s">
        <v>40</v>
      </c>
      <c r="G25" s="23" t="s">
        <v>536</v>
      </c>
      <c r="H25" s="23" t="s">
        <v>537</v>
      </c>
      <c r="I25" s="23" t="s">
        <v>538</v>
      </c>
      <c r="J25" s="23" t="s">
        <v>385</v>
      </c>
      <c r="K25" s="24" t="s">
        <v>386</v>
      </c>
      <c r="L25" s="23" t="s">
        <v>13</v>
      </c>
      <c r="M25" s="25" t="s">
        <v>18</v>
      </c>
      <c r="N25" s="23" t="s">
        <v>40</v>
      </c>
      <c r="O25" s="23" t="s">
        <v>387</v>
      </c>
      <c r="P25" s="23" t="s">
        <v>40</v>
      </c>
      <c r="Q25" s="23" t="s">
        <v>40</v>
      </c>
      <c r="R25" s="23" t="s">
        <v>388</v>
      </c>
      <c r="S25" s="23" t="s">
        <v>40</v>
      </c>
      <c r="T25" s="23" t="s">
        <v>40</v>
      </c>
    </row>
    <row r="26" spans="1:20" x14ac:dyDescent="0.25">
      <c r="A26" s="23" t="s">
        <v>539</v>
      </c>
      <c r="B26" s="23" t="s">
        <v>533</v>
      </c>
      <c r="C26" s="23" t="s">
        <v>534</v>
      </c>
      <c r="D26" s="23" t="s">
        <v>540</v>
      </c>
      <c r="E26" s="23" t="s">
        <v>541</v>
      </c>
      <c r="F26" s="23" t="s">
        <v>542</v>
      </c>
      <c r="G26" s="23" t="s">
        <v>543</v>
      </c>
      <c r="H26" s="23" t="s">
        <v>544</v>
      </c>
      <c r="I26" s="23" t="s">
        <v>545</v>
      </c>
      <c r="J26" s="23" t="s">
        <v>14</v>
      </c>
      <c r="K26" s="26" t="s">
        <v>396</v>
      </c>
      <c r="L26" s="23" t="s">
        <v>13</v>
      </c>
      <c r="M26" s="25" t="s">
        <v>18</v>
      </c>
      <c r="N26" s="23" t="s">
        <v>40</v>
      </c>
      <c r="O26" s="23" t="s">
        <v>387</v>
      </c>
      <c r="P26" s="23" t="s">
        <v>40</v>
      </c>
      <c r="Q26" s="23" t="s">
        <v>40</v>
      </c>
      <c r="R26" s="23" t="s">
        <v>388</v>
      </c>
      <c r="S26" s="23" t="s">
        <v>40</v>
      </c>
      <c r="T26" s="23" t="s">
        <v>40</v>
      </c>
    </row>
    <row r="27" spans="1:20" x14ac:dyDescent="0.25">
      <c r="A27" s="23" t="s">
        <v>546</v>
      </c>
      <c r="B27" s="23" t="s">
        <v>533</v>
      </c>
      <c r="C27" s="23" t="s">
        <v>534</v>
      </c>
      <c r="D27" s="23" t="s">
        <v>547</v>
      </c>
      <c r="E27" s="23" t="s">
        <v>381</v>
      </c>
      <c r="F27" s="23" t="s">
        <v>548</v>
      </c>
      <c r="G27" s="23" t="s">
        <v>549</v>
      </c>
      <c r="H27" s="23" t="s">
        <v>550</v>
      </c>
      <c r="I27" s="23" t="s">
        <v>551</v>
      </c>
      <c r="J27" s="23" t="s">
        <v>395</v>
      </c>
      <c r="K27" s="24" t="s">
        <v>386</v>
      </c>
      <c r="L27" s="23" t="s">
        <v>405</v>
      </c>
      <c r="M27" s="25" t="s">
        <v>18</v>
      </c>
      <c r="N27" s="23" t="s">
        <v>40</v>
      </c>
      <c r="O27" s="23" t="s">
        <v>387</v>
      </c>
      <c r="P27" s="23" t="s">
        <v>40</v>
      </c>
      <c r="Q27" s="23" t="s">
        <v>40</v>
      </c>
      <c r="R27" s="23" t="s">
        <v>388</v>
      </c>
      <c r="S27" s="23" t="s">
        <v>40</v>
      </c>
      <c r="T27" s="23" t="s">
        <v>40</v>
      </c>
    </row>
    <row r="28" spans="1:20" x14ac:dyDescent="0.25">
      <c r="A28" s="23" t="s">
        <v>552</v>
      </c>
      <c r="B28" s="23" t="s">
        <v>533</v>
      </c>
      <c r="C28" s="23" t="s">
        <v>534</v>
      </c>
      <c r="D28" s="23" t="s">
        <v>553</v>
      </c>
      <c r="E28" s="23" t="s">
        <v>381</v>
      </c>
      <c r="F28" s="23" t="s">
        <v>40</v>
      </c>
      <c r="G28" s="23" t="s">
        <v>554</v>
      </c>
      <c r="H28" s="23" t="s">
        <v>555</v>
      </c>
      <c r="I28" s="23" t="s">
        <v>556</v>
      </c>
      <c r="J28" s="23" t="s">
        <v>466</v>
      </c>
      <c r="K28" s="27" t="s">
        <v>404</v>
      </c>
      <c r="L28" s="23" t="s">
        <v>405</v>
      </c>
      <c r="M28" s="25" t="s">
        <v>18</v>
      </c>
      <c r="N28" s="23" t="s">
        <v>40</v>
      </c>
      <c r="O28" s="23" t="s">
        <v>387</v>
      </c>
      <c r="P28" s="23" t="s">
        <v>40</v>
      </c>
      <c r="Q28" s="23" t="s">
        <v>40</v>
      </c>
      <c r="R28" s="23" t="s">
        <v>388</v>
      </c>
      <c r="S28" s="23" t="s">
        <v>40</v>
      </c>
      <c r="T28" s="23" t="s">
        <v>40</v>
      </c>
    </row>
    <row r="29" spans="1:20" x14ac:dyDescent="0.25">
      <c r="A29" s="23" t="s">
        <v>557</v>
      </c>
      <c r="B29" s="23" t="s">
        <v>533</v>
      </c>
      <c r="C29" s="23" t="s">
        <v>534</v>
      </c>
      <c r="D29" s="23" t="s">
        <v>558</v>
      </c>
      <c r="E29" s="23" t="s">
        <v>559</v>
      </c>
      <c r="F29" s="23" t="s">
        <v>40</v>
      </c>
      <c r="G29" s="23" t="s">
        <v>560</v>
      </c>
      <c r="H29" s="23" t="s">
        <v>561</v>
      </c>
      <c r="I29" s="23" t="s">
        <v>562</v>
      </c>
      <c r="J29" s="23" t="s">
        <v>563</v>
      </c>
      <c r="K29" s="26" t="s">
        <v>396</v>
      </c>
      <c r="L29" s="23" t="s">
        <v>13</v>
      </c>
      <c r="M29" s="30" t="s">
        <v>19</v>
      </c>
      <c r="N29" s="23" t="s">
        <v>40</v>
      </c>
      <c r="O29" s="23" t="s">
        <v>387</v>
      </c>
      <c r="P29" s="23" t="s">
        <v>40</v>
      </c>
      <c r="Q29" s="23" t="s">
        <v>40</v>
      </c>
      <c r="R29" s="23" t="s">
        <v>388</v>
      </c>
      <c r="S29" s="23" t="s">
        <v>564</v>
      </c>
      <c r="T29" s="23" t="s">
        <v>40</v>
      </c>
    </row>
    <row r="30" spans="1:20" x14ac:dyDescent="0.25">
      <c r="A30" s="23" t="s">
        <v>565</v>
      </c>
      <c r="B30" s="23" t="s">
        <v>533</v>
      </c>
      <c r="C30" s="23" t="s">
        <v>534</v>
      </c>
      <c r="D30" s="23" t="s">
        <v>566</v>
      </c>
      <c r="E30" s="23" t="s">
        <v>567</v>
      </c>
      <c r="F30" s="23" t="s">
        <v>40</v>
      </c>
      <c r="G30" s="23" t="s">
        <v>568</v>
      </c>
      <c r="H30" s="23" t="s">
        <v>569</v>
      </c>
      <c r="I30" s="23" t="s">
        <v>570</v>
      </c>
      <c r="J30" s="23" t="s">
        <v>15</v>
      </c>
      <c r="K30" s="27" t="s">
        <v>404</v>
      </c>
      <c r="L30" s="23" t="s">
        <v>405</v>
      </c>
      <c r="M30" s="30" t="s">
        <v>19</v>
      </c>
      <c r="N30" s="23" t="s">
        <v>40</v>
      </c>
      <c r="O30" s="23" t="s">
        <v>387</v>
      </c>
      <c r="P30" s="23" t="s">
        <v>40</v>
      </c>
      <c r="Q30" s="23" t="s">
        <v>40</v>
      </c>
      <c r="R30" s="23" t="s">
        <v>388</v>
      </c>
      <c r="S30" s="23" t="s">
        <v>571</v>
      </c>
      <c r="T30" s="23" t="s">
        <v>40</v>
      </c>
    </row>
    <row r="31" spans="1:20" x14ac:dyDescent="0.25">
      <c r="A31" s="23" t="s">
        <v>572</v>
      </c>
      <c r="B31" s="23" t="s">
        <v>573</v>
      </c>
      <c r="C31" s="23" t="s">
        <v>574</v>
      </c>
      <c r="D31" s="23" t="s">
        <v>575</v>
      </c>
      <c r="E31" s="23" t="s">
        <v>381</v>
      </c>
      <c r="F31" s="23" t="s">
        <v>40</v>
      </c>
      <c r="G31" s="23" t="s">
        <v>576</v>
      </c>
      <c r="H31" s="23" t="s">
        <v>577</v>
      </c>
      <c r="I31" s="23" t="s">
        <v>578</v>
      </c>
      <c r="J31" s="23" t="s">
        <v>385</v>
      </c>
      <c r="K31" s="27" t="s">
        <v>404</v>
      </c>
      <c r="L31" s="23" t="s">
        <v>405</v>
      </c>
      <c r="M31" s="25" t="s">
        <v>18</v>
      </c>
      <c r="N31" s="23" t="s">
        <v>40</v>
      </c>
      <c r="O31" s="23" t="s">
        <v>387</v>
      </c>
      <c r="P31" s="23" t="s">
        <v>40</v>
      </c>
      <c r="Q31" s="23" t="s">
        <v>40</v>
      </c>
      <c r="R31" s="23" t="s">
        <v>388</v>
      </c>
      <c r="S31" s="23" t="s">
        <v>579</v>
      </c>
      <c r="T31" s="23" t="s">
        <v>40</v>
      </c>
    </row>
    <row r="32" spans="1:20" x14ac:dyDescent="0.25">
      <c r="A32" s="23" t="s">
        <v>580</v>
      </c>
      <c r="B32" s="23" t="s">
        <v>573</v>
      </c>
      <c r="C32" s="23" t="s">
        <v>574</v>
      </c>
      <c r="D32" s="23" t="s">
        <v>581</v>
      </c>
      <c r="E32" s="23" t="s">
        <v>381</v>
      </c>
      <c r="F32" s="23" t="s">
        <v>40</v>
      </c>
      <c r="G32" s="23" t="s">
        <v>582</v>
      </c>
      <c r="H32" s="23" t="s">
        <v>583</v>
      </c>
      <c r="I32" s="23" t="s">
        <v>584</v>
      </c>
      <c r="J32" s="23" t="s">
        <v>466</v>
      </c>
      <c r="K32" s="27" t="s">
        <v>404</v>
      </c>
      <c r="L32" s="23" t="s">
        <v>490</v>
      </c>
      <c r="M32" s="25" t="s">
        <v>18</v>
      </c>
      <c r="N32" s="23" t="s">
        <v>40</v>
      </c>
      <c r="O32" s="23" t="s">
        <v>387</v>
      </c>
      <c r="P32" s="23" t="s">
        <v>40</v>
      </c>
      <c r="Q32" s="23" t="s">
        <v>40</v>
      </c>
      <c r="R32" s="23" t="s">
        <v>388</v>
      </c>
      <c r="S32" s="23" t="s">
        <v>40</v>
      </c>
      <c r="T32" s="23" t="s">
        <v>40</v>
      </c>
    </row>
    <row r="33" spans="1:20" x14ac:dyDescent="0.25">
      <c r="A33" s="23" t="s">
        <v>585</v>
      </c>
      <c r="B33" s="23" t="s">
        <v>586</v>
      </c>
      <c r="C33" s="23" t="s">
        <v>587</v>
      </c>
      <c r="D33" s="23" t="s">
        <v>588</v>
      </c>
      <c r="E33" s="23" t="s">
        <v>589</v>
      </c>
      <c r="F33" s="23" t="s">
        <v>40</v>
      </c>
      <c r="G33" s="23" t="s">
        <v>590</v>
      </c>
      <c r="H33" s="23" t="s">
        <v>591</v>
      </c>
      <c r="I33" s="23" t="s">
        <v>592</v>
      </c>
      <c r="J33" s="23" t="s">
        <v>14</v>
      </c>
      <c r="K33" s="26" t="s">
        <v>396</v>
      </c>
      <c r="L33" s="23" t="s">
        <v>13</v>
      </c>
      <c r="M33" s="25" t="s">
        <v>18</v>
      </c>
      <c r="N33" s="23" t="s">
        <v>40</v>
      </c>
      <c r="O33" s="23" t="s">
        <v>387</v>
      </c>
      <c r="P33" s="23" t="s">
        <v>40</v>
      </c>
      <c r="Q33" s="23" t="s">
        <v>40</v>
      </c>
      <c r="R33" s="23" t="s">
        <v>40</v>
      </c>
      <c r="S33" s="23" t="s">
        <v>40</v>
      </c>
      <c r="T33" s="23" t="s">
        <v>40</v>
      </c>
    </row>
    <row r="34" spans="1:20" x14ac:dyDescent="0.25">
      <c r="A34" s="23" t="s">
        <v>593</v>
      </c>
      <c r="B34" s="23" t="s">
        <v>586</v>
      </c>
      <c r="C34" s="23" t="s">
        <v>587</v>
      </c>
      <c r="D34" s="23" t="s">
        <v>594</v>
      </c>
      <c r="E34" s="23" t="s">
        <v>589</v>
      </c>
      <c r="F34" s="23" t="s">
        <v>40</v>
      </c>
      <c r="G34" s="23" t="s">
        <v>595</v>
      </c>
      <c r="H34" s="23" t="s">
        <v>596</v>
      </c>
      <c r="I34" s="23" t="s">
        <v>597</v>
      </c>
      <c r="J34" s="23" t="s">
        <v>395</v>
      </c>
      <c r="K34" s="26" t="s">
        <v>396</v>
      </c>
      <c r="L34" s="23" t="s">
        <v>13</v>
      </c>
      <c r="M34" s="25" t="s">
        <v>18</v>
      </c>
      <c r="N34" s="23" t="s">
        <v>40</v>
      </c>
      <c r="O34" s="23" t="s">
        <v>387</v>
      </c>
      <c r="P34" s="23" t="s">
        <v>40</v>
      </c>
      <c r="Q34" s="23" t="s">
        <v>40</v>
      </c>
      <c r="R34" s="23" t="s">
        <v>40</v>
      </c>
      <c r="S34" s="23" t="s">
        <v>40</v>
      </c>
      <c r="T34" s="23" t="s">
        <v>40</v>
      </c>
    </row>
    <row r="35" spans="1:20" x14ac:dyDescent="0.25">
      <c r="A35" s="23" t="s">
        <v>598</v>
      </c>
      <c r="B35" s="23" t="s">
        <v>586</v>
      </c>
      <c r="C35" s="23" t="s">
        <v>587</v>
      </c>
      <c r="D35" s="23" t="s">
        <v>599</v>
      </c>
      <c r="E35" s="23" t="s">
        <v>589</v>
      </c>
      <c r="F35" s="23" t="s">
        <v>40</v>
      </c>
      <c r="G35" s="23" t="s">
        <v>600</v>
      </c>
      <c r="H35" s="23" t="s">
        <v>601</v>
      </c>
      <c r="I35" s="23" t="s">
        <v>602</v>
      </c>
      <c r="J35" s="23" t="s">
        <v>395</v>
      </c>
      <c r="K35" s="26" t="s">
        <v>396</v>
      </c>
      <c r="L35" s="23" t="s">
        <v>13</v>
      </c>
      <c r="M35" s="25" t="s">
        <v>18</v>
      </c>
      <c r="N35" s="23" t="s">
        <v>40</v>
      </c>
      <c r="O35" s="23" t="s">
        <v>387</v>
      </c>
      <c r="P35" s="23" t="s">
        <v>40</v>
      </c>
      <c r="Q35" s="23" t="s">
        <v>40</v>
      </c>
      <c r="R35" s="23" t="s">
        <v>40</v>
      </c>
      <c r="S35" s="23" t="s">
        <v>40</v>
      </c>
      <c r="T35" s="23" t="s">
        <v>40</v>
      </c>
    </row>
    <row r="36" spans="1:20" x14ac:dyDescent="0.25">
      <c r="A36" s="23" t="s">
        <v>603</v>
      </c>
      <c r="B36" s="23" t="s">
        <v>586</v>
      </c>
      <c r="C36" s="23" t="s">
        <v>587</v>
      </c>
      <c r="D36" s="23" t="s">
        <v>604</v>
      </c>
      <c r="E36" s="23" t="s">
        <v>605</v>
      </c>
      <c r="F36" s="23" t="s">
        <v>40</v>
      </c>
      <c r="G36" s="23" t="s">
        <v>606</v>
      </c>
      <c r="H36" s="23" t="s">
        <v>607</v>
      </c>
      <c r="I36" s="23" t="s">
        <v>608</v>
      </c>
      <c r="J36" s="23" t="s">
        <v>395</v>
      </c>
      <c r="K36" s="24" t="s">
        <v>386</v>
      </c>
      <c r="L36" s="23" t="s">
        <v>405</v>
      </c>
      <c r="M36" s="25" t="s">
        <v>18</v>
      </c>
      <c r="N36" s="23" t="s">
        <v>40</v>
      </c>
      <c r="O36" s="23" t="s">
        <v>387</v>
      </c>
      <c r="P36" s="23" t="s">
        <v>40</v>
      </c>
      <c r="Q36" s="23" t="s">
        <v>40</v>
      </c>
      <c r="R36" s="23" t="s">
        <v>40</v>
      </c>
      <c r="S36" s="23" t="s">
        <v>40</v>
      </c>
      <c r="T36" s="23" t="s">
        <v>40</v>
      </c>
    </row>
    <row r="37" spans="1:20" x14ac:dyDescent="0.25">
      <c r="A37" s="23" t="s">
        <v>609</v>
      </c>
      <c r="B37" s="23" t="s">
        <v>586</v>
      </c>
      <c r="C37" s="23" t="s">
        <v>610</v>
      </c>
      <c r="D37" s="23" t="s">
        <v>611</v>
      </c>
      <c r="E37" s="23" t="s">
        <v>589</v>
      </c>
      <c r="F37" s="23" t="s">
        <v>40</v>
      </c>
      <c r="G37" s="23" t="s">
        <v>612</v>
      </c>
      <c r="H37" s="23" t="s">
        <v>613</v>
      </c>
      <c r="I37" s="23" t="s">
        <v>614</v>
      </c>
      <c r="J37" s="23" t="s">
        <v>14</v>
      </c>
      <c r="K37" s="26" t="s">
        <v>396</v>
      </c>
      <c r="L37" s="23" t="s">
        <v>13</v>
      </c>
      <c r="M37" s="25" t="s">
        <v>18</v>
      </c>
      <c r="N37" s="23" t="s">
        <v>40</v>
      </c>
      <c r="O37" s="23" t="s">
        <v>387</v>
      </c>
      <c r="P37" s="23" t="s">
        <v>40</v>
      </c>
      <c r="Q37" s="23" t="s">
        <v>40</v>
      </c>
      <c r="R37" s="23" t="s">
        <v>40</v>
      </c>
      <c r="S37" s="23" t="s">
        <v>40</v>
      </c>
      <c r="T37" s="23" t="s">
        <v>40</v>
      </c>
    </row>
    <row r="38" spans="1:20" x14ac:dyDescent="0.25">
      <c r="A38" s="23" t="s">
        <v>615</v>
      </c>
      <c r="B38" s="23" t="s">
        <v>586</v>
      </c>
      <c r="C38" s="23" t="s">
        <v>610</v>
      </c>
      <c r="D38" s="23" t="s">
        <v>616</v>
      </c>
      <c r="E38" s="23" t="s">
        <v>617</v>
      </c>
      <c r="F38" s="23" t="s">
        <v>40</v>
      </c>
      <c r="G38" s="23" t="s">
        <v>618</v>
      </c>
      <c r="H38" s="23" t="s">
        <v>619</v>
      </c>
      <c r="I38" s="23" t="s">
        <v>620</v>
      </c>
      <c r="J38" s="23" t="s">
        <v>14</v>
      </c>
      <c r="K38" s="26" t="s">
        <v>396</v>
      </c>
      <c r="L38" s="23" t="s">
        <v>13</v>
      </c>
      <c r="M38" s="28" t="s">
        <v>16</v>
      </c>
      <c r="N38" s="23" t="s">
        <v>422</v>
      </c>
      <c r="O38" s="29" t="s">
        <v>87</v>
      </c>
      <c r="P38" s="23" t="s">
        <v>40</v>
      </c>
      <c r="Q38" s="23" t="s">
        <v>40</v>
      </c>
      <c r="R38" s="23" t="s">
        <v>40</v>
      </c>
      <c r="S38" s="23" t="s">
        <v>40</v>
      </c>
      <c r="T38" s="23" t="s">
        <v>40</v>
      </c>
    </row>
    <row r="39" spans="1:20" x14ac:dyDescent="0.25">
      <c r="A39" s="23" t="s">
        <v>621</v>
      </c>
      <c r="B39" s="23" t="s">
        <v>586</v>
      </c>
      <c r="C39" s="23" t="s">
        <v>622</v>
      </c>
      <c r="D39" s="23" t="s">
        <v>623</v>
      </c>
      <c r="E39" s="23" t="s">
        <v>589</v>
      </c>
      <c r="F39" s="23" t="s">
        <v>40</v>
      </c>
      <c r="G39" s="23" t="s">
        <v>624</v>
      </c>
      <c r="H39" s="23" t="s">
        <v>625</v>
      </c>
      <c r="I39" s="23" t="s">
        <v>626</v>
      </c>
      <c r="J39" s="23" t="s">
        <v>395</v>
      </c>
      <c r="K39" s="26" t="s">
        <v>396</v>
      </c>
      <c r="L39" s="23" t="s">
        <v>13</v>
      </c>
      <c r="M39" s="25" t="s">
        <v>18</v>
      </c>
      <c r="N39" s="23" t="s">
        <v>40</v>
      </c>
      <c r="O39" s="23" t="s">
        <v>387</v>
      </c>
      <c r="P39" s="23" t="s">
        <v>40</v>
      </c>
      <c r="Q39" s="23" t="s">
        <v>40</v>
      </c>
      <c r="R39" s="23" t="s">
        <v>40</v>
      </c>
      <c r="S39" s="23" t="s">
        <v>40</v>
      </c>
      <c r="T39" s="23" t="s">
        <v>627</v>
      </c>
    </row>
    <row r="40" spans="1:20" x14ac:dyDescent="0.25">
      <c r="A40" s="23" t="s">
        <v>628</v>
      </c>
      <c r="B40" s="23" t="s">
        <v>586</v>
      </c>
      <c r="C40" s="23" t="s">
        <v>622</v>
      </c>
      <c r="D40" s="23" t="s">
        <v>629</v>
      </c>
      <c r="E40" s="23" t="s">
        <v>589</v>
      </c>
      <c r="F40" s="23" t="s">
        <v>40</v>
      </c>
      <c r="G40" s="23" t="s">
        <v>630</v>
      </c>
      <c r="H40" s="23" t="s">
        <v>631</v>
      </c>
      <c r="I40" s="23" t="s">
        <v>632</v>
      </c>
      <c r="J40" s="23" t="s">
        <v>14</v>
      </c>
      <c r="K40" s="24" t="s">
        <v>386</v>
      </c>
      <c r="L40" s="23" t="s">
        <v>405</v>
      </c>
      <c r="M40" s="25" t="s">
        <v>18</v>
      </c>
      <c r="N40" s="23" t="s">
        <v>40</v>
      </c>
      <c r="O40" s="23" t="s">
        <v>387</v>
      </c>
      <c r="P40" s="23" t="s">
        <v>40</v>
      </c>
      <c r="Q40" s="23" t="s">
        <v>40</v>
      </c>
      <c r="R40" s="23" t="s">
        <v>40</v>
      </c>
      <c r="S40" s="23" t="s">
        <v>40</v>
      </c>
      <c r="T40" s="23" t="s">
        <v>627</v>
      </c>
    </row>
    <row r="41" spans="1:20" x14ac:dyDescent="0.25">
      <c r="A41" s="23" t="s">
        <v>633</v>
      </c>
      <c r="B41" s="23" t="s">
        <v>586</v>
      </c>
      <c r="C41" s="23" t="s">
        <v>622</v>
      </c>
      <c r="D41" s="23" t="s">
        <v>634</v>
      </c>
      <c r="E41" s="23" t="s">
        <v>589</v>
      </c>
      <c r="F41" s="23" t="s">
        <v>40</v>
      </c>
      <c r="G41" s="23" t="s">
        <v>635</v>
      </c>
      <c r="H41" s="23" t="s">
        <v>636</v>
      </c>
      <c r="I41" s="23" t="s">
        <v>637</v>
      </c>
      <c r="J41" s="23" t="s">
        <v>15</v>
      </c>
      <c r="K41" s="27" t="s">
        <v>404</v>
      </c>
      <c r="L41" s="23" t="s">
        <v>405</v>
      </c>
      <c r="M41" s="25" t="s">
        <v>18</v>
      </c>
      <c r="N41" s="23" t="s">
        <v>40</v>
      </c>
      <c r="O41" s="23" t="s">
        <v>387</v>
      </c>
      <c r="P41" s="23" t="s">
        <v>40</v>
      </c>
      <c r="Q41" s="23" t="s">
        <v>40</v>
      </c>
      <c r="R41" s="23" t="s">
        <v>40</v>
      </c>
      <c r="S41" s="23" t="s">
        <v>40</v>
      </c>
      <c r="T41" s="23" t="s">
        <v>40</v>
      </c>
    </row>
    <row r="42" spans="1:20" x14ac:dyDescent="0.25">
      <c r="A42" s="23" t="s">
        <v>638</v>
      </c>
      <c r="B42" s="23" t="s">
        <v>586</v>
      </c>
      <c r="C42" s="23" t="s">
        <v>610</v>
      </c>
      <c r="D42" s="23" t="s">
        <v>639</v>
      </c>
      <c r="E42" s="23" t="s">
        <v>589</v>
      </c>
      <c r="F42" s="23" t="s">
        <v>40</v>
      </c>
      <c r="G42" s="23" t="s">
        <v>640</v>
      </c>
      <c r="H42" s="23" t="s">
        <v>641</v>
      </c>
      <c r="I42" s="23" t="s">
        <v>642</v>
      </c>
      <c r="J42" s="23" t="s">
        <v>395</v>
      </c>
      <c r="K42" s="26" t="s">
        <v>396</v>
      </c>
      <c r="L42" s="23" t="s">
        <v>13</v>
      </c>
      <c r="M42" s="25" t="s">
        <v>18</v>
      </c>
      <c r="N42" s="23" t="s">
        <v>40</v>
      </c>
      <c r="O42" s="23" t="s">
        <v>387</v>
      </c>
      <c r="P42" s="23" t="s">
        <v>40</v>
      </c>
      <c r="Q42" s="23" t="s">
        <v>40</v>
      </c>
      <c r="R42" s="23" t="s">
        <v>40</v>
      </c>
      <c r="S42" s="23" t="s">
        <v>40</v>
      </c>
      <c r="T42" s="23" t="s">
        <v>40</v>
      </c>
    </row>
    <row r="43" spans="1:20" x14ac:dyDescent="0.25">
      <c r="A43" s="23" t="s">
        <v>643</v>
      </c>
      <c r="B43" s="23" t="s">
        <v>644</v>
      </c>
      <c r="C43" s="23" t="s">
        <v>645</v>
      </c>
      <c r="D43" s="23" t="s">
        <v>646</v>
      </c>
      <c r="E43" s="23" t="s">
        <v>647</v>
      </c>
      <c r="F43" s="23" t="s">
        <v>648</v>
      </c>
      <c r="G43" s="23" t="s">
        <v>649</v>
      </c>
      <c r="H43" s="23" t="s">
        <v>650</v>
      </c>
      <c r="I43" s="23" t="s">
        <v>651</v>
      </c>
      <c r="J43" s="23" t="s">
        <v>14</v>
      </c>
      <c r="K43" s="26" t="s">
        <v>396</v>
      </c>
      <c r="L43" s="23" t="s">
        <v>13</v>
      </c>
      <c r="M43" s="25" t="s">
        <v>18</v>
      </c>
      <c r="N43" s="23" t="s">
        <v>40</v>
      </c>
      <c r="O43" s="23" t="s">
        <v>387</v>
      </c>
      <c r="P43" s="23" t="s">
        <v>40</v>
      </c>
      <c r="Q43" s="23" t="s">
        <v>40</v>
      </c>
      <c r="R43" s="23" t="s">
        <v>652</v>
      </c>
      <c r="S43" s="23" t="s">
        <v>40</v>
      </c>
      <c r="T43" s="23" t="s">
        <v>40</v>
      </c>
    </row>
    <row r="44" spans="1:20" x14ac:dyDescent="0.25">
      <c r="A44" s="23" t="s">
        <v>653</v>
      </c>
      <c r="B44" s="23" t="s">
        <v>644</v>
      </c>
      <c r="C44" s="23" t="s">
        <v>645</v>
      </c>
      <c r="D44" s="23" t="s">
        <v>654</v>
      </c>
      <c r="E44" s="23" t="s">
        <v>647</v>
      </c>
      <c r="F44" s="23" t="s">
        <v>40</v>
      </c>
      <c r="G44" s="23" t="s">
        <v>655</v>
      </c>
      <c r="H44" s="23" t="s">
        <v>656</v>
      </c>
      <c r="I44" s="23" t="s">
        <v>657</v>
      </c>
      <c r="J44" s="23" t="s">
        <v>15</v>
      </c>
      <c r="K44" s="24" t="s">
        <v>386</v>
      </c>
      <c r="L44" s="23" t="s">
        <v>13</v>
      </c>
      <c r="M44" s="25" t="s">
        <v>18</v>
      </c>
      <c r="N44" s="23" t="s">
        <v>40</v>
      </c>
      <c r="O44" s="23" t="s">
        <v>387</v>
      </c>
      <c r="P44" s="23" t="s">
        <v>40</v>
      </c>
      <c r="Q44" s="23" t="s">
        <v>40</v>
      </c>
      <c r="R44" s="23" t="s">
        <v>652</v>
      </c>
      <c r="S44" s="23" t="s">
        <v>40</v>
      </c>
      <c r="T44" s="23" t="s">
        <v>40</v>
      </c>
    </row>
    <row r="45" spans="1:20" x14ac:dyDescent="0.25">
      <c r="A45" s="23" t="s">
        <v>658</v>
      </c>
      <c r="B45" s="23" t="s">
        <v>644</v>
      </c>
      <c r="C45" s="23" t="s">
        <v>645</v>
      </c>
      <c r="D45" s="23" t="s">
        <v>659</v>
      </c>
      <c r="E45" s="23" t="s">
        <v>647</v>
      </c>
      <c r="F45" s="23" t="s">
        <v>40</v>
      </c>
      <c r="G45" s="23" t="s">
        <v>660</v>
      </c>
      <c r="H45" s="23" t="s">
        <v>661</v>
      </c>
      <c r="I45" s="23" t="s">
        <v>662</v>
      </c>
      <c r="J45" s="23" t="s">
        <v>466</v>
      </c>
      <c r="K45" s="27" t="s">
        <v>404</v>
      </c>
      <c r="L45" s="23" t="s">
        <v>405</v>
      </c>
      <c r="M45" s="25" t="s">
        <v>18</v>
      </c>
      <c r="N45" s="23" t="s">
        <v>40</v>
      </c>
      <c r="O45" s="23" t="s">
        <v>387</v>
      </c>
      <c r="P45" s="23" t="s">
        <v>40</v>
      </c>
      <c r="Q45" s="23" t="s">
        <v>40</v>
      </c>
      <c r="R45" s="23" t="s">
        <v>652</v>
      </c>
      <c r="S45" s="23" t="s">
        <v>40</v>
      </c>
      <c r="T45" s="23" t="s">
        <v>40</v>
      </c>
    </row>
    <row r="46" spans="1:20" x14ac:dyDescent="0.25">
      <c r="A46" s="23" t="s">
        <v>663</v>
      </c>
      <c r="B46" s="23" t="s">
        <v>644</v>
      </c>
      <c r="C46" s="23" t="s">
        <v>664</v>
      </c>
      <c r="D46" s="23" t="s">
        <v>665</v>
      </c>
      <c r="E46" s="23" t="s">
        <v>617</v>
      </c>
      <c r="F46" s="23" t="s">
        <v>40</v>
      </c>
      <c r="G46" s="23" t="s">
        <v>666</v>
      </c>
      <c r="H46" s="23" t="s">
        <v>667</v>
      </c>
      <c r="I46" s="23" t="s">
        <v>668</v>
      </c>
      <c r="J46" s="23" t="s">
        <v>14</v>
      </c>
      <c r="K46" s="24" t="s">
        <v>386</v>
      </c>
      <c r="L46" s="23" t="s">
        <v>405</v>
      </c>
      <c r="M46" s="25" t="s">
        <v>18</v>
      </c>
      <c r="N46" s="23" t="s">
        <v>40</v>
      </c>
      <c r="O46" s="23" t="s">
        <v>387</v>
      </c>
      <c r="P46" s="23" t="s">
        <v>40</v>
      </c>
      <c r="Q46" s="23" t="s">
        <v>40</v>
      </c>
      <c r="R46" s="23" t="s">
        <v>652</v>
      </c>
      <c r="S46" s="23" t="s">
        <v>40</v>
      </c>
      <c r="T46" s="23" t="s">
        <v>40</v>
      </c>
    </row>
    <row r="47" spans="1:20" x14ac:dyDescent="0.25">
      <c r="A47" s="23" t="s">
        <v>669</v>
      </c>
      <c r="B47" s="23" t="s">
        <v>670</v>
      </c>
      <c r="C47" s="23" t="s">
        <v>671</v>
      </c>
      <c r="D47" s="23" t="s">
        <v>672</v>
      </c>
      <c r="E47" s="23" t="s">
        <v>589</v>
      </c>
      <c r="F47" s="23" t="s">
        <v>40</v>
      </c>
      <c r="G47" s="23" t="s">
        <v>673</v>
      </c>
      <c r="H47" s="23" t="s">
        <v>674</v>
      </c>
      <c r="I47" s="23" t="s">
        <v>675</v>
      </c>
      <c r="J47" s="23" t="s">
        <v>385</v>
      </c>
      <c r="K47" s="24" t="s">
        <v>386</v>
      </c>
      <c r="L47" s="23" t="s">
        <v>13</v>
      </c>
      <c r="M47" s="25" t="s">
        <v>18</v>
      </c>
      <c r="N47" s="23" t="s">
        <v>40</v>
      </c>
      <c r="O47" s="23" t="s">
        <v>387</v>
      </c>
      <c r="P47" s="23" t="s">
        <v>40</v>
      </c>
      <c r="Q47" s="23" t="s">
        <v>40</v>
      </c>
      <c r="R47" s="23" t="s">
        <v>40</v>
      </c>
      <c r="S47" s="23" t="s">
        <v>40</v>
      </c>
      <c r="T47" s="23" t="s">
        <v>40</v>
      </c>
    </row>
    <row r="48" spans="1:20" x14ac:dyDescent="0.25">
      <c r="A48" s="23" t="s">
        <v>676</v>
      </c>
      <c r="B48" s="23" t="s">
        <v>670</v>
      </c>
      <c r="C48" s="23" t="s">
        <v>671</v>
      </c>
      <c r="D48" s="23" t="s">
        <v>677</v>
      </c>
      <c r="E48" s="23" t="s">
        <v>589</v>
      </c>
      <c r="F48" s="23" t="s">
        <v>40</v>
      </c>
      <c r="G48" s="23" t="s">
        <v>678</v>
      </c>
      <c r="H48" s="23" t="s">
        <v>679</v>
      </c>
      <c r="I48" s="23" t="s">
        <v>680</v>
      </c>
      <c r="J48" s="23" t="s">
        <v>14</v>
      </c>
      <c r="K48" s="26" t="s">
        <v>396</v>
      </c>
      <c r="L48" s="23" t="s">
        <v>13</v>
      </c>
      <c r="M48" s="31" t="s">
        <v>17</v>
      </c>
      <c r="N48" s="23" t="s">
        <v>681</v>
      </c>
      <c r="O48" s="29" t="s">
        <v>87</v>
      </c>
      <c r="P48" s="23" t="s">
        <v>40</v>
      </c>
      <c r="Q48" s="23" t="s">
        <v>40</v>
      </c>
      <c r="R48" s="23" t="s">
        <v>40</v>
      </c>
      <c r="S48" s="23" t="s">
        <v>40</v>
      </c>
      <c r="T48" s="23" t="s">
        <v>40</v>
      </c>
    </row>
    <row r="49" spans="1:20" x14ac:dyDescent="0.25">
      <c r="A49" s="23" t="s">
        <v>682</v>
      </c>
      <c r="B49" s="23" t="s">
        <v>670</v>
      </c>
      <c r="C49" s="23" t="s">
        <v>683</v>
      </c>
      <c r="D49" s="23" t="s">
        <v>684</v>
      </c>
      <c r="E49" s="23" t="s">
        <v>589</v>
      </c>
      <c r="F49" s="23" t="s">
        <v>40</v>
      </c>
      <c r="G49" s="23" t="s">
        <v>685</v>
      </c>
      <c r="H49" s="23" t="s">
        <v>686</v>
      </c>
      <c r="I49" s="23" t="s">
        <v>687</v>
      </c>
      <c r="J49" s="23" t="s">
        <v>14</v>
      </c>
      <c r="K49" s="26" t="s">
        <v>396</v>
      </c>
      <c r="L49" s="23" t="s">
        <v>13</v>
      </c>
      <c r="M49" s="25" t="s">
        <v>18</v>
      </c>
      <c r="N49" s="23" t="s">
        <v>40</v>
      </c>
      <c r="O49" s="23" t="s">
        <v>387</v>
      </c>
      <c r="P49" s="23" t="s">
        <v>40</v>
      </c>
      <c r="Q49" s="23" t="s">
        <v>40</v>
      </c>
      <c r="R49" s="23" t="s">
        <v>40</v>
      </c>
      <c r="S49" s="23" t="s">
        <v>40</v>
      </c>
      <c r="T49" s="23" t="s">
        <v>40</v>
      </c>
    </row>
    <row r="50" spans="1:20" x14ac:dyDescent="0.25">
      <c r="A50" s="23" t="s">
        <v>688</v>
      </c>
      <c r="B50" s="23" t="s">
        <v>670</v>
      </c>
      <c r="C50" s="23" t="s">
        <v>689</v>
      </c>
      <c r="D50" s="23" t="s">
        <v>690</v>
      </c>
      <c r="E50" s="23" t="s">
        <v>589</v>
      </c>
      <c r="F50" s="23" t="s">
        <v>40</v>
      </c>
      <c r="G50" s="23" t="s">
        <v>691</v>
      </c>
      <c r="H50" s="23" t="s">
        <v>692</v>
      </c>
      <c r="I50" s="23" t="s">
        <v>693</v>
      </c>
      <c r="J50" s="23" t="s">
        <v>14</v>
      </c>
      <c r="K50" s="24" t="s">
        <v>386</v>
      </c>
      <c r="L50" s="23" t="s">
        <v>405</v>
      </c>
      <c r="M50" s="25" t="s">
        <v>18</v>
      </c>
      <c r="N50" s="23" t="s">
        <v>40</v>
      </c>
      <c r="O50" s="23" t="s">
        <v>387</v>
      </c>
      <c r="P50" s="23" t="s">
        <v>40</v>
      </c>
      <c r="Q50" s="23" t="s">
        <v>40</v>
      </c>
      <c r="R50" s="23" t="s">
        <v>40</v>
      </c>
      <c r="S50" s="23" t="s">
        <v>40</v>
      </c>
      <c r="T50" s="23" t="s">
        <v>40</v>
      </c>
    </row>
    <row r="51" spans="1:20" x14ac:dyDescent="0.25">
      <c r="A51" s="23" t="s">
        <v>694</v>
      </c>
      <c r="B51" s="23" t="s">
        <v>670</v>
      </c>
      <c r="C51" s="23" t="s">
        <v>695</v>
      </c>
      <c r="D51" s="23" t="s">
        <v>696</v>
      </c>
      <c r="E51" s="23" t="s">
        <v>589</v>
      </c>
      <c r="F51" s="23" t="s">
        <v>40</v>
      </c>
      <c r="G51" s="23" t="s">
        <v>697</v>
      </c>
      <c r="H51" s="23" t="s">
        <v>698</v>
      </c>
      <c r="I51" s="23" t="s">
        <v>699</v>
      </c>
      <c r="J51" s="23" t="s">
        <v>14</v>
      </c>
      <c r="K51" s="24" t="s">
        <v>386</v>
      </c>
      <c r="L51" s="23" t="s">
        <v>405</v>
      </c>
      <c r="M51" s="25" t="s">
        <v>18</v>
      </c>
      <c r="N51" s="23" t="s">
        <v>40</v>
      </c>
      <c r="O51" s="23" t="s">
        <v>387</v>
      </c>
      <c r="P51" s="23" t="s">
        <v>40</v>
      </c>
      <c r="Q51" s="23" t="s">
        <v>40</v>
      </c>
      <c r="R51" s="23" t="s">
        <v>40</v>
      </c>
      <c r="S51" s="23" t="s">
        <v>40</v>
      </c>
      <c r="T51" s="23" t="s">
        <v>40</v>
      </c>
    </row>
    <row r="52" spans="1:20" x14ac:dyDescent="0.25">
      <c r="A52" s="23" t="s">
        <v>700</v>
      </c>
      <c r="B52" s="23" t="s">
        <v>670</v>
      </c>
      <c r="C52" s="23" t="s">
        <v>701</v>
      </c>
      <c r="D52" s="23" t="s">
        <v>702</v>
      </c>
      <c r="E52" s="23" t="s">
        <v>589</v>
      </c>
      <c r="F52" s="23" t="s">
        <v>40</v>
      </c>
      <c r="G52" s="23" t="s">
        <v>703</v>
      </c>
      <c r="H52" s="23" t="s">
        <v>704</v>
      </c>
      <c r="I52" s="23" t="s">
        <v>705</v>
      </c>
      <c r="J52" s="23" t="s">
        <v>14</v>
      </c>
      <c r="K52" s="24" t="s">
        <v>386</v>
      </c>
      <c r="L52" s="23" t="s">
        <v>405</v>
      </c>
      <c r="M52" s="25" t="s">
        <v>18</v>
      </c>
      <c r="N52" s="23" t="s">
        <v>40</v>
      </c>
      <c r="O52" s="23" t="s">
        <v>387</v>
      </c>
      <c r="P52" s="23" t="s">
        <v>40</v>
      </c>
      <c r="Q52" s="23" t="s">
        <v>40</v>
      </c>
      <c r="R52" s="23" t="s">
        <v>40</v>
      </c>
      <c r="S52" s="23" t="s">
        <v>40</v>
      </c>
      <c r="T52" s="23" t="s">
        <v>40</v>
      </c>
    </row>
    <row r="53" spans="1:20" x14ac:dyDescent="0.25">
      <c r="A53" s="23" t="s">
        <v>706</v>
      </c>
      <c r="B53" s="23" t="s">
        <v>670</v>
      </c>
      <c r="C53" s="23" t="s">
        <v>707</v>
      </c>
      <c r="D53" s="23" t="s">
        <v>708</v>
      </c>
      <c r="E53" s="23" t="s">
        <v>589</v>
      </c>
      <c r="F53" s="23" t="s">
        <v>40</v>
      </c>
      <c r="G53" s="23" t="s">
        <v>709</v>
      </c>
      <c r="H53" s="23" t="s">
        <v>710</v>
      </c>
      <c r="I53" s="23" t="s">
        <v>711</v>
      </c>
      <c r="J53" s="23" t="s">
        <v>14</v>
      </c>
      <c r="K53" s="24" t="s">
        <v>386</v>
      </c>
      <c r="L53" s="23" t="s">
        <v>405</v>
      </c>
      <c r="M53" s="25" t="s">
        <v>18</v>
      </c>
      <c r="N53" s="23" t="s">
        <v>40</v>
      </c>
      <c r="O53" s="23" t="s">
        <v>387</v>
      </c>
      <c r="P53" s="23" t="s">
        <v>40</v>
      </c>
      <c r="Q53" s="23" t="s">
        <v>40</v>
      </c>
      <c r="R53" s="23" t="s">
        <v>40</v>
      </c>
      <c r="S53" s="23" t="s">
        <v>40</v>
      </c>
      <c r="T53" s="23" t="s">
        <v>40</v>
      </c>
    </row>
    <row r="54" spans="1:20" x14ac:dyDescent="0.25">
      <c r="A54" s="23" t="s">
        <v>712</v>
      </c>
      <c r="B54" s="23" t="s">
        <v>670</v>
      </c>
      <c r="C54" s="23" t="s">
        <v>713</v>
      </c>
      <c r="D54" s="23" t="s">
        <v>714</v>
      </c>
      <c r="E54" s="23" t="s">
        <v>589</v>
      </c>
      <c r="F54" s="23" t="s">
        <v>40</v>
      </c>
      <c r="G54" s="23" t="s">
        <v>715</v>
      </c>
      <c r="H54" s="23" t="s">
        <v>716</v>
      </c>
      <c r="I54" s="23" t="s">
        <v>717</v>
      </c>
      <c r="J54" s="23" t="s">
        <v>14</v>
      </c>
      <c r="K54" s="24" t="s">
        <v>386</v>
      </c>
      <c r="L54" s="23" t="s">
        <v>405</v>
      </c>
      <c r="M54" s="25" t="s">
        <v>18</v>
      </c>
      <c r="N54" s="23" t="s">
        <v>40</v>
      </c>
      <c r="O54" s="23" t="s">
        <v>387</v>
      </c>
      <c r="P54" s="23" t="s">
        <v>40</v>
      </c>
      <c r="Q54" s="23" t="s">
        <v>40</v>
      </c>
      <c r="R54" s="23" t="s">
        <v>40</v>
      </c>
      <c r="S54" s="23" t="s">
        <v>40</v>
      </c>
      <c r="T54" s="23" t="s">
        <v>40</v>
      </c>
    </row>
    <row r="55" spans="1:20" x14ac:dyDescent="0.25">
      <c r="A55" s="23" t="s">
        <v>718</v>
      </c>
      <c r="B55" s="23" t="s">
        <v>670</v>
      </c>
      <c r="C55" s="23" t="s">
        <v>719</v>
      </c>
      <c r="D55" s="23" t="s">
        <v>720</v>
      </c>
      <c r="E55" s="23" t="s">
        <v>589</v>
      </c>
      <c r="F55" s="23" t="s">
        <v>40</v>
      </c>
      <c r="G55" s="23" t="s">
        <v>721</v>
      </c>
      <c r="H55" s="23" t="s">
        <v>722</v>
      </c>
      <c r="I55" s="23" t="s">
        <v>723</v>
      </c>
      <c r="J55" s="23" t="s">
        <v>14</v>
      </c>
      <c r="K55" s="24" t="s">
        <v>386</v>
      </c>
      <c r="L55" s="23" t="s">
        <v>405</v>
      </c>
      <c r="M55" s="25" t="s">
        <v>18</v>
      </c>
      <c r="N55" s="23" t="s">
        <v>40</v>
      </c>
      <c r="O55" s="23" t="s">
        <v>387</v>
      </c>
      <c r="P55" s="23" t="s">
        <v>40</v>
      </c>
      <c r="Q55" s="23" t="s">
        <v>40</v>
      </c>
      <c r="R55" s="23" t="s">
        <v>40</v>
      </c>
      <c r="S55" s="23" t="s">
        <v>40</v>
      </c>
      <c r="T55" s="23" t="s">
        <v>40</v>
      </c>
    </row>
    <row r="56" spans="1:20" x14ac:dyDescent="0.25">
      <c r="A56" s="23" t="s">
        <v>724</v>
      </c>
      <c r="B56" s="23" t="s">
        <v>670</v>
      </c>
      <c r="C56" s="23" t="s">
        <v>725</v>
      </c>
      <c r="D56" s="23" t="s">
        <v>726</v>
      </c>
      <c r="E56" s="23" t="s">
        <v>589</v>
      </c>
      <c r="F56" s="23" t="s">
        <v>40</v>
      </c>
      <c r="G56" s="23" t="s">
        <v>727</v>
      </c>
      <c r="H56" s="23" t="s">
        <v>728</v>
      </c>
      <c r="I56" s="23" t="s">
        <v>729</v>
      </c>
      <c r="J56" s="23" t="s">
        <v>14</v>
      </c>
      <c r="K56" s="24" t="s">
        <v>386</v>
      </c>
      <c r="L56" s="23" t="s">
        <v>405</v>
      </c>
      <c r="M56" s="25" t="s">
        <v>18</v>
      </c>
      <c r="N56" s="23" t="s">
        <v>40</v>
      </c>
      <c r="O56" s="23" t="s">
        <v>387</v>
      </c>
      <c r="P56" s="23" t="s">
        <v>40</v>
      </c>
      <c r="Q56" s="23" t="s">
        <v>40</v>
      </c>
      <c r="R56" s="23" t="s">
        <v>40</v>
      </c>
      <c r="S56" s="23" t="s">
        <v>40</v>
      </c>
      <c r="T56" s="23" t="s">
        <v>40</v>
      </c>
    </row>
    <row r="57" spans="1:20" x14ac:dyDescent="0.25">
      <c r="A57" s="23" t="s">
        <v>730</v>
      </c>
      <c r="B57" s="23" t="s">
        <v>670</v>
      </c>
      <c r="C57" s="23" t="s">
        <v>731</v>
      </c>
      <c r="D57" s="23" t="s">
        <v>732</v>
      </c>
      <c r="E57" s="23" t="s">
        <v>589</v>
      </c>
      <c r="F57" s="23" t="s">
        <v>40</v>
      </c>
      <c r="G57" s="23" t="s">
        <v>733</v>
      </c>
      <c r="H57" s="23" t="s">
        <v>734</v>
      </c>
      <c r="I57" s="23" t="s">
        <v>735</v>
      </c>
      <c r="J57" s="23" t="s">
        <v>14</v>
      </c>
      <c r="K57" s="24" t="s">
        <v>386</v>
      </c>
      <c r="L57" s="23" t="s">
        <v>405</v>
      </c>
      <c r="M57" s="25" t="s">
        <v>18</v>
      </c>
      <c r="N57" s="23" t="s">
        <v>40</v>
      </c>
      <c r="O57" s="23" t="s">
        <v>387</v>
      </c>
      <c r="P57" s="23" t="s">
        <v>40</v>
      </c>
      <c r="Q57" s="23" t="s">
        <v>40</v>
      </c>
      <c r="R57" s="23" t="s">
        <v>40</v>
      </c>
      <c r="S57" s="23" t="s">
        <v>40</v>
      </c>
      <c r="T57" s="23" t="s">
        <v>40</v>
      </c>
    </row>
    <row r="58" spans="1:20" x14ac:dyDescent="0.25">
      <c r="A58" s="23" t="s">
        <v>736</v>
      </c>
      <c r="B58" s="23" t="s">
        <v>670</v>
      </c>
      <c r="C58" s="23" t="s">
        <v>737</v>
      </c>
      <c r="D58" s="23" t="s">
        <v>738</v>
      </c>
      <c r="E58" s="23" t="s">
        <v>589</v>
      </c>
      <c r="F58" s="23" t="s">
        <v>40</v>
      </c>
      <c r="G58" s="23" t="s">
        <v>739</v>
      </c>
      <c r="H58" s="23" t="s">
        <v>740</v>
      </c>
      <c r="I58" s="23" t="s">
        <v>741</v>
      </c>
      <c r="J58" s="23" t="s">
        <v>385</v>
      </c>
      <c r="K58" s="27" t="s">
        <v>404</v>
      </c>
      <c r="L58" s="23" t="s">
        <v>405</v>
      </c>
      <c r="M58" s="25" t="s">
        <v>18</v>
      </c>
      <c r="N58" s="23" t="s">
        <v>40</v>
      </c>
      <c r="O58" s="23" t="s">
        <v>387</v>
      </c>
      <c r="P58" s="23" t="s">
        <v>40</v>
      </c>
      <c r="Q58" s="23" t="s">
        <v>40</v>
      </c>
      <c r="R58" s="23" t="s">
        <v>40</v>
      </c>
      <c r="S58" s="23" t="s">
        <v>40</v>
      </c>
      <c r="T58" s="23" t="s">
        <v>40</v>
      </c>
    </row>
    <row r="59" spans="1:20" x14ac:dyDescent="0.25">
      <c r="A59" s="23" t="s">
        <v>742</v>
      </c>
      <c r="B59" s="23" t="s">
        <v>670</v>
      </c>
      <c r="C59" s="23" t="s">
        <v>737</v>
      </c>
      <c r="D59" s="23" t="s">
        <v>743</v>
      </c>
      <c r="E59" s="23" t="s">
        <v>589</v>
      </c>
      <c r="F59" s="23" t="s">
        <v>40</v>
      </c>
      <c r="G59" s="23" t="s">
        <v>744</v>
      </c>
      <c r="H59" s="23" t="s">
        <v>745</v>
      </c>
      <c r="I59" s="23" t="s">
        <v>746</v>
      </c>
      <c r="J59" s="23" t="s">
        <v>385</v>
      </c>
      <c r="K59" s="32" t="s">
        <v>747</v>
      </c>
      <c r="L59" s="23" t="s">
        <v>490</v>
      </c>
      <c r="M59" s="25" t="s">
        <v>18</v>
      </c>
      <c r="N59" s="23" t="s">
        <v>40</v>
      </c>
      <c r="O59" s="23" t="s">
        <v>387</v>
      </c>
      <c r="P59" s="23" t="s">
        <v>40</v>
      </c>
      <c r="Q59" s="23" t="s">
        <v>40</v>
      </c>
      <c r="R59" s="23" t="s">
        <v>40</v>
      </c>
      <c r="S59" s="23" t="s">
        <v>40</v>
      </c>
      <c r="T59" s="23" t="s">
        <v>40</v>
      </c>
    </row>
    <row r="60" spans="1:20" x14ac:dyDescent="0.25">
      <c r="A60" s="23" t="s">
        <v>748</v>
      </c>
      <c r="B60" s="23" t="s">
        <v>670</v>
      </c>
      <c r="C60" s="23" t="s">
        <v>737</v>
      </c>
      <c r="D60" s="23" t="s">
        <v>749</v>
      </c>
      <c r="E60" s="23" t="s">
        <v>589</v>
      </c>
      <c r="F60" s="23" t="s">
        <v>40</v>
      </c>
      <c r="G60" s="23" t="s">
        <v>750</v>
      </c>
      <c r="H60" s="23" t="s">
        <v>751</v>
      </c>
      <c r="I60" s="23" t="s">
        <v>752</v>
      </c>
      <c r="J60" s="23" t="s">
        <v>403</v>
      </c>
      <c r="K60" s="32" t="s">
        <v>747</v>
      </c>
      <c r="L60" s="23" t="s">
        <v>490</v>
      </c>
      <c r="M60" s="25" t="s">
        <v>18</v>
      </c>
      <c r="N60" s="23" t="s">
        <v>40</v>
      </c>
      <c r="O60" s="23" t="s">
        <v>387</v>
      </c>
      <c r="P60" s="23" t="s">
        <v>40</v>
      </c>
      <c r="Q60" s="23" t="s">
        <v>40</v>
      </c>
      <c r="R60" s="23" t="s">
        <v>40</v>
      </c>
      <c r="S60" s="23" t="s">
        <v>40</v>
      </c>
      <c r="T60" s="23" t="s">
        <v>40</v>
      </c>
    </row>
    <row r="61" spans="1:20" x14ac:dyDescent="0.25">
      <c r="A61" s="23" t="s">
        <v>753</v>
      </c>
      <c r="B61" s="23" t="s">
        <v>754</v>
      </c>
      <c r="C61" s="23" t="s">
        <v>755</v>
      </c>
      <c r="D61" s="23" t="s">
        <v>756</v>
      </c>
      <c r="E61" s="23" t="s">
        <v>589</v>
      </c>
      <c r="F61" s="23" t="s">
        <v>30</v>
      </c>
      <c r="G61" s="23" t="s">
        <v>757</v>
      </c>
      <c r="H61" s="23" t="s">
        <v>758</v>
      </c>
      <c r="I61" s="23" t="s">
        <v>759</v>
      </c>
      <c r="J61" s="23" t="s">
        <v>14</v>
      </c>
      <c r="K61" s="26" t="s">
        <v>396</v>
      </c>
      <c r="L61" s="23" t="s">
        <v>13</v>
      </c>
      <c r="M61" s="25" t="s">
        <v>18</v>
      </c>
      <c r="N61" s="23" t="s">
        <v>40</v>
      </c>
      <c r="O61" s="23" t="s">
        <v>387</v>
      </c>
      <c r="P61" s="23" t="s">
        <v>40</v>
      </c>
      <c r="Q61" s="23" t="s">
        <v>40</v>
      </c>
      <c r="R61" s="23" t="s">
        <v>40</v>
      </c>
      <c r="S61" s="23" t="s">
        <v>40</v>
      </c>
      <c r="T61" s="23" t="s">
        <v>40</v>
      </c>
    </row>
    <row r="62" spans="1:20" x14ac:dyDescent="0.25">
      <c r="A62" s="23" t="s">
        <v>760</v>
      </c>
      <c r="B62" s="23" t="s">
        <v>754</v>
      </c>
      <c r="C62" s="23" t="s">
        <v>755</v>
      </c>
      <c r="D62" s="23" t="s">
        <v>761</v>
      </c>
      <c r="E62" s="23" t="s">
        <v>589</v>
      </c>
      <c r="F62" s="23" t="s">
        <v>40</v>
      </c>
      <c r="G62" s="23" t="s">
        <v>762</v>
      </c>
      <c r="H62" s="23" t="s">
        <v>763</v>
      </c>
      <c r="I62" s="23" t="s">
        <v>764</v>
      </c>
      <c r="J62" s="23" t="s">
        <v>14</v>
      </c>
      <c r="K62" s="24" t="s">
        <v>386</v>
      </c>
      <c r="L62" s="23" t="s">
        <v>405</v>
      </c>
      <c r="M62" s="25" t="s">
        <v>18</v>
      </c>
      <c r="N62" s="23" t="s">
        <v>40</v>
      </c>
      <c r="O62" s="23" t="s">
        <v>387</v>
      </c>
      <c r="P62" s="23" t="s">
        <v>40</v>
      </c>
      <c r="Q62" s="23" t="s">
        <v>40</v>
      </c>
      <c r="R62" s="23" t="s">
        <v>40</v>
      </c>
      <c r="S62" s="23" t="s">
        <v>40</v>
      </c>
      <c r="T62" s="23" t="s">
        <v>40</v>
      </c>
    </row>
    <row r="63" spans="1:20" x14ac:dyDescent="0.25">
      <c r="A63" s="23" t="s">
        <v>765</v>
      </c>
      <c r="B63" s="23" t="s">
        <v>754</v>
      </c>
      <c r="C63" s="23" t="s">
        <v>755</v>
      </c>
      <c r="D63" s="23" t="s">
        <v>766</v>
      </c>
      <c r="E63" s="23" t="s">
        <v>589</v>
      </c>
      <c r="F63" s="23" t="s">
        <v>767</v>
      </c>
      <c r="G63" s="23" t="s">
        <v>768</v>
      </c>
      <c r="H63" s="23" t="s">
        <v>769</v>
      </c>
      <c r="I63" s="23" t="s">
        <v>770</v>
      </c>
      <c r="J63" s="23" t="s">
        <v>15</v>
      </c>
      <c r="K63" s="27" t="s">
        <v>404</v>
      </c>
      <c r="L63" s="23" t="s">
        <v>490</v>
      </c>
      <c r="M63" s="25" t="s">
        <v>18</v>
      </c>
      <c r="N63" s="23" t="s">
        <v>40</v>
      </c>
      <c r="O63" s="23" t="s">
        <v>387</v>
      </c>
      <c r="P63" s="23" t="s">
        <v>40</v>
      </c>
      <c r="Q63" s="23" t="s">
        <v>40</v>
      </c>
      <c r="R63" s="23" t="s">
        <v>40</v>
      </c>
      <c r="S63" s="23" t="s">
        <v>40</v>
      </c>
      <c r="T63" s="23" t="s">
        <v>40</v>
      </c>
    </row>
    <row r="64" spans="1:20" x14ac:dyDescent="0.25">
      <c r="A64" s="23" t="s">
        <v>771</v>
      </c>
      <c r="B64" s="23" t="s">
        <v>754</v>
      </c>
      <c r="C64" s="23" t="s">
        <v>755</v>
      </c>
      <c r="D64" s="23" t="s">
        <v>772</v>
      </c>
      <c r="E64" s="23" t="s">
        <v>589</v>
      </c>
      <c r="F64" s="23" t="s">
        <v>40</v>
      </c>
      <c r="G64" s="23" t="s">
        <v>773</v>
      </c>
      <c r="H64" s="23" t="s">
        <v>774</v>
      </c>
      <c r="I64" s="23" t="s">
        <v>775</v>
      </c>
      <c r="J64" s="23" t="s">
        <v>14</v>
      </c>
      <c r="K64" s="24" t="s">
        <v>386</v>
      </c>
      <c r="L64" s="23" t="s">
        <v>405</v>
      </c>
      <c r="M64" s="25" t="s">
        <v>18</v>
      </c>
      <c r="N64" s="23" t="s">
        <v>40</v>
      </c>
      <c r="O64" s="23" t="s">
        <v>387</v>
      </c>
      <c r="P64" s="23" t="s">
        <v>40</v>
      </c>
      <c r="Q64" s="23" t="s">
        <v>40</v>
      </c>
      <c r="R64" s="23" t="s">
        <v>40</v>
      </c>
      <c r="S64" s="23" t="s">
        <v>40</v>
      </c>
      <c r="T64" s="23" t="s">
        <v>40</v>
      </c>
    </row>
    <row r="65" spans="1:20" x14ac:dyDescent="0.25">
      <c r="A65" s="23" t="s">
        <v>776</v>
      </c>
      <c r="B65" s="23" t="s">
        <v>754</v>
      </c>
      <c r="C65" s="23" t="s">
        <v>755</v>
      </c>
      <c r="D65" s="23" t="s">
        <v>777</v>
      </c>
      <c r="E65" s="23" t="s">
        <v>647</v>
      </c>
      <c r="F65" s="23" t="s">
        <v>40</v>
      </c>
      <c r="G65" s="23" t="s">
        <v>778</v>
      </c>
      <c r="H65" s="23" t="s">
        <v>779</v>
      </c>
      <c r="I65" s="23" t="s">
        <v>780</v>
      </c>
      <c r="J65" s="23" t="s">
        <v>525</v>
      </c>
      <c r="K65" s="24" t="s">
        <v>386</v>
      </c>
      <c r="L65" s="23" t="s">
        <v>405</v>
      </c>
      <c r="M65" s="25" t="s">
        <v>18</v>
      </c>
      <c r="N65" s="23" t="s">
        <v>40</v>
      </c>
      <c r="O65" s="23" t="s">
        <v>387</v>
      </c>
      <c r="P65" s="23" t="s">
        <v>40</v>
      </c>
      <c r="Q65" s="23" t="s">
        <v>40</v>
      </c>
      <c r="R65" s="23" t="s">
        <v>40</v>
      </c>
      <c r="S65" s="23" t="s">
        <v>40</v>
      </c>
      <c r="T65" s="23" t="s">
        <v>40</v>
      </c>
    </row>
    <row r="66" spans="1:20" x14ac:dyDescent="0.25">
      <c r="A66" s="23" t="s">
        <v>781</v>
      </c>
      <c r="B66" s="23" t="s">
        <v>782</v>
      </c>
      <c r="C66" s="23" t="s">
        <v>783</v>
      </c>
      <c r="D66" s="23" t="s">
        <v>784</v>
      </c>
      <c r="E66" s="23" t="s">
        <v>785</v>
      </c>
      <c r="F66" s="23" t="s">
        <v>40</v>
      </c>
      <c r="G66" s="23" t="s">
        <v>786</v>
      </c>
      <c r="H66" s="23" t="s">
        <v>787</v>
      </c>
      <c r="I66" s="23" t="s">
        <v>788</v>
      </c>
      <c r="J66" s="23" t="s">
        <v>385</v>
      </c>
      <c r="K66" s="27" t="s">
        <v>404</v>
      </c>
      <c r="L66" s="23" t="s">
        <v>405</v>
      </c>
      <c r="M66" s="25" t="s">
        <v>18</v>
      </c>
      <c r="N66" s="23" t="s">
        <v>40</v>
      </c>
      <c r="O66" s="23" t="s">
        <v>387</v>
      </c>
      <c r="P66" s="23" t="s">
        <v>40</v>
      </c>
      <c r="Q66" s="23" t="s">
        <v>40</v>
      </c>
      <c r="R66" s="23" t="s">
        <v>40</v>
      </c>
      <c r="S66" s="23" t="s">
        <v>40</v>
      </c>
      <c r="T66" s="23" t="s">
        <v>40</v>
      </c>
    </row>
    <row r="67" spans="1:20" x14ac:dyDescent="0.25">
      <c r="A67" s="23" t="s">
        <v>789</v>
      </c>
      <c r="B67" s="23" t="s">
        <v>782</v>
      </c>
      <c r="C67" s="23" t="s">
        <v>783</v>
      </c>
      <c r="D67" s="23" t="s">
        <v>790</v>
      </c>
      <c r="E67" s="23" t="s">
        <v>791</v>
      </c>
      <c r="F67" s="23" t="s">
        <v>40</v>
      </c>
      <c r="G67" s="23" t="s">
        <v>792</v>
      </c>
      <c r="H67" s="23" t="s">
        <v>793</v>
      </c>
      <c r="I67" s="23" t="s">
        <v>794</v>
      </c>
      <c r="J67" s="23" t="s">
        <v>14</v>
      </c>
      <c r="K67" s="24" t="s">
        <v>386</v>
      </c>
      <c r="L67" s="23" t="s">
        <v>405</v>
      </c>
      <c r="M67" s="25" t="s">
        <v>18</v>
      </c>
      <c r="N67" s="23" t="s">
        <v>40</v>
      </c>
      <c r="O67" s="23" t="s">
        <v>387</v>
      </c>
      <c r="P67" s="23" t="s">
        <v>40</v>
      </c>
      <c r="Q67" s="23" t="s">
        <v>40</v>
      </c>
      <c r="R67" s="23" t="s">
        <v>40</v>
      </c>
      <c r="S67" s="23" t="s">
        <v>40</v>
      </c>
      <c r="T67" s="23" t="s">
        <v>40</v>
      </c>
    </row>
    <row r="68" spans="1:20" x14ac:dyDescent="0.25">
      <c r="A68" s="23" t="s">
        <v>795</v>
      </c>
      <c r="B68" s="23" t="s">
        <v>782</v>
      </c>
      <c r="C68" s="23" t="s">
        <v>783</v>
      </c>
      <c r="D68" s="23" t="s">
        <v>796</v>
      </c>
      <c r="E68" s="23" t="s">
        <v>797</v>
      </c>
      <c r="F68" s="23" t="s">
        <v>40</v>
      </c>
      <c r="G68" s="23" t="s">
        <v>798</v>
      </c>
      <c r="H68" s="23" t="s">
        <v>799</v>
      </c>
      <c r="I68" s="23" t="s">
        <v>800</v>
      </c>
      <c r="J68" s="23" t="s">
        <v>801</v>
      </c>
      <c r="K68" s="24" t="s">
        <v>386</v>
      </c>
      <c r="L68" s="23" t="s">
        <v>405</v>
      </c>
      <c r="M68" s="25" t="s">
        <v>18</v>
      </c>
      <c r="N68" s="23" t="s">
        <v>40</v>
      </c>
      <c r="O68" s="23" t="s">
        <v>387</v>
      </c>
      <c r="P68" s="23" t="s">
        <v>40</v>
      </c>
      <c r="Q68" s="23" t="s">
        <v>40</v>
      </c>
      <c r="R68" s="23" t="s">
        <v>40</v>
      </c>
      <c r="S68" s="23" t="s">
        <v>40</v>
      </c>
      <c r="T68" s="23" t="s">
        <v>40</v>
      </c>
    </row>
    <row r="69" spans="1:20" x14ac:dyDescent="0.25">
      <c r="A69" s="23" t="s">
        <v>802</v>
      </c>
      <c r="B69" s="23" t="s">
        <v>782</v>
      </c>
      <c r="C69" s="23" t="s">
        <v>803</v>
      </c>
      <c r="D69" s="23" t="s">
        <v>804</v>
      </c>
      <c r="E69" s="23" t="s">
        <v>589</v>
      </c>
      <c r="F69" s="23" t="s">
        <v>40</v>
      </c>
      <c r="G69" s="23" t="s">
        <v>805</v>
      </c>
      <c r="H69" s="23" t="s">
        <v>806</v>
      </c>
      <c r="I69" s="23" t="s">
        <v>807</v>
      </c>
      <c r="J69" s="23" t="s">
        <v>385</v>
      </c>
      <c r="K69" s="27" t="s">
        <v>404</v>
      </c>
      <c r="L69" s="23" t="s">
        <v>405</v>
      </c>
      <c r="M69" s="25" t="s">
        <v>18</v>
      </c>
      <c r="N69" s="23" t="s">
        <v>40</v>
      </c>
      <c r="O69" s="23" t="s">
        <v>387</v>
      </c>
      <c r="P69" s="23" t="s">
        <v>40</v>
      </c>
      <c r="Q69" s="23" t="s">
        <v>40</v>
      </c>
      <c r="R69" s="23" t="s">
        <v>40</v>
      </c>
      <c r="S69" s="23" t="s">
        <v>40</v>
      </c>
      <c r="T69" s="23" t="s">
        <v>40</v>
      </c>
    </row>
    <row r="70" spans="1:20" x14ac:dyDescent="0.25">
      <c r="A70" s="23" t="s">
        <v>808</v>
      </c>
      <c r="B70" s="23" t="s">
        <v>782</v>
      </c>
      <c r="C70" s="23" t="s">
        <v>809</v>
      </c>
      <c r="D70" s="23" t="s">
        <v>810</v>
      </c>
      <c r="E70" s="23" t="s">
        <v>589</v>
      </c>
      <c r="F70" s="23" t="s">
        <v>40</v>
      </c>
      <c r="G70" s="23" t="s">
        <v>811</v>
      </c>
      <c r="H70" s="23" t="s">
        <v>812</v>
      </c>
      <c r="I70" s="23" t="s">
        <v>813</v>
      </c>
      <c r="J70" s="23" t="s">
        <v>385</v>
      </c>
      <c r="K70" s="32" t="s">
        <v>747</v>
      </c>
      <c r="L70" s="23" t="s">
        <v>490</v>
      </c>
      <c r="M70" s="25" t="s">
        <v>18</v>
      </c>
      <c r="N70" s="23" t="s">
        <v>40</v>
      </c>
      <c r="O70" s="23" t="s">
        <v>387</v>
      </c>
      <c r="P70" s="23" t="s">
        <v>40</v>
      </c>
      <c r="Q70" s="23" t="s">
        <v>40</v>
      </c>
      <c r="R70" s="23" t="s">
        <v>40</v>
      </c>
      <c r="S70" s="23" t="s">
        <v>40</v>
      </c>
      <c r="T70" s="23" t="s">
        <v>40</v>
      </c>
    </row>
    <row r="71" spans="1:20" x14ac:dyDescent="0.25">
      <c r="A71" s="23" t="s">
        <v>814</v>
      </c>
      <c r="B71" s="23" t="s">
        <v>782</v>
      </c>
      <c r="C71" s="23" t="s">
        <v>815</v>
      </c>
      <c r="D71" s="23" t="s">
        <v>816</v>
      </c>
      <c r="E71" s="23" t="s">
        <v>589</v>
      </c>
      <c r="F71" s="23" t="s">
        <v>40</v>
      </c>
      <c r="G71" s="23" t="s">
        <v>817</v>
      </c>
      <c r="H71" s="23" t="s">
        <v>818</v>
      </c>
      <c r="I71" s="23" t="s">
        <v>819</v>
      </c>
      <c r="J71" s="23" t="s">
        <v>385</v>
      </c>
      <c r="K71" s="32" t="s">
        <v>747</v>
      </c>
      <c r="L71" s="23" t="s">
        <v>490</v>
      </c>
      <c r="M71" s="25" t="s">
        <v>18</v>
      </c>
      <c r="N71" s="23" t="s">
        <v>40</v>
      </c>
      <c r="O71" s="23" t="s">
        <v>387</v>
      </c>
      <c r="P71" s="23" t="s">
        <v>40</v>
      </c>
      <c r="Q71" s="23" t="s">
        <v>40</v>
      </c>
      <c r="R71" s="23" t="s">
        <v>40</v>
      </c>
      <c r="S71" s="23" t="s">
        <v>40</v>
      </c>
      <c r="T71" s="23" t="s">
        <v>40</v>
      </c>
    </row>
    <row r="72" spans="1:20" x14ac:dyDescent="0.25">
      <c r="A72" s="23" t="s">
        <v>820</v>
      </c>
      <c r="B72" s="23" t="s">
        <v>821</v>
      </c>
      <c r="C72" s="23" t="s">
        <v>822</v>
      </c>
      <c r="D72" s="23" t="s">
        <v>823</v>
      </c>
      <c r="E72" s="23" t="s">
        <v>589</v>
      </c>
      <c r="F72" s="23" t="s">
        <v>40</v>
      </c>
      <c r="G72" s="23" t="s">
        <v>824</v>
      </c>
      <c r="H72" s="23" t="s">
        <v>825</v>
      </c>
      <c r="I72" s="23" t="s">
        <v>826</v>
      </c>
      <c r="J72" s="23" t="s">
        <v>525</v>
      </c>
      <c r="K72" s="24" t="s">
        <v>386</v>
      </c>
      <c r="L72" s="23" t="s">
        <v>13</v>
      </c>
      <c r="M72" s="25" t="s">
        <v>18</v>
      </c>
      <c r="N72" s="23" t="s">
        <v>40</v>
      </c>
      <c r="O72" s="23" t="s">
        <v>387</v>
      </c>
      <c r="P72" s="23" t="s">
        <v>40</v>
      </c>
      <c r="Q72" s="23" t="s">
        <v>40</v>
      </c>
      <c r="R72" s="23" t="s">
        <v>40</v>
      </c>
      <c r="S72" s="23" t="s">
        <v>40</v>
      </c>
      <c r="T72" s="23" t="s">
        <v>40</v>
      </c>
    </row>
    <row r="73" spans="1:20" x14ac:dyDescent="0.25">
      <c r="A73" s="23" t="s">
        <v>827</v>
      </c>
      <c r="B73" s="23" t="s">
        <v>821</v>
      </c>
      <c r="C73" s="23" t="s">
        <v>822</v>
      </c>
      <c r="D73" s="23" t="s">
        <v>828</v>
      </c>
      <c r="E73" s="23" t="s">
        <v>647</v>
      </c>
      <c r="F73" s="23" t="s">
        <v>40</v>
      </c>
      <c r="G73" s="23" t="s">
        <v>829</v>
      </c>
      <c r="H73" s="23" t="s">
        <v>830</v>
      </c>
      <c r="I73" s="23" t="s">
        <v>831</v>
      </c>
      <c r="J73" s="23" t="s">
        <v>525</v>
      </c>
      <c r="K73" s="24" t="s">
        <v>386</v>
      </c>
      <c r="L73" s="23" t="s">
        <v>13</v>
      </c>
      <c r="M73" s="25" t="s">
        <v>18</v>
      </c>
      <c r="N73" s="23" t="s">
        <v>40</v>
      </c>
      <c r="O73" s="23" t="s">
        <v>387</v>
      </c>
      <c r="P73" s="23" t="s">
        <v>40</v>
      </c>
      <c r="Q73" s="23" t="s">
        <v>40</v>
      </c>
      <c r="R73" s="23" t="s">
        <v>40</v>
      </c>
      <c r="S73" s="23" t="s">
        <v>832</v>
      </c>
      <c r="T73" s="23" t="s">
        <v>40</v>
      </c>
    </row>
    <row r="74" spans="1:20" x14ac:dyDescent="0.25">
      <c r="A74" s="23" t="s">
        <v>833</v>
      </c>
      <c r="B74" s="23" t="s">
        <v>821</v>
      </c>
      <c r="C74" s="23" t="s">
        <v>822</v>
      </c>
      <c r="D74" s="23" t="s">
        <v>834</v>
      </c>
      <c r="E74" s="23" t="s">
        <v>835</v>
      </c>
      <c r="F74" s="23" t="s">
        <v>40</v>
      </c>
      <c r="G74" s="23" t="s">
        <v>836</v>
      </c>
      <c r="H74" s="23" t="s">
        <v>837</v>
      </c>
      <c r="I74" s="23" t="s">
        <v>838</v>
      </c>
      <c r="J74" s="23" t="s">
        <v>525</v>
      </c>
      <c r="K74" s="24" t="s">
        <v>386</v>
      </c>
      <c r="L74" s="23" t="s">
        <v>13</v>
      </c>
      <c r="M74" s="25" t="s">
        <v>18</v>
      </c>
      <c r="N74" s="23" t="s">
        <v>40</v>
      </c>
      <c r="O74" s="23" t="s">
        <v>387</v>
      </c>
      <c r="P74" s="23" t="s">
        <v>40</v>
      </c>
      <c r="Q74" s="23" t="s">
        <v>40</v>
      </c>
      <c r="R74" s="23" t="s">
        <v>40</v>
      </c>
      <c r="S74" s="23" t="s">
        <v>839</v>
      </c>
      <c r="T74" s="23" t="s">
        <v>40</v>
      </c>
    </row>
    <row r="75" spans="1:20" x14ac:dyDescent="0.25">
      <c r="A75" s="23" t="s">
        <v>840</v>
      </c>
      <c r="B75" s="23" t="s">
        <v>821</v>
      </c>
      <c r="C75" s="23" t="s">
        <v>822</v>
      </c>
      <c r="D75" s="23" t="s">
        <v>841</v>
      </c>
      <c r="E75" s="23" t="s">
        <v>842</v>
      </c>
      <c r="F75" s="23" t="s">
        <v>40</v>
      </c>
      <c r="G75" s="23" t="s">
        <v>843</v>
      </c>
      <c r="H75" s="23" t="s">
        <v>844</v>
      </c>
      <c r="I75" s="23" t="s">
        <v>845</v>
      </c>
      <c r="J75" s="23" t="s">
        <v>525</v>
      </c>
      <c r="K75" s="24" t="s">
        <v>386</v>
      </c>
      <c r="L75" s="23" t="s">
        <v>405</v>
      </c>
      <c r="M75" s="25" t="s">
        <v>18</v>
      </c>
      <c r="N75" s="23" t="s">
        <v>40</v>
      </c>
      <c r="O75" s="23" t="s">
        <v>387</v>
      </c>
      <c r="P75" s="23" t="s">
        <v>40</v>
      </c>
      <c r="Q75" s="23" t="s">
        <v>40</v>
      </c>
      <c r="R75" s="23" t="s">
        <v>40</v>
      </c>
      <c r="S75" s="23" t="s">
        <v>40</v>
      </c>
      <c r="T75" s="23" t="s">
        <v>40</v>
      </c>
    </row>
    <row r="76" spans="1:20" x14ac:dyDescent="0.25">
      <c r="A76" s="23" t="s">
        <v>846</v>
      </c>
      <c r="B76" s="23" t="s">
        <v>821</v>
      </c>
      <c r="C76" s="23" t="s">
        <v>847</v>
      </c>
      <c r="D76" s="23" t="s">
        <v>848</v>
      </c>
      <c r="E76" s="23" t="s">
        <v>647</v>
      </c>
      <c r="F76" s="23" t="s">
        <v>40</v>
      </c>
      <c r="G76" s="23" t="s">
        <v>849</v>
      </c>
      <c r="H76" s="23" t="s">
        <v>850</v>
      </c>
      <c r="I76" s="23" t="s">
        <v>851</v>
      </c>
      <c r="J76" s="23" t="s">
        <v>395</v>
      </c>
      <c r="K76" s="26" t="s">
        <v>396</v>
      </c>
      <c r="L76" s="23" t="s">
        <v>13</v>
      </c>
      <c r="M76" s="25" t="s">
        <v>18</v>
      </c>
      <c r="N76" s="23" t="s">
        <v>40</v>
      </c>
      <c r="O76" s="23" t="s">
        <v>387</v>
      </c>
      <c r="P76" s="23" t="s">
        <v>40</v>
      </c>
      <c r="Q76" s="23" t="s">
        <v>40</v>
      </c>
      <c r="R76" s="23" t="s">
        <v>40</v>
      </c>
      <c r="S76" s="23" t="s">
        <v>40</v>
      </c>
      <c r="T76" s="23" t="s">
        <v>627</v>
      </c>
    </row>
    <row r="77" spans="1:20" x14ac:dyDescent="0.25">
      <c r="A77" s="23" t="s">
        <v>852</v>
      </c>
      <c r="B77" s="23" t="s">
        <v>821</v>
      </c>
      <c r="C77" s="23" t="s">
        <v>847</v>
      </c>
      <c r="D77" s="23" t="s">
        <v>853</v>
      </c>
      <c r="E77" s="23" t="s">
        <v>647</v>
      </c>
      <c r="F77" s="23" t="s">
        <v>40</v>
      </c>
      <c r="G77" s="23" t="s">
        <v>854</v>
      </c>
      <c r="H77" s="23" t="s">
        <v>855</v>
      </c>
      <c r="I77" s="23" t="s">
        <v>856</v>
      </c>
      <c r="J77" s="23" t="s">
        <v>395</v>
      </c>
      <c r="K77" s="26" t="s">
        <v>396</v>
      </c>
      <c r="L77" s="23" t="s">
        <v>13</v>
      </c>
      <c r="M77" s="25" t="s">
        <v>18</v>
      </c>
      <c r="N77" s="23" t="s">
        <v>40</v>
      </c>
      <c r="O77" s="23" t="s">
        <v>387</v>
      </c>
      <c r="P77" s="23" t="s">
        <v>40</v>
      </c>
      <c r="Q77" s="23" t="s">
        <v>40</v>
      </c>
      <c r="R77" s="23" t="s">
        <v>40</v>
      </c>
      <c r="S77" s="23" t="s">
        <v>40</v>
      </c>
      <c r="T77" s="23" t="s">
        <v>40</v>
      </c>
    </row>
    <row r="78" spans="1:20" x14ac:dyDescent="0.25">
      <c r="A78" s="23" t="s">
        <v>857</v>
      </c>
      <c r="B78" s="23" t="s">
        <v>821</v>
      </c>
      <c r="C78" s="23" t="s">
        <v>847</v>
      </c>
      <c r="D78" s="23" t="s">
        <v>858</v>
      </c>
      <c r="E78" s="23" t="s">
        <v>647</v>
      </c>
      <c r="F78" s="23" t="s">
        <v>40</v>
      </c>
      <c r="G78" s="23" t="s">
        <v>859</v>
      </c>
      <c r="H78" s="23" t="s">
        <v>860</v>
      </c>
      <c r="I78" s="23" t="s">
        <v>861</v>
      </c>
      <c r="J78" s="23" t="s">
        <v>395</v>
      </c>
      <c r="K78" s="26" t="s">
        <v>396</v>
      </c>
      <c r="L78" s="23" t="s">
        <v>13</v>
      </c>
      <c r="M78" s="25" t="s">
        <v>18</v>
      </c>
      <c r="N78" s="23" t="s">
        <v>40</v>
      </c>
      <c r="O78" s="23" t="s">
        <v>387</v>
      </c>
      <c r="P78" s="23" t="s">
        <v>40</v>
      </c>
      <c r="Q78" s="23" t="s">
        <v>40</v>
      </c>
      <c r="R78" s="23" t="s">
        <v>40</v>
      </c>
      <c r="S78" s="23" t="s">
        <v>40</v>
      </c>
      <c r="T78" s="23" t="s">
        <v>40</v>
      </c>
    </row>
    <row r="79" spans="1:20" x14ac:dyDescent="0.25">
      <c r="A79" s="23" t="s">
        <v>862</v>
      </c>
      <c r="B79" s="23" t="s">
        <v>821</v>
      </c>
      <c r="C79" s="23" t="s">
        <v>847</v>
      </c>
      <c r="D79" s="23" t="s">
        <v>863</v>
      </c>
      <c r="E79" s="23" t="s">
        <v>647</v>
      </c>
      <c r="F79" s="23" t="s">
        <v>40</v>
      </c>
      <c r="G79" s="23" t="s">
        <v>864</v>
      </c>
      <c r="H79" s="23" t="s">
        <v>865</v>
      </c>
      <c r="I79" s="23" t="s">
        <v>866</v>
      </c>
      <c r="J79" s="23" t="s">
        <v>395</v>
      </c>
      <c r="K79" s="24" t="s">
        <v>386</v>
      </c>
      <c r="L79" s="23" t="s">
        <v>405</v>
      </c>
      <c r="M79" s="25" t="s">
        <v>18</v>
      </c>
      <c r="N79" s="23" t="s">
        <v>40</v>
      </c>
      <c r="O79" s="23" t="s">
        <v>387</v>
      </c>
      <c r="P79" s="23" t="s">
        <v>40</v>
      </c>
      <c r="Q79" s="23" t="s">
        <v>40</v>
      </c>
      <c r="R79" s="23" t="s">
        <v>40</v>
      </c>
      <c r="S79" s="23" t="s">
        <v>40</v>
      </c>
      <c r="T79" s="23" t="s">
        <v>40</v>
      </c>
    </row>
    <row r="80" spans="1:20" x14ac:dyDescent="0.25">
      <c r="A80" s="23" t="s">
        <v>867</v>
      </c>
      <c r="B80" s="23" t="s">
        <v>821</v>
      </c>
      <c r="C80" s="23" t="s">
        <v>847</v>
      </c>
      <c r="D80" s="23" t="s">
        <v>868</v>
      </c>
      <c r="E80" s="23" t="s">
        <v>869</v>
      </c>
      <c r="F80" s="23" t="s">
        <v>40</v>
      </c>
      <c r="G80" s="23" t="s">
        <v>870</v>
      </c>
      <c r="H80" s="23" t="s">
        <v>871</v>
      </c>
      <c r="I80" s="23" t="s">
        <v>872</v>
      </c>
      <c r="J80" s="23" t="s">
        <v>395</v>
      </c>
      <c r="K80" s="26" t="s">
        <v>396</v>
      </c>
      <c r="L80" s="23" t="s">
        <v>13</v>
      </c>
      <c r="M80" s="25" t="s">
        <v>18</v>
      </c>
      <c r="N80" s="23" t="s">
        <v>40</v>
      </c>
      <c r="O80" s="23" t="s">
        <v>387</v>
      </c>
      <c r="P80" s="23" t="s">
        <v>40</v>
      </c>
      <c r="Q80" s="23" t="s">
        <v>40</v>
      </c>
      <c r="R80" s="23" t="s">
        <v>40</v>
      </c>
      <c r="S80" s="23" t="s">
        <v>40</v>
      </c>
      <c r="T80" s="23" t="s">
        <v>40</v>
      </c>
    </row>
    <row r="81" spans="1:20" x14ac:dyDescent="0.25">
      <c r="A81" s="23" t="s">
        <v>873</v>
      </c>
      <c r="B81" s="23" t="s">
        <v>821</v>
      </c>
      <c r="C81" s="23" t="s">
        <v>847</v>
      </c>
      <c r="D81" s="23" t="s">
        <v>874</v>
      </c>
      <c r="E81" s="23" t="s">
        <v>647</v>
      </c>
      <c r="F81" s="23" t="s">
        <v>40</v>
      </c>
      <c r="G81" s="23" t="s">
        <v>875</v>
      </c>
      <c r="H81" s="23" t="s">
        <v>876</v>
      </c>
      <c r="I81" s="23" t="s">
        <v>877</v>
      </c>
      <c r="J81" s="23" t="s">
        <v>395</v>
      </c>
      <c r="K81" s="24" t="s">
        <v>386</v>
      </c>
      <c r="L81" s="23" t="s">
        <v>405</v>
      </c>
      <c r="M81" s="25" t="s">
        <v>18</v>
      </c>
      <c r="N81" s="23" t="s">
        <v>40</v>
      </c>
      <c r="O81" s="23" t="s">
        <v>387</v>
      </c>
      <c r="P81" s="23" t="s">
        <v>40</v>
      </c>
      <c r="Q81" s="23" t="s">
        <v>40</v>
      </c>
      <c r="R81" s="23" t="s">
        <v>40</v>
      </c>
      <c r="S81" s="23" t="s">
        <v>40</v>
      </c>
      <c r="T81" s="23" t="s">
        <v>627</v>
      </c>
    </row>
    <row r="82" spans="1:20" x14ac:dyDescent="0.25">
      <c r="A82" s="23" t="s">
        <v>878</v>
      </c>
      <c r="B82" s="23" t="s">
        <v>821</v>
      </c>
      <c r="C82" s="23" t="s">
        <v>879</v>
      </c>
      <c r="D82" s="23" t="s">
        <v>880</v>
      </c>
      <c r="E82" s="23" t="s">
        <v>881</v>
      </c>
      <c r="F82" s="23" t="s">
        <v>40</v>
      </c>
      <c r="G82" s="23" t="s">
        <v>882</v>
      </c>
      <c r="H82" s="23" t="s">
        <v>883</v>
      </c>
      <c r="I82" s="23" t="s">
        <v>884</v>
      </c>
      <c r="J82" s="23" t="s">
        <v>525</v>
      </c>
      <c r="K82" s="24" t="s">
        <v>386</v>
      </c>
      <c r="L82" s="23" t="s">
        <v>13</v>
      </c>
      <c r="M82" s="25" t="s">
        <v>18</v>
      </c>
      <c r="N82" s="23" t="s">
        <v>40</v>
      </c>
      <c r="O82" s="23" t="s">
        <v>387</v>
      </c>
      <c r="P82" s="23" t="s">
        <v>40</v>
      </c>
      <c r="Q82" s="23" t="s">
        <v>40</v>
      </c>
      <c r="R82" s="23" t="s">
        <v>40</v>
      </c>
      <c r="S82" s="23" t="s">
        <v>40</v>
      </c>
      <c r="T82" s="23" t="s">
        <v>40</v>
      </c>
    </row>
    <row r="83" spans="1:20" x14ac:dyDescent="0.25">
      <c r="A83" s="23" t="s">
        <v>885</v>
      </c>
      <c r="B83" s="23" t="s">
        <v>886</v>
      </c>
      <c r="C83" s="23" t="s">
        <v>887</v>
      </c>
      <c r="D83" s="23" t="s">
        <v>888</v>
      </c>
      <c r="E83" s="23" t="s">
        <v>381</v>
      </c>
      <c r="F83" s="23" t="s">
        <v>40</v>
      </c>
      <c r="G83" s="23" t="s">
        <v>889</v>
      </c>
      <c r="H83" s="23" t="s">
        <v>890</v>
      </c>
      <c r="I83" s="23" t="s">
        <v>891</v>
      </c>
      <c r="J83" s="23" t="s">
        <v>395</v>
      </c>
      <c r="K83" s="26" t="s">
        <v>396</v>
      </c>
      <c r="L83" s="23" t="s">
        <v>13</v>
      </c>
      <c r="M83" s="25" t="s">
        <v>18</v>
      </c>
      <c r="N83" s="23" t="s">
        <v>40</v>
      </c>
      <c r="O83" s="23" t="s">
        <v>387</v>
      </c>
      <c r="P83" s="23" t="s">
        <v>40</v>
      </c>
      <c r="Q83" s="23" t="s">
        <v>40</v>
      </c>
      <c r="R83" s="23" t="s">
        <v>40</v>
      </c>
      <c r="S83" s="23" t="s">
        <v>40</v>
      </c>
      <c r="T83" s="23" t="s">
        <v>40</v>
      </c>
    </row>
    <row r="84" spans="1:20" x14ac:dyDescent="0.25">
      <c r="A84" s="23" t="s">
        <v>892</v>
      </c>
      <c r="B84" s="23" t="s">
        <v>886</v>
      </c>
      <c r="C84" s="23" t="s">
        <v>887</v>
      </c>
      <c r="D84" s="23" t="s">
        <v>893</v>
      </c>
      <c r="E84" s="23" t="s">
        <v>381</v>
      </c>
      <c r="F84" s="23" t="s">
        <v>40</v>
      </c>
      <c r="G84" s="23" t="s">
        <v>894</v>
      </c>
      <c r="H84" s="23" t="s">
        <v>895</v>
      </c>
      <c r="I84" s="23" t="s">
        <v>896</v>
      </c>
      <c r="J84" s="23" t="s">
        <v>395</v>
      </c>
      <c r="K84" s="26" t="s">
        <v>396</v>
      </c>
      <c r="L84" s="23" t="s">
        <v>13</v>
      </c>
      <c r="M84" s="25" t="s">
        <v>18</v>
      </c>
      <c r="N84" s="23" t="s">
        <v>40</v>
      </c>
      <c r="O84" s="23" t="s">
        <v>387</v>
      </c>
      <c r="P84" s="23" t="s">
        <v>40</v>
      </c>
      <c r="Q84" s="23" t="s">
        <v>40</v>
      </c>
      <c r="R84" s="23" t="s">
        <v>40</v>
      </c>
      <c r="S84" s="23" t="s">
        <v>40</v>
      </c>
      <c r="T84" s="23" t="s">
        <v>40</v>
      </c>
    </row>
    <row r="85" spans="1:20" x14ac:dyDescent="0.25">
      <c r="A85" s="23" t="s">
        <v>897</v>
      </c>
      <c r="B85" s="23" t="s">
        <v>886</v>
      </c>
      <c r="C85" s="23" t="s">
        <v>887</v>
      </c>
      <c r="D85" s="23" t="s">
        <v>898</v>
      </c>
      <c r="E85" s="23" t="s">
        <v>381</v>
      </c>
      <c r="F85" s="23" t="s">
        <v>40</v>
      </c>
      <c r="G85" s="23" t="s">
        <v>899</v>
      </c>
      <c r="H85" s="23" t="s">
        <v>900</v>
      </c>
      <c r="I85" s="23" t="s">
        <v>901</v>
      </c>
      <c r="J85" s="23" t="s">
        <v>395</v>
      </c>
      <c r="K85" s="26" t="s">
        <v>396</v>
      </c>
      <c r="L85" s="23" t="s">
        <v>13</v>
      </c>
      <c r="M85" s="25" t="s">
        <v>18</v>
      </c>
      <c r="N85" s="23" t="s">
        <v>40</v>
      </c>
      <c r="O85" s="23" t="s">
        <v>387</v>
      </c>
      <c r="P85" s="23" t="s">
        <v>40</v>
      </c>
      <c r="Q85" s="23" t="s">
        <v>40</v>
      </c>
      <c r="R85" s="23" t="s">
        <v>40</v>
      </c>
      <c r="S85" s="23" t="s">
        <v>40</v>
      </c>
      <c r="T85" s="23" t="s">
        <v>40</v>
      </c>
    </row>
    <row r="86" spans="1:20" x14ac:dyDescent="0.25">
      <c r="A86" s="23" t="s">
        <v>902</v>
      </c>
      <c r="B86" s="23" t="s">
        <v>886</v>
      </c>
      <c r="C86" s="23" t="s">
        <v>887</v>
      </c>
      <c r="D86" s="23" t="s">
        <v>903</v>
      </c>
      <c r="E86" s="23" t="s">
        <v>904</v>
      </c>
      <c r="F86" s="23" t="s">
        <v>40</v>
      </c>
      <c r="G86" s="23" t="s">
        <v>905</v>
      </c>
      <c r="H86" s="23" t="s">
        <v>906</v>
      </c>
      <c r="I86" s="23" t="s">
        <v>907</v>
      </c>
      <c r="J86" s="23" t="s">
        <v>14</v>
      </c>
      <c r="K86" s="24" t="s">
        <v>386</v>
      </c>
      <c r="L86" s="23" t="s">
        <v>405</v>
      </c>
      <c r="M86" s="28" t="s">
        <v>16</v>
      </c>
      <c r="N86" s="23" t="s">
        <v>908</v>
      </c>
      <c r="O86" s="29" t="s">
        <v>87</v>
      </c>
      <c r="P86" s="23" t="s">
        <v>40</v>
      </c>
      <c r="Q86" s="23" t="s">
        <v>40</v>
      </c>
      <c r="R86" s="23" t="s">
        <v>40</v>
      </c>
      <c r="S86" s="23" t="s">
        <v>40</v>
      </c>
      <c r="T86" s="23" t="s">
        <v>40</v>
      </c>
    </row>
    <row r="87" spans="1:20" x14ac:dyDescent="0.25">
      <c r="A87" s="23" t="s">
        <v>909</v>
      </c>
      <c r="B87" s="23" t="s">
        <v>886</v>
      </c>
      <c r="C87" s="23" t="s">
        <v>910</v>
      </c>
      <c r="D87" s="23" t="s">
        <v>911</v>
      </c>
      <c r="E87" s="23" t="s">
        <v>589</v>
      </c>
      <c r="F87" s="23" t="s">
        <v>40</v>
      </c>
      <c r="G87" s="23" t="s">
        <v>912</v>
      </c>
      <c r="H87" s="23" t="s">
        <v>913</v>
      </c>
      <c r="I87" s="23" t="s">
        <v>914</v>
      </c>
      <c r="J87" s="23" t="s">
        <v>15</v>
      </c>
      <c r="K87" s="27" t="s">
        <v>404</v>
      </c>
      <c r="L87" s="23" t="s">
        <v>490</v>
      </c>
      <c r="M87" s="25" t="s">
        <v>18</v>
      </c>
      <c r="N87" s="23" t="s">
        <v>40</v>
      </c>
      <c r="O87" s="23" t="s">
        <v>387</v>
      </c>
      <c r="P87" s="23" t="s">
        <v>40</v>
      </c>
      <c r="Q87" s="23" t="s">
        <v>40</v>
      </c>
      <c r="R87" s="23" t="s">
        <v>40</v>
      </c>
      <c r="S87" s="23" t="s">
        <v>40</v>
      </c>
      <c r="T87" s="23" t="s">
        <v>40</v>
      </c>
    </row>
    <row r="88" spans="1:20" x14ac:dyDescent="0.25">
      <c r="A88" s="23" t="s">
        <v>915</v>
      </c>
      <c r="B88" s="23" t="s">
        <v>886</v>
      </c>
      <c r="C88" s="23" t="s">
        <v>910</v>
      </c>
      <c r="D88" s="23" t="s">
        <v>916</v>
      </c>
      <c r="E88" s="23" t="s">
        <v>589</v>
      </c>
      <c r="F88" s="23" t="s">
        <v>40</v>
      </c>
      <c r="G88" s="23" t="s">
        <v>917</v>
      </c>
      <c r="H88" s="23" t="s">
        <v>918</v>
      </c>
      <c r="I88" s="23" t="s">
        <v>919</v>
      </c>
      <c r="J88" s="23" t="s">
        <v>15</v>
      </c>
      <c r="K88" s="27" t="s">
        <v>404</v>
      </c>
      <c r="L88" s="23" t="s">
        <v>405</v>
      </c>
      <c r="M88" s="25" t="s">
        <v>18</v>
      </c>
      <c r="N88" s="23" t="s">
        <v>40</v>
      </c>
      <c r="O88" s="23" t="s">
        <v>387</v>
      </c>
      <c r="P88" s="23" t="s">
        <v>40</v>
      </c>
      <c r="Q88" s="23" t="s">
        <v>40</v>
      </c>
      <c r="R88" s="23" t="s">
        <v>40</v>
      </c>
      <c r="S88" s="23" t="s">
        <v>40</v>
      </c>
      <c r="T88" s="23" t="s">
        <v>40</v>
      </c>
    </row>
    <row r="89" spans="1:20" x14ac:dyDescent="0.25">
      <c r="A89" s="23" t="s">
        <v>920</v>
      </c>
      <c r="B89" s="23" t="s">
        <v>921</v>
      </c>
      <c r="C89" s="23" t="s">
        <v>922</v>
      </c>
      <c r="D89" s="23" t="s">
        <v>923</v>
      </c>
      <c r="E89" s="23" t="s">
        <v>589</v>
      </c>
      <c r="F89" s="23" t="s">
        <v>40</v>
      </c>
      <c r="G89" s="23" t="s">
        <v>924</v>
      </c>
      <c r="H89" s="23" t="s">
        <v>925</v>
      </c>
      <c r="I89" s="23" t="s">
        <v>926</v>
      </c>
      <c r="J89" s="23" t="s">
        <v>14</v>
      </c>
      <c r="K89" s="24" t="s">
        <v>386</v>
      </c>
      <c r="L89" s="23" t="s">
        <v>405</v>
      </c>
      <c r="M89" s="25" t="s">
        <v>18</v>
      </c>
      <c r="N89" s="23" t="s">
        <v>40</v>
      </c>
      <c r="O89" s="23" t="s">
        <v>387</v>
      </c>
      <c r="P89" s="23" t="s">
        <v>40</v>
      </c>
      <c r="Q89" s="23" t="s">
        <v>40</v>
      </c>
      <c r="R89" s="23" t="s">
        <v>40</v>
      </c>
      <c r="S89" s="23" t="s">
        <v>40</v>
      </c>
      <c r="T89" s="23" t="s">
        <v>40</v>
      </c>
    </row>
    <row r="90" spans="1:20" x14ac:dyDescent="0.25">
      <c r="A90" s="23" t="s">
        <v>927</v>
      </c>
      <c r="B90" s="23" t="s">
        <v>921</v>
      </c>
      <c r="C90" s="23" t="s">
        <v>922</v>
      </c>
      <c r="D90" s="23" t="s">
        <v>928</v>
      </c>
      <c r="E90" s="23" t="s">
        <v>589</v>
      </c>
      <c r="F90" s="23" t="s">
        <v>40</v>
      </c>
      <c r="G90" s="23" t="s">
        <v>929</v>
      </c>
      <c r="H90" s="23" t="s">
        <v>930</v>
      </c>
      <c r="I90" s="23" t="s">
        <v>931</v>
      </c>
      <c r="J90" s="23" t="s">
        <v>15</v>
      </c>
      <c r="K90" s="24" t="s">
        <v>386</v>
      </c>
      <c r="L90" s="23" t="s">
        <v>13</v>
      </c>
      <c r="M90" s="25" t="s">
        <v>18</v>
      </c>
      <c r="N90" s="23" t="s">
        <v>40</v>
      </c>
      <c r="O90" s="23" t="s">
        <v>387</v>
      </c>
      <c r="P90" s="23" t="s">
        <v>40</v>
      </c>
      <c r="Q90" s="23" t="s">
        <v>40</v>
      </c>
      <c r="R90" s="23" t="s">
        <v>40</v>
      </c>
      <c r="S90" s="23" t="s">
        <v>40</v>
      </c>
      <c r="T90" s="23" t="s">
        <v>40</v>
      </c>
    </row>
    <row r="91" spans="1:20" x14ac:dyDescent="0.25">
      <c r="A91" s="23" t="s">
        <v>932</v>
      </c>
      <c r="B91" s="23" t="s">
        <v>921</v>
      </c>
      <c r="C91" s="23" t="s">
        <v>933</v>
      </c>
      <c r="D91" s="23" t="s">
        <v>934</v>
      </c>
      <c r="E91" s="23" t="s">
        <v>589</v>
      </c>
      <c r="F91" s="23" t="s">
        <v>40</v>
      </c>
      <c r="G91" s="23" t="s">
        <v>935</v>
      </c>
      <c r="H91" s="23" t="s">
        <v>936</v>
      </c>
      <c r="I91" s="23" t="s">
        <v>937</v>
      </c>
      <c r="J91" s="23" t="s">
        <v>14</v>
      </c>
      <c r="K91" s="24" t="s">
        <v>386</v>
      </c>
      <c r="L91" s="23" t="s">
        <v>405</v>
      </c>
      <c r="M91" s="25" t="s">
        <v>18</v>
      </c>
      <c r="N91" s="23" t="s">
        <v>40</v>
      </c>
      <c r="O91" s="23" t="s">
        <v>387</v>
      </c>
      <c r="P91" s="23" t="s">
        <v>40</v>
      </c>
      <c r="Q91" s="23" t="s">
        <v>40</v>
      </c>
      <c r="R91" s="23" t="s">
        <v>40</v>
      </c>
      <c r="S91" s="23" t="s">
        <v>40</v>
      </c>
      <c r="T91" s="23" t="s">
        <v>40</v>
      </c>
    </row>
    <row r="92" spans="1:20" x14ac:dyDescent="0.25">
      <c r="A92" s="23" t="s">
        <v>938</v>
      </c>
      <c r="B92" s="23" t="s">
        <v>921</v>
      </c>
      <c r="C92" s="23" t="s">
        <v>933</v>
      </c>
      <c r="D92" s="23" t="s">
        <v>939</v>
      </c>
      <c r="E92" s="23" t="s">
        <v>589</v>
      </c>
      <c r="F92" s="23" t="s">
        <v>40</v>
      </c>
      <c r="G92" s="23" t="s">
        <v>940</v>
      </c>
      <c r="H92" s="23" t="s">
        <v>941</v>
      </c>
      <c r="I92" s="23" t="s">
        <v>942</v>
      </c>
      <c r="J92" s="23" t="s">
        <v>15</v>
      </c>
      <c r="K92" s="27" t="s">
        <v>404</v>
      </c>
      <c r="L92" s="23" t="s">
        <v>405</v>
      </c>
      <c r="M92" s="25" t="s">
        <v>18</v>
      </c>
      <c r="N92" s="23" t="s">
        <v>40</v>
      </c>
      <c r="O92" s="23" t="s">
        <v>387</v>
      </c>
      <c r="P92" s="23" t="s">
        <v>40</v>
      </c>
      <c r="Q92" s="23" t="s">
        <v>40</v>
      </c>
      <c r="R92" s="23" t="s">
        <v>40</v>
      </c>
      <c r="S92" s="23" t="s">
        <v>40</v>
      </c>
      <c r="T92" s="23" t="s">
        <v>40</v>
      </c>
    </row>
  </sheetData>
  <autoFilter ref="A1:T92"/>
  <dataValidations count="2">
    <dataValidation type="list" allowBlank="1" sqref="O10:O92">
      <formula1>"Passed,Failed,Blocked,Not Executed,Passed (19 Oct 2026)"</formula1>
    </dataValidation>
    <dataValidation type="list" allowBlank="1" sqref="O2:O92">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5"/>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943</v>
      </c>
      <c r="B2" s="23" t="s">
        <v>83</v>
      </c>
      <c r="C2" s="23" t="s">
        <v>944</v>
      </c>
      <c r="D2" s="23" t="s">
        <v>945</v>
      </c>
      <c r="E2" s="23" t="s">
        <v>589</v>
      </c>
      <c r="F2" s="23" t="s">
        <v>40</v>
      </c>
      <c r="G2" s="23" t="s">
        <v>946</v>
      </c>
      <c r="H2" s="23" t="s">
        <v>947</v>
      </c>
      <c r="I2" s="23" t="s">
        <v>948</v>
      </c>
      <c r="J2" s="23" t="s">
        <v>385</v>
      </c>
      <c r="K2" s="24" t="s">
        <v>386</v>
      </c>
      <c r="L2" s="23" t="s">
        <v>13</v>
      </c>
      <c r="M2" s="31" t="s">
        <v>17</v>
      </c>
      <c r="N2" s="23" t="s">
        <v>949</v>
      </c>
      <c r="O2" s="29" t="s">
        <v>87</v>
      </c>
      <c r="P2" s="23" t="s">
        <v>40</v>
      </c>
      <c r="Q2" s="23" t="s">
        <v>40</v>
      </c>
      <c r="R2" s="23" t="s">
        <v>84</v>
      </c>
      <c r="S2" s="23" t="s">
        <v>40</v>
      </c>
      <c r="T2" s="23" t="s">
        <v>40</v>
      </c>
    </row>
    <row r="3" spans="1:20" x14ac:dyDescent="0.25">
      <c r="A3" s="23" t="s">
        <v>950</v>
      </c>
      <c r="B3" s="23" t="s">
        <v>83</v>
      </c>
      <c r="C3" s="23" t="s">
        <v>951</v>
      </c>
      <c r="D3" s="23" t="s">
        <v>952</v>
      </c>
      <c r="E3" s="23" t="s">
        <v>589</v>
      </c>
      <c r="F3" s="23" t="s">
        <v>40</v>
      </c>
      <c r="G3" s="23" t="s">
        <v>953</v>
      </c>
      <c r="H3" s="23" t="s">
        <v>954</v>
      </c>
      <c r="I3" s="23" t="s">
        <v>955</v>
      </c>
      <c r="J3" s="23" t="s">
        <v>14</v>
      </c>
      <c r="K3" s="27" t="s">
        <v>404</v>
      </c>
      <c r="L3" s="23" t="s">
        <v>490</v>
      </c>
      <c r="M3" s="25" t="s">
        <v>18</v>
      </c>
      <c r="N3" s="23" t="s">
        <v>40</v>
      </c>
      <c r="O3" s="23" t="s">
        <v>387</v>
      </c>
      <c r="P3" s="23" t="s">
        <v>40</v>
      </c>
      <c r="Q3" s="23" t="s">
        <v>40</v>
      </c>
      <c r="R3" s="23" t="s">
        <v>84</v>
      </c>
      <c r="S3" s="23" t="s">
        <v>40</v>
      </c>
      <c r="T3" s="23" t="s">
        <v>956</v>
      </c>
    </row>
    <row r="4" spans="1:20" x14ac:dyDescent="0.25">
      <c r="A4" s="23" t="s">
        <v>957</v>
      </c>
      <c r="B4" s="23" t="s">
        <v>83</v>
      </c>
      <c r="C4" s="23" t="s">
        <v>951</v>
      </c>
      <c r="D4" s="23" t="s">
        <v>958</v>
      </c>
      <c r="E4" s="23" t="s">
        <v>589</v>
      </c>
      <c r="F4" s="23" t="s">
        <v>40</v>
      </c>
      <c r="G4" s="23" t="s">
        <v>959</v>
      </c>
      <c r="H4" s="23" t="s">
        <v>960</v>
      </c>
      <c r="I4" s="23" t="s">
        <v>961</v>
      </c>
      <c r="J4" s="23" t="s">
        <v>14</v>
      </c>
      <c r="K4" s="24" t="s">
        <v>386</v>
      </c>
      <c r="L4" s="23" t="s">
        <v>405</v>
      </c>
      <c r="M4" s="25" t="s">
        <v>18</v>
      </c>
      <c r="N4" s="23" t="s">
        <v>40</v>
      </c>
      <c r="O4" s="23" t="s">
        <v>387</v>
      </c>
      <c r="P4" s="23" t="s">
        <v>40</v>
      </c>
      <c r="Q4" s="23" t="s">
        <v>40</v>
      </c>
      <c r="R4" s="23" t="s">
        <v>84</v>
      </c>
      <c r="S4" s="23" t="s">
        <v>40</v>
      </c>
      <c r="T4" s="23" t="s">
        <v>956</v>
      </c>
    </row>
    <row r="5" spans="1:20" x14ac:dyDescent="0.25">
      <c r="A5" s="23" t="s">
        <v>962</v>
      </c>
      <c r="B5" s="23" t="s">
        <v>83</v>
      </c>
      <c r="C5" s="23" t="s">
        <v>963</v>
      </c>
      <c r="D5" s="23" t="s">
        <v>964</v>
      </c>
      <c r="E5" s="23" t="s">
        <v>965</v>
      </c>
      <c r="F5" s="23" t="s">
        <v>966</v>
      </c>
      <c r="G5" s="23" t="s">
        <v>967</v>
      </c>
      <c r="H5" s="23" t="s">
        <v>968</v>
      </c>
      <c r="I5" s="23" t="s">
        <v>969</v>
      </c>
      <c r="J5" s="23" t="s">
        <v>14</v>
      </c>
      <c r="K5" s="26" t="s">
        <v>396</v>
      </c>
      <c r="L5" s="23" t="s">
        <v>13</v>
      </c>
      <c r="M5" s="25" t="s">
        <v>18</v>
      </c>
      <c r="N5" s="23" t="s">
        <v>40</v>
      </c>
      <c r="O5" s="23" t="s">
        <v>387</v>
      </c>
      <c r="P5" s="23" t="s">
        <v>40</v>
      </c>
      <c r="Q5" s="23" t="s">
        <v>40</v>
      </c>
      <c r="R5" s="23" t="s">
        <v>84</v>
      </c>
      <c r="S5" s="23" t="s">
        <v>40</v>
      </c>
      <c r="T5" s="23" t="s">
        <v>970</v>
      </c>
    </row>
    <row r="6" spans="1:20" x14ac:dyDescent="0.25">
      <c r="A6" s="23" t="s">
        <v>971</v>
      </c>
      <c r="B6" s="23" t="s">
        <v>83</v>
      </c>
      <c r="C6" s="23" t="s">
        <v>963</v>
      </c>
      <c r="D6" s="23" t="s">
        <v>972</v>
      </c>
      <c r="E6" s="23" t="s">
        <v>589</v>
      </c>
      <c r="F6" s="23" t="s">
        <v>973</v>
      </c>
      <c r="G6" s="23" t="s">
        <v>974</v>
      </c>
      <c r="H6" s="23" t="s">
        <v>975</v>
      </c>
      <c r="I6" s="23" t="s">
        <v>976</v>
      </c>
      <c r="J6" s="23" t="s">
        <v>14</v>
      </c>
      <c r="K6" s="26" t="s">
        <v>396</v>
      </c>
      <c r="L6" s="23" t="s">
        <v>13</v>
      </c>
      <c r="M6" s="28" t="s">
        <v>16</v>
      </c>
      <c r="N6" s="23" t="s">
        <v>977</v>
      </c>
      <c r="O6" s="29" t="s">
        <v>87</v>
      </c>
      <c r="P6" s="23" t="s">
        <v>40</v>
      </c>
      <c r="Q6" s="23" t="s">
        <v>40</v>
      </c>
      <c r="R6" s="23" t="s">
        <v>84</v>
      </c>
      <c r="S6" s="23" t="s">
        <v>40</v>
      </c>
      <c r="T6" s="23" t="s">
        <v>970</v>
      </c>
    </row>
    <row r="7" spans="1:20" x14ac:dyDescent="0.25">
      <c r="A7" s="23" t="s">
        <v>978</v>
      </c>
      <c r="B7" s="23" t="s">
        <v>83</v>
      </c>
      <c r="C7" s="23" t="s">
        <v>963</v>
      </c>
      <c r="D7" s="23" t="s">
        <v>979</v>
      </c>
      <c r="E7" s="23" t="s">
        <v>589</v>
      </c>
      <c r="F7" s="23" t="s">
        <v>40</v>
      </c>
      <c r="G7" s="23" t="s">
        <v>980</v>
      </c>
      <c r="H7" s="23" t="s">
        <v>981</v>
      </c>
      <c r="I7" s="23" t="s">
        <v>982</v>
      </c>
      <c r="J7" s="23" t="s">
        <v>14</v>
      </c>
      <c r="K7" s="24" t="s">
        <v>386</v>
      </c>
      <c r="L7" s="23" t="s">
        <v>405</v>
      </c>
      <c r="M7" s="25" t="s">
        <v>18</v>
      </c>
      <c r="N7" s="23" t="s">
        <v>40</v>
      </c>
      <c r="O7" s="23" t="s">
        <v>387</v>
      </c>
      <c r="P7" s="23" t="s">
        <v>40</v>
      </c>
      <c r="Q7" s="23" t="s">
        <v>40</v>
      </c>
      <c r="R7" s="23" t="s">
        <v>84</v>
      </c>
      <c r="S7" s="23" t="s">
        <v>40</v>
      </c>
      <c r="T7" s="23" t="s">
        <v>970</v>
      </c>
    </row>
    <row r="8" spans="1:20" x14ac:dyDescent="0.25">
      <c r="A8" s="23" t="s">
        <v>983</v>
      </c>
      <c r="B8" s="23" t="s">
        <v>83</v>
      </c>
      <c r="C8" s="23" t="s">
        <v>963</v>
      </c>
      <c r="D8" s="23" t="s">
        <v>984</v>
      </c>
      <c r="E8" s="23" t="s">
        <v>589</v>
      </c>
      <c r="F8" s="23" t="s">
        <v>40</v>
      </c>
      <c r="G8" s="23" t="s">
        <v>985</v>
      </c>
      <c r="H8" s="23" t="s">
        <v>986</v>
      </c>
      <c r="I8" s="23" t="s">
        <v>987</v>
      </c>
      <c r="J8" s="23" t="s">
        <v>15</v>
      </c>
      <c r="K8" s="27" t="s">
        <v>404</v>
      </c>
      <c r="L8" s="23" t="s">
        <v>490</v>
      </c>
      <c r="M8" s="25" t="s">
        <v>18</v>
      </c>
      <c r="N8" s="23" t="s">
        <v>40</v>
      </c>
      <c r="O8" s="23" t="s">
        <v>387</v>
      </c>
      <c r="P8" s="23" t="s">
        <v>40</v>
      </c>
      <c r="Q8" s="23" t="s">
        <v>40</v>
      </c>
      <c r="R8" s="23" t="s">
        <v>84</v>
      </c>
      <c r="S8" s="23" t="s">
        <v>40</v>
      </c>
      <c r="T8" s="23" t="s">
        <v>40</v>
      </c>
    </row>
    <row r="9" spans="1:20" x14ac:dyDescent="0.25">
      <c r="A9" s="23" t="s">
        <v>988</v>
      </c>
      <c r="B9" s="23" t="s">
        <v>83</v>
      </c>
      <c r="C9" s="23" t="s">
        <v>989</v>
      </c>
      <c r="D9" s="23" t="s">
        <v>990</v>
      </c>
      <c r="E9" s="23" t="s">
        <v>589</v>
      </c>
      <c r="F9" s="23" t="s">
        <v>40</v>
      </c>
      <c r="G9" s="23" t="s">
        <v>991</v>
      </c>
      <c r="H9" s="23" t="s">
        <v>992</v>
      </c>
      <c r="I9" s="23" t="s">
        <v>993</v>
      </c>
      <c r="J9" s="23" t="s">
        <v>14</v>
      </c>
      <c r="K9" s="24" t="s">
        <v>386</v>
      </c>
      <c r="L9" s="23" t="s">
        <v>405</v>
      </c>
      <c r="M9" s="25" t="s">
        <v>18</v>
      </c>
      <c r="N9" s="23" t="s">
        <v>40</v>
      </c>
      <c r="O9" s="23" t="s">
        <v>387</v>
      </c>
      <c r="P9" s="23" t="s">
        <v>40</v>
      </c>
      <c r="Q9" s="23" t="s">
        <v>40</v>
      </c>
      <c r="R9" s="23" t="s">
        <v>84</v>
      </c>
      <c r="S9" s="23" t="s">
        <v>40</v>
      </c>
      <c r="T9" s="23" t="s">
        <v>994</v>
      </c>
    </row>
    <row r="10" spans="1:20" x14ac:dyDescent="0.25">
      <c r="A10" s="23" t="s">
        <v>995</v>
      </c>
      <c r="B10" s="23" t="s">
        <v>83</v>
      </c>
      <c r="C10" s="23" t="s">
        <v>989</v>
      </c>
      <c r="D10" s="23" t="s">
        <v>996</v>
      </c>
      <c r="E10" s="23" t="s">
        <v>589</v>
      </c>
      <c r="F10" s="23" t="s">
        <v>40</v>
      </c>
      <c r="G10" s="23" t="s">
        <v>997</v>
      </c>
      <c r="H10" s="23" t="s">
        <v>998</v>
      </c>
      <c r="I10" s="23" t="s">
        <v>999</v>
      </c>
      <c r="J10" s="23" t="s">
        <v>14</v>
      </c>
      <c r="K10" s="27" t="s">
        <v>404</v>
      </c>
      <c r="L10" s="23" t="s">
        <v>490</v>
      </c>
      <c r="M10" s="25" t="s">
        <v>18</v>
      </c>
      <c r="N10" s="23" t="s">
        <v>40</v>
      </c>
      <c r="O10" s="23" t="s">
        <v>387</v>
      </c>
      <c r="P10" s="23" t="s">
        <v>40</v>
      </c>
      <c r="Q10" s="23" t="s">
        <v>40</v>
      </c>
      <c r="R10" s="23" t="s">
        <v>84</v>
      </c>
      <c r="S10" s="23" t="s">
        <v>40</v>
      </c>
      <c r="T10" s="23" t="s">
        <v>994</v>
      </c>
    </row>
    <row r="11" spans="1:20" x14ac:dyDescent="0.25">
      <c r="A11" s="23" t="s">
        <v>1000</v>
      </c>
      <c r="B11" s="23" t="s">
        <v>83</v>
      </c>
      <c r="C11" s="23" t="s">
        <v>989</v>
      </c>
      <c r="D11" s="23" t="s">
        <v>1001</v>
      </c>
      <c r="E11" s="23" t="s">
        <v>1002</v>
      </c>
      <c r="F11" s="23" t="s">
        <v>40</v>
      </c>
      <c r="G11" s="23" t="s">
        <v>1003</v>
      </c>
      <c r="H11" s="23" t="s">
        <v>1004</v>
      </c>
      <c r="I11" s="23" t="s">
        <v>1005</v>
      </c>
      <c r="J11" s="23" t="s">
        <v>14</v>
      </c>
      <c r="K11" s="27" t="s">
        <v>404</v>
      </c>
      <c r="L11" s="23" t="s">
        <v>490</v>
      </c>
      <c r="M11" s="25" t="s">
        <v>18</v>
      </c>
      <c r="N11" s="23" t="s">
        <v>40</v>
      </c>
      <c r="O11" s="23" t="s">
        <v>387</v>
      </c>
      <c r="P11" s="23" t="s">
        <v>40</v>
      </c>
      <c r="Q11" s="23" t="s">
        <v>40</v>
      </c>
      <c r="R11" s="23" t="s">
        <v>84</v>
      </c>
      <c r="S11" s="23" t="s">
        <v>40</v>
      </c>
      <c r="T11" s="23" t="s">
        <v>40</v>
      </c>
    </row>
    <row r="12" spans="1:20" x14ac:dyDescent="0.25">
      <c r="A12" s="23" t="s">
        <v>1006</v>
      </c>
      <c r="B12" s="23" t="s">
        <v>83</v>
      </c>
      <c r="C12" s="23" t="s">
        <v>989</v>
      </c>
      <c r="D12" s="23" t="s">
        <v>1007</v>
      </c>
      <c r="E12" s="23" t="s">
        <v>589</v>
      </c>
      <c r="F12" s="23" t="s">
        <v>40</v>
      </c>
      <c r="G12" s="23" t="s">
        <v>1008</v>
      </c>
      <c r="H12" s="23" t="s">
        <v>1009</v>
      </c>
      <c r="I12" s="23" t="s">
        <v>1010</v>
      </c>
      <c r="J12" s="23" t="s">
        <v>15</v>
      </c>
      <c r="K12" s="27" t="s">
        <v>404</v>
      </c>
      <c r="L12" s="23" t="s">
        <v>490</v>
      </c>
      <c r="M12" s="25" t="s">
        <v>18</v>
      </c>
      <c r="N12" s="23" t="s">
        <v>40</v>
      </c>
      <c r="O12" s="23" t="s">
        <v>387</v>
      </c>
      <c r="P12" s="23" t="s">
        <v>40</v>
      </c>
      <c r="Q12" s="23" t="s">
        <v>40</v>
      </c>
      <c r="R12" s="23" t="s">
        <v>84</v>
      </c>
      <c r="S12" s="23" t="s">
        <v>40</v>
      </c>
      <c r="T12" s="23" t="s">
        <v>40</v>
      </c>
    </row>
    <row r="13" spans="1:20" x14ac:dyDescent="0.25">
      <c r="A13" s="23" t="s">
        <v>1011</v>
      </c>
      <c r="B13" s="23" t="s">
        <v>83</v>
      </c>
      <c r="C13" s="23" t="s">
        <v>1012</v>
      </c>
      <c r="D13" s="23" t="s">
        <v>1013</v>
      </c>
      <c r="E13" s="23" t="s">
        <v>1014</v>
      </c>
      <c r="F13" s="23" t="s">
        <v>40</v>
      </c>
      <c r="G13" s="23" t="s">
        <v>1015</v>
      </c>
      <c r="H13" s="23" t="s">
        <v>1016</v>
      </c>
      <c r="I13" s="23" t="s">
        <v>1017</v>
      </c>
      <c r="J13" s="23" t="s">
        <v>14</v>
      </c>
      <c r="K13" s="24" t="s">
        <v>386</v>
      </c>
      <c r="L13" s="23" t="s">
        <v>405</v>
      </c>
      <c r="M13" s="25" t="s">
        <v>18</v>
      </c>
      <c r="N13" s="23" t="s">
        <v>40</v>
      </c>
      <c r="O13" s="23" t="s">
        <v>387</v>
      </c>
      <c r="P13" s="23" t="s">
        <v>40</v>
      </c>
      <c r="Q13" s="23" t="s">
        <v>40</v>
      </c>
      <c r="R13" s="23" t="s">
        <v>84</v>
      </c>
      <c r="S13" s="23" t="s">
        <v>40</v>
      </c>
      <c r="T13" s="23" t="s">
        <v>1018</v>
      </c>
    </row>
    <row r="14" spans="1:20" x14ac:dyDescent="0.25">
      <c r="A14" s="23" t="s">
        <v>1019</v>
      </c>
      <c r="B14" s="23" t="s">
        <v>83</v>
      </c>
      <c r="C14" s="23" t="s">
        <v>1020</v>
      </c>
      <c r="D14" s="23" t="s">
        <v>1021</v>
      </c>
      <c r="E14" s="23" t="s">
        <v>1022</v>
      </c>
      <c r="F14" s="23" t="s">
        <v>40</v>
      </c>
      <c r="G14" s="23" t="s">
        <v>1023</v>
      </c>
      <c r="H14" s="23" t="s">
        <v>1024</v>
      </c>
      <c r="I14" s="23" t="s">
        <v>1025</v>
      </c>
      <c r="J14" s="23" t="s">
        <v>14</v>
      </c>
      <c r="K14" s="24" t="s">
        <v>386</v>
      </c>
      <c r="L14" s="23" t="s">
        <v>405</v>
      </c>
      <c r="M14" s="25" t="s">
        <v>18</v>
      </c>
      <c r="N14" s="23" t="s">
        <v>40</v>
      </c>
      <c r="O14" s="23" t="s">
        <v>387</v>
      </c>
      <c r="P14" s="23" t="s">
        <v>40</v>
      </c>
      <c r="Q14" s="23" t="s">
        <v>40</v>
      </c>
      <c r="R14" s="23" t="s">
        <v>84</v>
      </c>
      <c r="S14" s="23" t="s">
        <v>40</v>
      </c>
      <c r="T14" s="23" t="s">
        <v>1026</v>
      </c>
    </row>
    <row r="15" spans="1:20" x14ac:dyDescent="0.25">
      <c r="A15" s="23" t="s">
        <v>1027</v>
      </c>
      <c r="B15" s="23" t="s">
        <v>83</v>
      </c>
      <c r="C15" s="23" t="s">
        <v>1028</v>
      </c>
      <c r="D15" s="23" t="s">
        <v>1029</v>
      </c>
      <c r="E15" s="23" t="s">
        <v>589</v>
      </c>
      <c r="F15" s="23" t="s">
        <v>40</v>
      </c>
      <c r="G15" s="23" t="s">
        <v>1030</v>
      </c>
      <c r="H15" s="23" t="s">
        <v>1031</v>
      </c>
      <c r="I15" s="23" t="s">
        <v>1032</v>
      </c>
      <c r="J15" s="23" t="s">
        <v>14</v>
      </c>
      <c r="K15" s="26" t="s">
        <v>396</v>
      </c>
      <c r="L15" s="23" t="s">
        <v>13</v>
      </c>
      <c r="M15" s="25" t="s">
        <v>18</v>
      </c>
      <c r="N15" s="23" t="s">
        <v>40</v>
      </c>
      <c r="O15" s="23" t="s">
        <v>387</v>
      </c>
      <c r="P15" s="23" t="s">
        <v>40</v>
      </c>
      <c r="Q15" s="23" t="s">
        <v>40</v>
      </c>
      <c r="R15" s="23" t="s">
        <v>84</v>
      </c>
      <c r="S15" s="23" t="s">
        <v>40</v>
      </c>
      <c r="T15" s="23" t="s">
        <v>40</v>
      </c>
    </row>
    <row r="16" spans="1:20" x14ac:dyDescent="0.25">
      <c r="A16" s="23" t="s">
        <v>1033</v>
      </c>
      <c r="B16" s="23" t="s">
        <v>83</v>
      </c>
      <c r="C16" s="23" t="s">
        <v>1028</v>
      </c>
      <c r="D16" s="23" t="s">
        <v>1034</v>
      </c>
      <c r="E16" s="23" t="s">
        <v>589</v>
      </c>
      <c r="F16" s="23" t="s">
        <v>40</v>
      </c>
      <c r="G16" s="23" t="s">
        <v>1035</v>
      </c>
      <c r="H16" s="23" t="s">
        <v>1036</v>
      </c>
      <c r="I16" s="23" t="s">
        <v>1037</v>
      </c>
      <c r="J16" s="23" t="s">
        <v>14</v>
      </c>
      <c r="K16" s="24" t="s">
        <v>386</v>
      </c>
      <c r="L16" s="23" t="s">
        <v>405</v>
      </c>
      <c r="M16" s="25" t="s">
        <v>18</v>
      </c>
      <c r="N16" s="23" t="s">
        <v>40</v>
      </c>
      <c r="O16" s="23" t="s">
        <v>387</v>
      </c>
      <c r="P16" s="23" t="s">
        <v>40</v>
      </c>
      <c r="Q16" s="23" t="s">
        <v>40</v>
      </c>
      <c r="R16" s="23" t="s">
        <v>84</v>
      </c>
      <c r="S16" s="23" t="s">
        <v>40</v>
      </c>
      <c r="T16" s="23" t="s">
        <v>40</v>
      </c>
    </row>
    <row r="17" spans="1:20" x14ac:dyDescent="0.25">
      <c r="A17" s="23" t="s">
        <v>1038</v>
      </c>
      <c r="B17" s="23" t="s">
        <v>83</v>
      </c>
      <c r="C17" s="23" t="s">
        <v>1028</v>
      </c>
      <c r="D17" s="23" t="s">
        <v>1039</v>
      </c>
      <c r="E17" s="23" t="s">
        <v>1040</v>
      </c>
      <c r="F17" s="23" t="s">
        <v>40</v>
      </c>
      <c r="G17" s="23" t="s">
        <v>1041</v>
      </c>
      <c r="H17" s="23" t="s">
        <v>1042</v>
      </c>
      <c r="I17" s="23" t="s">
        <v>1043</v>
      </c>
      <c r="J17" s="23" t="s">
        <v>15</v>
      </c>
      <c r="K17" s="24" t="s">
        <v>386</v>
      </c>
      <c r="L17" s="23" t="s">
        <v>13</v>
      </c>
      <c r="M17" s="25" t="s">
        <v>18</v>
      </c>
      <c r="N17" s="23" t="s">
        <v>40</v>
      </c>
      <c r="O17" s="23" t="s">
        <v>387</v>
      </c>
      <c r="P17" s="23" t="s">
        <v>40</v>
      </c>
      <c r="Q17" s="23" t="s">
        <v>40</v>
      </c>
      <c r="R17" s="23" t="s">
        <v>84</v>
      </c>
      <c r="S17" s="23" t="s">
        <v>40</v>
      </c>
      <c r="T17" s="23" t="s">
        <v>40</v>
      </c>
    </row>
    <row r="18" spans="1:20" x14ac:dyDescent="0.25">
      <c r="A18" s="23" t="s">
        <v>1044</v>
      </c>
      <c r="B18" s="23" t="s">
        <v>83</v>
      </c>
      <c r="C18" s="23" t="s">
        <v>1028</v>
      </c>
      <c r="D18" s="23" t="s">
        <v>1045</v>
      </c>
      <c r="E18" s="23" t="s">
        <v>1046</v>
      </c>
      <c r="F18" s="23" t="s">
        <v>40</v>
      </c>
      <c r="G18" s="23" t="s">
        <v>1047</v>
      </c>
      <c r="H18" s="23" t="s">
        <v>1048</v>
      </c>
      <c r="I18" s="23" t="s">
        <v>1049</v>
      </c>
      <c r="J18" s="23" t="s">
        <v>14</v>
      </c>
      <c r="K18" s="24" t="s">
        <v>386</v>
      </c>
      <c r="L18" s="23" t="s">
        <v>405</v>
      </c>
      <c r="M18" s="25" t="s">
        <v>18</v>
      </c>
      <c r="N18" s="23" t="s">
        <v>40</v>
      </c>
      <c r="O18" s="23" t="s">
        <v>387</v>
      </c>
      <c r="P18" s="23" t="s">
        <v>40</v>
      </c>
      <c r="Q18" s="23" t="s">
        <v>40</v>
      </c>
      <c r="R18" s="23" t="s">
        <v>84</v>
      </c>
      <c r="S18" s="23" t="s">
        <v>1050</v>
      </c>
      <c r="T18" s="23" t="s">
        <v>40</v>
      </c>
    </row>
    <row r="19" spans="1:20" x14ac:dyDescent="0.25">
      <c r="A19" s="23" t="s">
        <v>1051</v>
      </c>
      <c r="B19" s="23" t="s">
        <v>83</v>
      </c>
      <c r="C19" s="23" t="s">
        <v>1028</v>
      </c>
      <c r="D19" s="23" t="s">
        <v>1052</v>
      </c>
      <c r="E19" s="23" t="s">
        <v>1053</v>
      </c>
      <c r="F19" s="23" t="s">
        <v>40</v>
      </c>
      <c r="G19" s="23" t="s">
        <v>1054</v>
      </c>
      <c r="H19" s="23" t="s">
        <v>1055</v>
      </c>
      <c r="I19" s="23" t="s">
        <v>1056</v>
      </c>
      <c r="J19" s="23" t="s">
        <v>15</v>
      </c>
      <c r="K19" s="27" t="s">
        <v>404</v>
      </c>
      <c r="L19" s="23" t="s">
        <v>405</v>
      </c>
      <c r="M19" s="25" t="s">
        <v>18</v>
      </c>
      <c r="N19" s="23" t="s">
        <v>40</v>
      </c>
      <c r="O19" s="23" t="s">
        <v>387</v>
      </c>
      <c r="P19" s="23" t="s">
        <v>40</v>
      </c>
      <c r="Q19" s="23" t="s">
        <v>40</v>
      </c>
      <c r="R19" s="23" t="s">
        <v>84</v>
      </c>
      <c r="S19" s="23" t="s">
        <v>40</v>
      </c>
      <c r="T19" s="23" t="s">
        <v>40</v>
      </c>
    </row>
    <row r="20" spans="1:20" x14ac:dyDescent="0.25">
      <c r="A20" s="23" t="s">
        <v>1057</v>
      </c>
      <c r="B20" s="23" t="s">
        <v>83</v>
      </c>
      <c r="C20" s="23" t="s">
        <v>1058</v>
      </c>
      <c r="D20" s="23" t="s">
        <v>1059</v>
      </c>
      <c r="E20" s="23" t="s">
        <v>1060</v>
      </c>
      <c r="F20" s="23" t="s">
        <v>40</v>
      </c>
      <c r="G20" s="23" t="s">
        <v>1061</v>
      </c>
      <c r="H20" s="23" t="s">
        <v>1062</v>
      </c>
      <c r="I20" s="23" t="s">
        <v>1063</v>
      </c>
      <c r="J20" s="23" t="s">
        <v>385</v>
      </c>
      <c r="K20" s="32" t="s">
        <v>747</v>
      </c>
      <c r="L20" s="23" t="s">
        <v>490</v>
      </c>
      <c r="M20" s="25" t="s">
        <v>18</v>
      </c>
      <c r="N20" s="23" t="s">
        <v>40</v>
      </c>
      <c r="O20" s="23" t="s">
        <v>387</v>
      </c>
      <c r="P20" s="23" t="s">
        <v>40</v>
      </c>
      <c r="Q20" s="23" t="s">
        <v>40</v>
      </c>
      <c r="R20" s="23" t="s">
        <v>84</v>
      </c>
      <c r="S20" s="23" t="s">
        <v>40</v>
      </c>
      <c r="T20" s="23" t="s">
        <v>40</v>
      </c>
    </row>
    <row r="21" spans="1:20" x14ac:dyDescent="0.25">
      <c r="A21" s="23" t="s">
        <v>1064</v>
      </c>
      <c r="B21" s="23" t="s">
        <v>83</v>
      </c>
      <c r="C21" s="23" t="s">
        <v>1065</v>
      </c>
      <c r="D21" s="23" t="s">
        <v>1066</v>
      </c>
      <c r="E21" s="23" t="s">
        <v>1067</v>
      </c>
      <c r="F21" s="23" t="s">
        <v>1068</v>
      </c>
      <c r="G21" s="23" t="s">
        <v>1069</v>
      </c>
      <c r="H21" s="23" t="s">
        <v>1070</v>
      </c>
      <c r="I21" s="23" t="s">
        <v>1071</v>
      </c>
      <c r="J21" s="23" t="s">
        <v>14</v>
      </c>
      <c r="K21" s="26" t="s">
        <v>396</v>
      </c>
      <c r="L21" s="23" t="s">
        <v>13</v>
      </c>
      <c r="M21" s="28" t="s">
        <v>16</v>
      </c>
      <c r="N21" s="23" t="s">
        <v>977</v>
      </c>
      <c r="O21" s="29" t="s">
        <v>87</v>
      </c>
      <c r="P21" s="23" t="s">
        <v>40</v>
      </c>
      <c r="Q21" s="23" t="s">
        <v>40</v>
      </c>
      <c r="R21" s="23" t="s">
        <v>1072</v>
      </c>
      <c r="S21" s="23" t="s">
        <v>40</v>
      </c>
      <c r="T21" s="23" t="s">
        <v>40</v>
      </c>
    </row>
    <row r="22" spans="1:20" x14ac:dyDescent="0.25">
      <c r="A22" s="23" t="s">
        <v>1073</v>
      </c>
      <c r="B22" s="23" t="s">
        <v>83</v>
      </c>
      <c r="C22" s="23" t="s">
        <v>1065</v>
      </c>
      <c r="D22" s="23" t="s">
        <v>1074</v>
      </c>
      <c r="E22" s="23" t="s">
        <v>1067</v>
      </c>
      <c r="F22" s="23" t="s">
        <v>40</v>
      </c>
      <c r="G22" s="23" t="s">
        <v>1075</v>
      </c>
      <c r="H22" s="23" t="s">
        <v>1076</v>
      </c>
      <c r="I22" s="23" t="s">
        <v>1077</v>
      </c>
      <c r="J22" s="23" t="s">
        <v>385</v>
      </c>
      <c r="K22" s="24" t="s">
        <v>386</v>
      </c>
      <c r="L22" s="23" t="s">
        <v>13</v>
      </c>
      <c r="M22" s="28" t="s">
        <v>16</v>
      </c>
      <c r="N22" s="23" t="s">
        <v>977</v>
      </c>
      <c r="O22" s="29" t="s">
        <v>87</v>
      </c>
      <c r="P22" s="23" t="s">
        <v>40</v>
      </c>
      <c r="Q22" s="23" t="s">
        <v>40</v>
      </c>
      <c r="R22" s="23" t="s">
        <v>1072</v>
      </c>
      <c r="S22" s="23" t="s">
        <v>1078</v>
      </c>
      <c r="T22" s="23" t="s">
        <v>40</v>
      </c>
    </row>
    <row r="23" spans="1:20" x14ac:dyDescent="0.25">
      <c r="A23" s="23" t="s">
        <v>1079</v>
      </c>
      <c r="B23" s="23" t="s">
        <v>83</v>
      </c>
      <c r="C23" s="23" t="s">
        <v>1065</v>
      </c>
      <c r="D23" s="23" t="s">
        <v>1080</v>
      </c>
      <c r="E23" s="23" t="s">
        <v>1067</v>
      </c>
      <c r="F23" s="23" t="s">
        <v>40</v>
      </c>
      <c r="G23" s="23" t="s">
        <v>1081</v>
      </c>
      <c r="H23" s="23" t="s">
        <v>1082</v>
      </c>
      <c r="I23" s="23" t="s">
        <v>1083</v>
      </c>
      <c r="J23" s="23" t="s">
        <v>385</v>
      </c>
      <c r="K23" s="24" t="s">
        <v>386</v>
      </c>
      <c r="L23" s="23" t="s">
        <v>13</v>
      </c>
      <c r="M23" s="28" t="s">
        <v>16</v>
      </c>
      <c r="N23" s="23" t="s">
        <v>977</v>
      </c>
      <c r="O23" s="29" t="s">
        <v>87</v>
      </c>
      <c r="P23" s="23" t="s">
        <v>40</v>
      </c>
      <c r="Q23" s="23" t="s">
        <v>40</v>
      </c>
      <c r="R23" s="23" t="s">
        <v>1072</v>
      </c>
      <c r="S23" s="23" t="s">
        <v>40</v>
      </c>
      <c r="T23" s="23" t="s">
        <v>40</v>
      </c>
    </row>
    <row r="24" spans="1:20" x14ac:dyDescent="0.25">
      <c r="A24" s="23" t="s">
        <v>1084</v>
      </c>
      <c r="B24" s="23" t="s">
        <v>83</v>
      </c>
      <c r="C24" s="23" t="s">
        <v>1065</v>
      </c>
      <c r="D24" s="23" t="s">
        <v>1085</v>
      </c>
      <c r="E24" s="23" t="s">
        <v>1067</v>
      </c>
      <c r="F24" s="23" t="s">
        <v>1086</v>
      </c>
      <c r="G24" s="23" t="s">
        <v>1087</v>
      </c>
      <c r="H24" s="23" t="s">
        <v>1088</v>
      </c>
      <c r="I24" s="23" t="s">
        <v>1089</v>
      </c>
      <c r="J24" s="23" t="s">
        <v>14</v>
      </c>
      <c r="K24" s="24" t="s">
        <v>386</v>
      </c>
      <c r="L24" s="23" t="s">
        <v>405</v>
      </c>
      <c r="M24" s="28" t="s">
        <v>16</v>
      </c>
      <c r="N24" s="23" t="s">
        <v>977</v>
      </c>
      <c r="O24" s="29" t="s">
        <v>87</v>
      </c>
      <c r="P24" s="23" t="s">
        <v>40</v>
      </c>
      <c r="Q24" s="23" t="s">
        <v>40</v>
      </c>
      <c r="R24" s="23" t="s">
        <v>1072</v>
      </c>
      <c r="S24" s="23" t="s">
        <v>40</v>
      </c>
      <c r="T24" s="23" t="s">
        <v>40</v>
      </c>
    </row>
    <row r="25" spans="1:20" x14ac:dyDescent="0.25">
      <c r="A25" s="23" t="s">
        <v>1090</v>
      </c>
      <c r="B25" s="23" t="s">
        <v>83</v>
      </c>
      <c r="C25" s="23" t="s">
        <v>1065</v>
      </c>
      <c r="D25" s="23" t="s">
        <v>1091</v>
      </c>
      <c r="E25" s="23" t="s">
        <v>1067</v>
      </c>
      <c r="F25" s="23" t="s">
        <v>40</v>
      </c>
      <c r="G25" s="23" t="s">
        <v>1092</v>
      </c>
      <c r="H25" s="23" t="s">
        <v>1093</v>
      </c>
      <c r="I25" s="23" t="s">
        <v>1094</v>
      </c>
      <c r="J25" s="23" t="s">
        <v>14</v>
      </c>
      <c r="K25" s="24" t="s">
        <v>386</v>
      </c>
      <c r="L25" s="23" t="s">
        <v>405</v>
      </c>
      <c r="M25" s="28" t="s">
        <v>16</v>
      </c>
      <c r="N25" s="23" t="s">
        <v>977</v>
      </c>
      <c r="O25" s="29" t="s">
        <v>87</v>
      </c>
      <c r="P25" s="23" t="s">
        <v>40</v>
      </c>
      <c r="Q25" s="23" t="s">
        <v>40</v>
      </c>
      <c r="R25" s="23" t="s">
        <v>1072</v>
      </c>
      <c r="S25" s="23" t="s">
        <v>40</v>
      </c>
      <c r="T25" s="23" t="s">
        <v>1095</v>
      </c>
    </row>
    <row r="26" spans="1:20" x14ac:dyDescent="0.25">
      <c r="A26" s="23" t="s">
        <v>1096</v>
      </c>
      <c r="B26" s="23" t="s">
        <v>83</v>
      </c>
      <c r="C26" s="23" t="s">
        <v>1065</v>
      </c>
      <c r="D26" s="23" t="s">
        <v>1097</v>
      </c>
      <c r="E26" s="23" t="s">
        <v>1067</v>
      </c>
      <c r="F26" s="23" t="s">
        <v>40</v>
      </c>
      <c r="G26" s="23" t="s">
        <v>1098</v>
      </c>
      <c r="H26" s="23" t="s">
        <v>1099</v>
      </c>
      <c r="I26" s="23" t="s">
        <v>1100</v>
      </c>
      <c r="J26" s="23" t="s">
        <v>14</v>
      </c>
      <c r="K26" s="24" t="s">
        <v>386</v>
      </c>
      <c r="L26" s="23" t="s">
        <v>405</v>
      </c>
      <c r="M26" s="25" t="s">
        <v>18</v>
      </c>
      <c r="N26" s="23" t="s">
        <v>40</v>
      </c>
      <c r="O26" s="23" t="s">
        <v>387</v>
      </c>
      <c r="P26" s="23" t="s">
        <v>40</v>
      </c>
      <c r="Q26" s="23" t="s">
        <v>40</v>
      </c>
      <c r="R26" s="23" t="s">
        <v>1072</v>
      </c>
      <c r="S26" s="23" t="s">
        <v>40</v>
      </c>
      <c r="T26" s="23" t="s">
        <v>40</v>
      </c>
    </row>
    <row r="27" spans="1:20" x14ac:dyDescent="0.25">
      <c r="A27" s="23" t="s">
        <v>1101</v>
      </c>
      <c r="B27" s="23" t="s">
        <v>83</v>
      </c>
      <c r="C27" s="23" t="s">
        <v>1065</v>
      </c>
      <c r="D27" s="23" t="s">
        <v>1102</v>
      </c>
      <c r="E27" s="23" t="s">
        <v>1067</v>
      </c>
      <c r="F27" s="23" t="s">
        <v>1103</v>
      </c>
      <c r="G27" s="23" t="s">
        <v>1104</v>
      </c>
      <c r="H27" s="23" t="s">
        <v>1105</v>
      </c>
      <c r="I27" s="23" t="s">
        <v>1106</v>
      </c>
      <c r="J27" s="23" t="s">
        <v>14</v>
      </c>
      <c r="K27" s="24" t="s">
        <v>386</v>
      </c>
      <c r="L27" s="23" t="s">
        <v>405</v>
      </c>
      <c r="M27" s="25" t="s">
        <v>18</v>
      </c>
      <c r="N27" s="23" t="s">
        <v>40</v>
      </c>
      <c r="O27" s="23" t="s">
        <v>387</v>
      </c>
      <c r="P27" s="23" t="s">
        <v>40</v>
      </c>
      <c r="Q27" s="23" t="s">
        <v>40</v>
      </c>
      <c r="R27" s="23" t="s">
        <v>1072</v>
      </c>
      <c r="S27" s="23" t="s">
        <v>40</v>
      </c>
      <c r="T27" s="23" t="s">
        <v>40</v>
      </c>
    </row>
    <row r="28" spans="1:20" x14ac:dyDescent="0.25">
      <c r="A28" s="23" t="s">
        <v>1107</v>
      </c>
      <c r="B28" s="23" t="s">
        <v>83</v>
      </c>
      <c r="C28" s="23" t="s">
        <v>1065</v>
      </c>
      <c r="D28" s="23" t="s">
        <v>1108</v>
      </c>
      <c r="E28" s="23" t="s">
        <v>1067</v>
      </c>
      <c r="F28" s="23" t="s">
        <v>40</v>
      </c>
      <c r="G28" s="23" t="s">
        <v>1109</v>
      </c>
      <c r="H28" s="23" t="s">
        <v>1110</v>
      </c>
      <c r="I28" s="23" t="s">
        <v>1111</v>
      </c>
      <c r="J28" s="23" t="s">
        <v>14</v>
      </c>
      <c r="K28" s="24" t="s">
        <v>386</v>
      </c>
      <c r="L28" s="23" t="s">
        <v>405</v>
      </c>
      <c r="M28" s="25" t="s">
        <v>18</v>
      </c>
      <c r="N28" s="23" t="s">
        <v>40</v>
      </c>
      <c r="O28" s="23" t="s">
        <v>387</v>
      </c>
      <c r="P28" s="23" t="s">
        <v>40</v>
      </c>
      <c r="Q28" s="23" t="s">
        <v>40</v>
      </c>
      <c r="R28" s="23" t="s">
        <v>1072</v>
      </c>
      <c r="S28" s="23" t="s">
        <v>1112</v>
      </c>
      <c r="T28" s="23" t="s">
        <v>40</v>
      </c>
    </row>
    <row r="29" spans="1:20" x14ac:dyDescent="0.25">
      <c r="A29" s="23" t="s">
        <v>1113</v>
      </c>
      <c r="B29" s="23" t="s">
        <v>83</v>
      </c>
      <c r="C29" s="23" t="s">
        <v>1065</v>
      </c>
      <c r="D29" s="23" t="s">
        <v>1114</v>
      </c>
      <c r="E29" s="23" t="s">
        <v>1115</v>
      </c>
      <c r="F29" s="23" t="s">
        <v>40</v>
      </c>
      <c r="G29" s="23" t="s">
        <v>1116</v>
      </c>
      <c r="H29" s="23" t="s">
        <v>1117</v>
      </c>
      <c r="I29" s="23" t="s">
        <v>1118</v>
      </c>
      <c r="J29" s="23" t="s">
        <v>801</v>
      </c>
      <c r="K29" s="27" t="s">
        <v>404</v>
      </c>
      <c r="L29" s="23" t="s">
        <v>490</v>
      </c>
      <c r="M29" s="25" t="s">
        <v>18</v>
      </c>
      <c r="N29" s="23" t="s">
        <v>40</v>
      </c>
      <c r="O29" s="23" t="s">
        <v>387</v>
      </c>
      <c r="P29" s="23" t="s">
        <v>40</v>
      </c>
      <c r="Q29" s="23" t="s">
        <v>40</v>
      </c>
      <c r="R29" s="23" t="s">
        <v>1072</v>
      </c>
      <c r="S29" s="23" t="s">
        <v>40</v>
      </c>
      <c r="T29" s="23" t="s">
        <v>1119</v>
      </c>
    </row>
    <row r="30" spans="1:20" x14ac:dyDescent="0.25">
      <c r="A30" s="23" t="s">
        <v>1120</v>
      </c>
      <c r="B30" s="23" t="s">
        <v>83</v>
      </c>
      <c r="C30" s="23" t="s">
        <v>1065</v>
      </c>
      <c r="D30" s="23" t="s">
        <v>1121</v>
      </c>
      <c r="E30" s="23" t="s">
        <v>1067</v>
      </c>
      <c r="F30" s="23" t="s">
        <v>40</v>
      </c>
      <c r="G30" s="23" t="s">
        <v>1122</v>
      </c>
      <c r="H30" s="23" t="s">
        <v>1123</v>
      </c>
      <c r="I30" s="23" t="s">
        <v>1124</v>
      </c>
      <c r="J30" s="23" t="s">
        <v>385</v>
      </c>
      <c r="K30" s="32" t="s">
        <v>747</v>
      </c>
      <c r="L30" s="23" t="s">
        <v>490</v>
      </c>
      <c r="M30" s="28" t="s">
        <v>16</v>
      </c>
      <c r="N30" s="23" t="s">
        <v>977</v>
      </c>
      <c r="O30" s="29" t="s">
        <v>87</v>
      </c>
      <c r="P30" s="23" t="s">
        <v>40</v>
      </c>
      <c r="Q30" s="23" t="s">
        <v>40</v>
      </c>
      <c r="R30" s="23" t="s">
        <v>1072</v>
      </c>
      <c r="S30" s="23" t="s">
        <v>40</v>
      </c>
      <c r="T30" s="23" t="s">
        <v>40</v>
      </c>
    </row>
    <row r="31" spans="1:20" x14ac:dyDescent="0.25">
      <c r="A31" s="23" t="s">
        <v>1125</v>
      </c>
      <c r="B31" s="23" t="s">
        <v>83</v>
      </c>
      <c r="C31" s="23" t="s">
        <v>1065</v>
      </c>
      <c r="D31" s="23" t="s">
        <v>1126</v>
      </c>
      <c r="E31" s="23" t="s">
        <v>1067</v>
      </c>
      <c r="F31" s="23" t="s">
        <v>40</v>
      </c>
      <c r="G31" s="23" t="s">
        <v>1127</v>
      </c>
      <c r="H31" s="23" t="s">
        <v>1128</v>
      </c>
      <c r="I31" s="23" t="s">
        <v>1129</v>
      </c>
      <c r="J31" s="23" t="s">
        <v>15</v>
      </c>
      <c r="K31" s="27" t="s">
        <v>404</v>
      </c>
      <c r="L31" s="23" t="s">
        <v>405</v>
      </c>
      <c r="M31" s="25" t="s">
        <v>18</v>
      </c>
      <c r="N31" s="23" t="s">
        <v>40</v>
      </c>
      <c r="O31" s="23" t="s">
        <v>387</v>
      </c>
      <c r="P31" s="23" t="s">
        <v>40</v>
      </c>
      <c r="Q31" s="23" t="s">
        <v>40</v>
      </c>
      <c r="R31" s="23" t="s">
        <v>1072</v>
      </c>
      <c r="S31" s="23" t="s">
        <v>40</v>
      </c>
      <c r="T31" s="23" t="s">
        <v>1130</v>
      </c>
    </row>
    <row r="32" spans="1:20" x14ac:dyDescent="0.25">
      <c r="A32" s="23" t="s">
        <v>1131</v>
      </c>
      <c r="B32" s="23" t="s">
        <v>83</v>
      </c>
      <c r="C32" s="23" t="s">
        <v>1065</v>
      </c>
      <c r="D32" s="23" t="s">
        <v>1132</v>
      </c>
      <c r="E32" s="23" t="s">
        <v>1067</v>
      </c>
      <c r="F32" s="23" t="s">
        <v>40</v>
      </c>
      <c r="G32" s="23" t="s">
        <v>1133</v>
      </c>
      <c r="H32" s="23" t="s">
        <v>1134</v>
      </c>
      <c r="I32" s="23" t="s">
        <v>1135</v>
      </c>
      <c r="J32" s="23" t="s">
        <v>15</v>
      </c>
      <c r="K32" s="27" t="s">
        <v>404</v>
      </c>
      <c r="L32" s="23" t="s">
        <v>490</v>
      </c>
      <c r="M32" s="25" t="s">
        <v>18</v>
      </c>
      <c r="N32" s="23" t="s">
        <v>40</v>
      </c>
      <c r="O32" s="23" t="s">
        <v>387</v>
      </c>
      <c r="P32" s="23" t="s">
        <v>40</v>
      </c>
      <c r="Q32" s="23" t="s">
        <v>40</v>
      </c>
      <c r="R32" s="23" t="s">
        <v>1072</v>
      </c>
      <c r="S32" s="23" t="s">
        <v>40</v>
      </c>
      <c r="T32" s="23" t="s">
        <v>40</v>
      </c>
    </row>
    <row r="33" spans="1:20" x14ac:dyDescent="0.25">
      <c r="A33" s="23" t="s">
        <v>1136</v>
      </c>
      <c r="B33" s="23" t="s">
        <v>83</v>
      </c>
      <c r="C33" s="23" t="s">
        <v>461</v>
      </c>
      <c r="D33" s="23" t="s">
        <v>1137</v>
      </c>
      <c r="E33" s="23" t="s">
        <v>1067</v>
      </c>
      <c r="F33" s="23" t="s">
        <v>1138</v>
      </c>
      <c r="G33" s="23" t="s">
        <v>1139</v>
      </c>
      <c r="H33" s="23" t="s">
        <v>1140</v>
      </c>
      <c r="I33" s="23" t="s">
        <v>1141</v>
      </c>
      <c r="J33" s="23" t="s">
        <v>466</v>
      </c>
      <c r="K33" s="24" t="s">
        <v>386</v>
      </c>
      <c r="L33" s="23" t="s">
        <v>13</v>
      </c>
      <c r="M33" s="25" t="s">
        <v>18</v>
      </c>
      <c r="N33" s="23" t="s">
        <v>40</v>
      </c>
      <c r="O33" s="23" t="s">
        <v>387</v>
      </c>
      <c r="P33" s="23" t="s">
        <v>40</v>
      </c>
      <c r="Q33" s="23" t="s">
        <v>40</v>
      </c>
      <c r="R33" s="23" t="s">
        <v>1072</v>
      </c>
      <c r="S33" s="23" t="s">
        <v>40</v>
      </c>
      <c r="T33" s="23" t="s">
        <v>1142</v>
      </c>
    </row>
    <row r="34" spans="1:20" x14ac:dyDescent="0.25">
      <c r="A34" s="23" t="s">
        <v>1143</v>
      </c>
      <c r="B34" s="23" t="s">
        <v>83</v>
      </c>
      <c r="C34" s="23" t="s">
        <v>461</v>
      </c>
      <c r="D34" s="23" t="s">
        <v>1144</v>
      </c>
      <c r="E34" s="23" t="s">
        <v>1067</v>
      </c>
      <c r="F34" s="23" t="s">
        <v>1145</v>
      </c>
      <c r="G34" s="23" t="s">
        <v>1146</v>
      </c>
      <c r="H34" s="23" t="s">
        <v>1147</v>
      </c>
      <c r="I34" s="23" t="s">
        <v>1148</v>
      </c>
      <c r="J34" s="23" t="s">
        <v>466</v>
      </c>
      <c r="K34" s="24" t="s">
        <v>386</v>
      </c>
      <c r="L34" s="23" t="s">
        <v>13</v>
      </c>
      <c r="M34" s="25" t="s">
        <v>18</v>
      </c>
      <c r="N34" s="23" t="s">
        <v>40</v>
      </c>
      <c r="O34" s="23" t="s">
        <v>387</v>
      </c>
      <c r="P34" s="23" t="s">
        <v>40</v>
      </c>
      <c r="Q34" s="23" t="s">
        <v>40</v>
      </c>
      <c r="R34" s="23" t="s">
        <v>1072</v>
      </c>
      <c r="S34" s="23" t="s">
        <v>40</v>
      </c>
      <c r="T34" s="23" t="s">
        <v>1142</v>
      </c>
    </row>
    <row r="35" spans="1:20" x14ac:dyDescent="0.25">
      <c r="A35" s="23" t="s">
        <v>1149</v>
      </c>
      <c r="B35" s="23" t="s">
        <v>83</v>
      </c>
      <c r="C35" s="23" t="s">
        <v>461</v>
      </c>
      <c r="D35" s="23" t="s">
        <v>1150</v>
      </c>
      <c r="E35" s="23" t="s">
        <v>1067</v>
      </c>
      <c r="F35" s="23" t="s">
        <v>1151</v>
      </c>
      <c r="G35" s="23" t="s">
        <v>1152</v>
      </c>
      <c r="H35" s="23" t="s">
        <v>1153</v>
      </c>
      <c r="I35" s="23" t="s">
        <v>1154</v>
      </c>
      <c r="J35" s="23" t="s">
        <v>466</v>
      </c>
      <c r="K35" s="24" t="s">
        <v>386</v>
      </c>
      <c r="L35" s="23" t="s">
        <v>13</v>
      </c>
      <c r="M35" s="25" t="s">
        <v>18</v>
      </c>
      <c r="N35" s="23" t="s">
        <v>40</v>
      </c>
      <c r="O35" s="23" t="s">
        <v>387</v>
      </c>
      <c r="P35" s="23" t="s">
        <v>40</v>
      </c>
      <c r="Q35" s="23" t="s">
        <v>40</v>
      </c>
      <c r="R35" s="23" t="s">
        <v>1072</v>
      </c>
      <c r="S35" s="23" t="s">
        <v>40</v>
      </c>
      <c r="T35" s="23" t="s">
        <v>1142</v>
      </c>
    </row>
    <row r="36" spans="1:20" x14ac:dyDescent="0.25">
      <c r="A36" s="23" t="s">
        <v>1155</v>
      </c>
      <c r="B36" s="23" t="s">
        <v>83</v>
      </c>
      <c r="C36" s="23" t="s">
        <v>461</v>
      </c>
      <c r="D36" s="23" t="s">
        <v>1156</v>
      </c>
      <c r="E36" s="23" t="s">
        <v>1067</v>
      </c>
      <c r="F36" s="23" t="s">
        <v>1157</v>
      </c>
      <c r="G36" s="23" t="s">
        <v>1158</v>
      </c>
      <c r="H36" s="23" t="s">
        <v>1159</v>
      </c>
      <c r="I36" s="23" t="s">
        <v>1160</v>
      </c>
      <c r="J36" s="23" t="s">
        <v>466</v>
      </c>
      <c r="K36" s="24" t="s">
        <v>386</v>
      </c>
      <c r="L36" s="23" t="s">
        <v>13</v>
      </c>
      <c r="M36" s="25" t="s">
        <v>18</v>
      </c>
      <c r="N36" s="23" t="s">
        <v>40</v>
      </c>
      <c r="O36" s="23" t="s">
        <v>387</v>
      </c>
      <c r="P36" s="23" t="s">
        <v>40</v>
      </c>
      <c r="Q36" s="23" t="s">
        <v>40</v>
      </c>
      <c r="R36" s="23" t="s">
        <v>1072</v>
      </c>
      <c r="S36" s="23" t="s">
        <v>40</v>
      </c>
      <c r="T36" s="23" t="s">
        <v>1142</v>
      </c>
    </row>
    <row r="37" spans="1:20" x14ac:dyDescent="0.25">
      <c r="A37" s="23" t="s">
        <v>1161</v>
      </c>
      <c r="B37" s="23" t="s">
        <v>83</v>
      </c>
      <c r="C37" s="23" t="s">
        <v>461</v>
      </c>
      <c r="D37" s="23" t="s">
        <v>1162</v>
      </c>
      <c r="E37" s="23" t="s">
        <v>1067</v>
      </c>
      <c r="F37" s="23" t="s">
        <v>1163</v>
      </c>
      <c r="G37" s="23" t="s">
        <v>1164</v>
      </c>
      <c r="H37" s="23" t="s">
        <v>1165</v>
      </c>
      <c r="I37" s="23" t="s">
        <v>1166</v>
      </c>
      <c r="J37" s="23" t="s">
        <v>466</v>
      </c>
      <c r="K37" s="24" t="s">
        <v>386</v>
      </c>
      <c r="L37" s="23" t="s">
        <v>13</v>
      </c>
      <c r="M37" s="25" t="s">
        <v>18</v>
      </c>
      <c r="N37" s="23" t="s">
        <v>40</v>
      </c>
      <c r="O37" s="23" t="s">
        <v>387</v>
      </c>
      <c r="P37" s="23" t="s">
        <v>40</v>
      </c>
      <c r="Q37" s="23" t="s">
        <v>40</v>
      </c>
      <c r="R37" s="23" t="s">
        <v>1072</v>
      </c>
      <c r="S37" s="23" t="s">
        <v>40</v>
      </c>
      <c r="T37" s="23" t="s">
        <v>1142</v>
      </c>
    </row>
    <row r="38" spans="1:20" x14ac:dyDescent="0.25">
      <c r="A38" s="23" t="s">
        <v>1167</v>
      </c>
      <c r="B38" s="23" t="s">
        <v>83</v>
      </c>
      <c r="C38" s="23" t="s">
        <v>461</v>
      </c>
      <c r="D38" s="23" t="s">
        <v>1168</v>
      </c>
      <c r="E38" s="23" t="s">
        <v>1067</v>
      </c>
      <c r="F38" s="23" t="s">
        <v>1169</v>
      </c>
      <c r="G38" s="23" t="s">
        <v>1170</v>
      </c>
      <c r="H38" s="23" t="s">
        <v>1171</v>
      </c>
      <c r="I38" s="23" t="s">
        <v>1172</v>
      </c>
      <c r="J38" s="23" t="s">
        <v>466</v>
      </c>
      <c r="K38" s="24" t="s">
        <v>386</v>
      </c>
      <c r="L38" s="23" t="s">
        <v>13</v>
      </c>
      <c r="M38" s="25" t="s">
        <v>18</v>
      </c>
      <c r="N38" s="23" t="s">
        <v>40</v>
      </c>
      <c r="O38" s="23" t="s">
        <v>387</v>
      </c>
      <c r="P38" s="23" t="s">
        <v>40</v>
      </c>
      <c r="Q38" s="23" t="s">
        <v>40</v>
      </c>
      <c r="R38" s="23" t="s">
        <v>1072</v>
      </c>
      <c r="S38" s="23" t="s">
        <v>40</v>
      </c>
      <c r="T38" s="23" t="s">
        <v>1142</v>
      </c>
    </row>
    <row r="39" spans="1:20" x14ac:dyDescent="0.25">
      <c r="A39" s="23" t="s">
        <v>1173</v>
      </c>
      <c r="B39" s="23" t="s">
        <v>83</v>
      </c>
      <c r="C39" s="23" t="s">
        <v>461</v>
      </c>
      <c r="D39" s="23" t="s">
        <v>1174</v>
      </c>
      <c r="E39" s="23" t="s">
        <v>1067</v>
      </c>
      <c r="F39" s="23" t="s">
        <v>1175</v>
      </c>
      <c r="G39" s="23" t="s">
        <v>1176</v>
      </c>
      <c r="H39" s="23" t="s">
        <v>1177</v>
      </c>
      <c r="I39" s="23" t="s">
        <v>1178</v>
      </c>
      <c r="J39" s="23" t="s">
        <v>466</v>
      </c>
      <c r="K39" s="24" t="s">
        <v>386</v>
      </c>
      <c r="L39" s="23" t="s">
        <v>13</v>
      </c>
      <c r="M39" s="25" t="s">
        <v>18</v>
      </c>
      <c r="N39" s="23" t="s">
        <v>40</v>
      </c>
      <c r="O39" s="23" t="s">
        <v>387</v>
      </c>
      <c r="P39" s="23" t="s">
        <v>40</v>
      </c>
      <c r="Q39" s="23" t="s">
        <v>40</v>
      </c>
      <c r="R39" s="23" t="s">
        <v>1072</v>
      </c>
      <c r="S39" s="23" t="s">
        <v>40</v>
      </c>
      <c r="T39" s="23" t="s">
        <v>1142</v>
      </c>
    </row>
    <row r="40" spans="1:20" x14ac:dyDescent="0.25">
      <c r="A40" s="23" t="s">
        <v>1179</v>
      </c>
      <c r="B40" s="23" t="s">
        <v>83</v>
      </c>
      <c r="C40" s="23" t="s">
        <v>461</v>
      </c>
      <c r="D40" s="23" t="s">
        <v>1180</v>
      </c>
      <c r="E40" s="23" t="s">
        <v>1067</v>
      </c>
      <c r="F40" s="23" t="s">
        <v>1181</v>
      </c>
      <c r="G40" s="23" t="s">
        <v>1182</v>
      </c>
      <c r="H40" s="23" t="s">
        <v>1183</v>
      </c>
      <c r="I40" s="23" t="s">
        <v>1184</v>
      </c>
      <c r="J40" s="23" t="s">
        <v>466</v>
      </c>
      <c r="K40" s="24" t="s">
        <v>386</v>
      </c>
      <c r="L40" s="23" t="s">
        <v>13</v>
      </c>
      <c r="M40" s="25" t="s">
        <v>18</v>
      </c>
      <c r="N40" s="23" t="s">
        <v>40</v>
      </c>
      <c r="O40" s="23" t="s">
        <v>387</v>
      </c>
      <c r="P40" s="23" t="s">
        <v>40</v>
      </c>
      <c r="Q40" s="23" t="s">
        <v>40</v>
      </c>
      <c r="R40" s="23" t="s">
        <v>1072</v>
      </c>
      <c r="S40" s="23" t="s">
        <v>40</v>
      </c>
      <c r="T40" s="23" t="s">
        <v>1142</v>
      </c>
    </row>
    <row r="41" spans="1:20" x14ac:dyDescent="0.25">
      <c r="A41" s="23" t="s">
        <v>1185</v>
      </c>
      <c r="B41" s="23" t="s">
        <v>83</v>
      </c>
      <c r="C41" s="23" t="s">
        <v>461</v>
      </c>
      <c r="D41" s="23" t="s">
        <v>1186</v>
      </c>
      <c r="E41" s="23" t="s">
        <v>1067</v>
      </c>
      <c r="F41" s="23" t="s">
        <v>1187</v>
      </c>
      <c r="G41" s="23" t="s">
        <v>1188</v>
      </c>
      <c r="H41" s="23" t="s">
        <v>1189</v>
      </c>
      <c r="I41" s="23" t="s">
        <v>1190</v>
      </c>
      <c r="J41" s="23" t="s">
        <v>466</v>
      </c>
      <c r="K41" s="24" t="s">
        <v>386</v>
      </c>
      <c r="L41" s="23" t="s">
        <v>13</v>
      </c>
      <c r="M41" s="25" t="s">
        <v>18</v>
      </c>
      <c r="N41" s="23" t="s">
        <v>40</v>
      </c>
      <c r="O41" s="23" t="s">
        <v>387</v>
      </c>
      <c r="P41" s="23" t="s">
        <v>40</v>
      </c>
      <c r="Q41" s="23" t="s">
        <v>40</v>
      </c>
      <c r="R41" s="23" t="s">
        <v>1072</v>
      </c>
      <c r="S41" s="23" t="s">
        <v>40</v>
      </c>
      <c r="T41" s="23" t="s">
        <v>1142</v>
      </c>
    </row>
    <row r="42" spans="1:20" x14ac:dyDescent="0.25">
      <c r="A42" s="23" t="s">
        <v>1191</v>
      </c>
      <c r="B42" s="23" t="s">
        <v>83</v>
      </c>
      <c r="C42" s="23" t="s">
        <v>461</v>
      </c>
      <c r="D42" s="23" t="s">
        <v>1192</v>
      </c>
      <c r="E42" s="23" t="s">
        <v>1067</v>
      </c>
      <c r="F42" s="23" t="s">
        <v>1193</v>
      </c>
      <c r="G42" s="23" t="s">
        <v>1194</v>
      </c>
      <c r="H42" s="23" t="s">
        <v>1195</v>
      </c>
      <c r="I42" s="23" t="s">
        <v>1196</v>
      </c>
      <c r="J42" s="23" t="s">
        <v>466</v>
      </c>
      <c r="K42" s="24" t="s">
        <v>386</v>
      </c>
      <c r="L42" s="23" t="s">
        <v>13</v>
      </c>
      <c r="M42" s="25" t="s">
        <v>18</v>
      </c>
      <c r="N42" s="23" t="s">
        <v>40</v>
      </c>
      <c r="O42" s="23" t="s">
        <v>387</v>
      </c>
      <c r="P42" s="23" t="s">
        <v>40</v>
      </c>
      <c r="Q42" s="23" t="s">
        <v>40</v>
      </c>
      <c r="R42" s="23" t="s">
        <v>1072</v>
      </c>
      <c r="S42" s="23" t="s">
        <v>40</v>
      </c>
      <c r="T42" s="23" t="s">
        <v>1142</v>
      </c>
    </row>
    <row r="43" spans="1:20" x14ac:dyDescent="0.25">
      <c r="A43" s="23" t="s">
        <v>1197</v>
      </c>
      <c r="B43" s="23" t="s">
        <v>83</v>
      </c>
      <c r="C43" s="23" t="s">
        <v>461</v>
      </c>
      <c r="D43" s="23" t="s">
        <v>1198</v>
      </c>
      <c r="E43" s="23" t="s">
        <v>1067</v>
      </c>
      <c r="F43" s="23" t="s">
        <v>1199</v>
      </c>
      <c r="G43" s="23" t="s">
        <v>1200</v>
      </c>
      <c r="H43" s="23" t="s">
        <v>1201</v>
      </c>
      <c r="I43" s="23" t="s">
        <v>1202</v>
      </c>
      <c r="J43" s="23" t="s">
        <v>466</v>
      </c>
      <c r="K43" s="24" t="s">
        <v>386</v>
      </c>
      <c r="L43" s="23" t="s">
        <v>13</v>
      </c>
      <c r="M43" s="25" t="s">
        <v>18</v>
      </c>
      <c r="N43" s="23" t="s">
        <v>40</v>
      </c>
      <c r="O43" s="23" t="s">
        <v>387</v>
      </c>
      <c r="P43" s="23" t="s">
        <v>40</v>
      </c>
      <c r="Q43" s="23" t="s">
        <v>40</v>
      </c>
      <c r="R43" s="23" t="s">
        <v>1072</v>
      </c>
      <c r="S43" s="23" t="s">
        <v>40</v>
      </c>
      <c r="T43" s="23" t="s">
        <v>1142</v>
      </c>
    </row>
    <row r="44" spans="1:20" x14ac:dyDescent="0.25">
      <c r="A44" s="23" t="s">
        <v>1203</v>
      </c>
      <c r="B44" s="23" t="s">
        <v>83</v>
      </c>
      <c r="C44" s="23" t="s">
        <v>461</v>
      </c>
      <c r="D44" s="23" t="s">
        <v>1204</v>
      </c>
      <c r="E44" s="23" t="s">
        <v>1067</v>
      </c>
      <c r="F44" s="23" t="s">
        <v>1205</v>
      </c>
      <c r="G44" s="23" t="s">
        <v>1206</v>
      </c>
      <c r="H44" s="23" t="s">
        <v>1207</v>
      </c>
      <c r="I44" s="23" t="s">
        <v>1208</v>
      </c>
      <c r="J44" s="23" t="s">
        <v>466</v>
      </c>
      <c r="K44" s="24" t="s">
        <v>386</v>
      </c>
      <c r="L44" s="23" t="s">
        <v>13</v>
      </c>
      <c r="M44" s="25" t="s">
        <v>18</v>
      </c>
      <c r="N44" s="23" t="s">
        <v>40</v>
      </c>
      <c r="O44" s="23" t="s">
        <v>387</v>
      </c>
      <c r="P44" s="23" t="s">
        <v>40</v>
      </c>
      <c r="Q44" s="23" t="s">
        <v>40</v>
      </c>
      <c r="R44" s="23" t="s">
        <v>1072</v>
      </c>
      <c r="S44" s="23" t="s">
        <v>40</v>
      </c>
      <c r="T44" s="23" t="s">
        <v>1142</v>
      </c>
    </row>
    <row r="45" spans="1:20" x14ac:dyDescent="0.25">
      <c r="A45" s="23" t="s">
        <v>1209</v>
      </c>
      <c r="B45" s="23" t="s">
        <v>83</v>
      </c>
      <c r="C45" s="23" t="s">
        <v>461</v>
      </c>
      <c r="D45" s="23" t="s">
        <v>1210</v>
      </c>
      <c r="E45" s="23" t="s">
        <v>1067</v>
      </c>
      <c r="F45" s="23" t="s">
        <v>1211</v>
      </c>
      <c r="G45" s="23" t="s">
        <v>1212</v>
      </c>
      <c r="H45" s="23" t="s">
        <v>1213</v>
      </c>
      <c r="I45" s="23" t="s">
        <v>1214</v>
      </c>
      <c r="J45" s="23" t="s">
        <v>466</v>
      </c>
      <c r="K45" s="27" t="s">
        <v>404</v>
      </c>
      <c r="L45" s="23" t="s">
        <v>405</v>
      </c>
      <c r="M45" s="25" t="s">
        <v>18</v>
      </c>
      <c r="N45" s="23" t="s">
        <v>40</v>
      </c>
      <c r="O45" s="23" t="s">
        <v>387</v>
      </c>
      <c r="P45" s="23" t="s">
        <v>40</v>
      </c>
      <c r="Q45" s="23" t="s">
        <v>40</v>
      </c>
      <c r="R45" s="23" t="s">
        <v>1072</v>
      </c>
      <c r="S45" s="23" t="s">
        <v>1215</v>
      </c>
      <c r="T45" s="23" t="s">
        <v>1142</v>
      </c>
    </row>
    <row r="46" spans="1:20" x14ac:dyDescent="0.25">
      <c r="A46" s="23" t="s">
        <v>1216</v>
      </c>
      <c r="B46" s="23" t="s">
        <v>83</v>
      </c>
      <c r="C46" s="23" t="s">
        <v>461</v>
      </c>
      <c r="D46" s="23" t="s">
        <v>1217</v>
      </c>
      <c r="E46" s="23" t="s">
        <v>1067</v>
      </c>
      <c r="F46" s="23" t="s">
        <v>40</v>
      </c>
      <c r="G46" s="23" t="s">
        <v>1218</v>
      </c>
      <c r="H46" s="23" t="s">
        <v>1219</v>
      </c>
      <c r="I46" s="23" t="s">
        <v>1220</v>
      </c>
      <c r="J46" s="23" t="s">
        <v>466</v>
      </c>
      <c r="K46" s="24" t="s">
        <v>386</v>
      </c>
      <c r="L46" s="23" t="s">
        <v>13</v>
      </c>
      <c r="M46" s="25" t="s">
        <v>18</v>
      </c>
      <c r="N46" s="23" t="s">
        <v>40</v>
      </c>
      <c r="O46" s="23" t="s">
        <v>387</v>
      </c>
      <c r="P46" s="23" t="s">
        <v>40</v>
      </c>
      <c r="Q46" s="23" t="s">
        <v>40</v>
      </c>
      <c r="R46" s="23" t="s">
        <v>1072</v>
      </c>
      <c r="S46" s="23" t="s">
        <v>40</v>
      </c>
      <c r="T46" s="23" t="s">
        <v>1221</v>
      </c>
    </row>
    <row r="47" spans="1:20" x14ac:dyDescent="0.25">
      <c r="A47" s="23" t="s">
        <v>1222</v>
      </c>
      <c r="B47" s="23" t="s">
        <v>83</v>
      </c>
      <c r="C47" s="23" t="s">
        <v>461</v>
      </c>
      <c r="D47" s="23" t="s">
        <v>1223</v>
      </c>
      <c r="E47" s="23" t="s">
        <v>1067</v>
      </c>
      <c r="F47" s="23" t="s">
        <v>40</v>
      </c>
      <c r="G47" s="23" t="s">
        <v>1224</v>
      </c>
      <c r="H47" s="23" t="s">
        <v>1225</v>
      </c>
      <c r="I47" s="23" t="s">
        <v>1226</v>
      </c>
      <c r="J47" s="23" t="s">
        <v>385</v>
      </c>
      <c r="K47" s="32" t="s">
        <v>747</v>
      </c>
      <c r="L47" s="23" t="s">
        <v>490</v>
      </c>
      <c r="M47" s="25" t="s">
        <v>18</v>
      </c>
      <c r="N47" s="23" t="s">
        <v>40</v>
      </c>
      <c r="O47" s="23" t="s">
        <v>387</v>
      </c>
      <c r="P47" s="23" t="s">
        <v>40</v>
      </c>
      <c r="Q47" s="23" t="s">
        <v>40</v>
      </c>
      <c r="R47" s="23" t="s">
        <v>1072</v>
      </c>
      <c r="S47" s="23" t="s">
        <v>40</v>
      </c>
      <c r="T47" s="23" t="s">
        <v>1227</v>
      </c>
    </row>
    <row r="48" spans="1:20" x14ac:dyDescent="0.25">
      <c r="A48" s="23" t="s">
        <v>1228</v>
      </c>
      <c r="B48" s="23" t="s">
        <v>83</v>
      </c>
      <c r="C48" s="23" t="s">
        <v>1229</v>
      </c>
      <c r="D48" s="23" t="s">
        <v>1230</v>
      </c>
      <c r="E48" s="23" t="s">
        <v>1067</v>
      </c>
      <c r="F48" s="23" t="s">
        <v>1231</v>
      </c>
      <c r="G48" s="23" t="s">
        <v>1232</v>
      </c>
      <c r="H48" s="23" t="s">
        <v>1233</v>
      </c>
      <c r="I48" s="23" t="s">
        <v>1234</v>
      </c>
      <c r="J48" s="23" t="s">
        <v>466</v>
      </c>
      <c r="K48" s="24" t="s">
        <v>386</v>
      </c>
      <c r="L48" s="23" t="s">
        <v>13</v>
      </c>
      <c r="M48" s="25" t="s">
        <v>18</v>
      </c>
      <c r="N48" s="23" t="s">
        <v>40</v>
      </c>
      <c r="O48" s="23" t="s">
        <v>387</v>
      </c>
      <c r="P48" s="23" t="s">
        <v>40</v>
      </c>
      <c r="Q48" s="23" t="s">
        <v>40</v>
      </c>
      <c r="R48" s="23" t="s">
        <v>1072</v>
      </c>
      <c r="S48" s="23" t="s">
        <v>40</v>
      </c>
      <c r="T48" s="23" t="s">
        <v>1235</v>
      </c>
    </row>
    <row r="49" spans="1:20" x14ac:dyDescent="0.25">
      <c r="A49" s="23" t="s">
        <v>1236</v>
      </c>
      <c r="B49" s="23" t="s">
        <v>83</v>
      </c>
      <c r="C49" s="23" t="s">
        <v>1229</v>
      </c>
      <c r="D49" s="23" t="s">
        <v>1237</v>
      </c>
      <c r="E49" s="23" t="s">
        <v>1067</v>
      </c>
      <c r="F49" s="23" t="s">
        <v>1238</v>
      </c>
      <c r="G49" s="23" t="s">
        <v>1239</v>
      </c>
      <c r="H49" s="23" t="s">
        <v>1240</v>
      </c>
      <c r="I49" s="23" t="s">
        <v>1241</v>
      </c>
      <c r="J49" s="23" t="s">
        <v>466</v>
      </c>
      <c r="K49" s="27" t="s">
        <v>404</v>
      </c>
      <c r="L49" s="23" t="s">
        <v>405</v>
      </c>
      <c r="M49" s="25" t="s">
        <v>18</v>
      </c>
      <c r="N49" s="23" t="s">
        <v>40</v>
      </c>
      <c r="O49" s="23" t="s">
        <v>387</v>
      </c>
      <c r="P49" s="23" t="s">
        <v>40</v>
      </c>
      <c r="Q49" s="23" t="s">
        <v>40</v>
      </c>
      <c r="R49" s="23" t="s">
        <v>1072</v>
      </c>
      <c r="S49" s="23" t="s">
        <v>40</v>
      </c>
      <c r="T49" s="23" t="s">
        <v>40</v>
      </c>
    </row>
    <row r="50" spans="1:20" x14ac:dyDescent="0.25">
      <c r="A50" s="23" t="s">
        <v>1242</v>
      </c>
      <c r="B50" s="23" t="s">
        <v>83</v>
      </c>
      <c r="C50" s="23" t="s">
        <v>1229</v>
      </c>
      <c r="D50" s="23" t="s">
        <v>1243</v>
      </c>
      <c r="E50" s="23" t="s">
        <v>1067</v>
      </c>
      <c r="F50" s="23" t="s">
        <v>1244</v>
      </c>
      <c r="G50" s="23" t="s">
        <v>1245</v>
      </c>
      <c r="H50" s="23" t="s">
        <v>1246</v>
      </c>
      <c r="I50" s="23" t="s">
        <v>1247</v>
      </c>
      <c r="J50" s="23" t="s">
        <v>14</v>
      </c>
      <c r="K50" s="27" t="s">
        <v>404</v>
      </c>
      <c r="L50" s="23" t="s">
        <v>490</v>
      </c>
      <c r="M50" s="25" t="s">
        <v>18</v>
      </c>
      <c r="N50" s="23" t="s">
        <v>40</v>
      </c>
      <c r="O50" s="23" t="s">
        <v>387</v>
      </c>
      <c r="P50" s="23" t="s">
        <v>40</v>
      </c>
      <c r="Q50" s="23" t="s">
        <v>40</v>
      </c>
      <c r="R50" s="23" t="s">
        <v>1072</v>
      </c>
      <c r="S50" s="23" t="s">
        <v>40</v>
      </c>
      <c r="T50" s="23" t="s">
        <v>1235</v>
      </c>
    </row>
    <row r="51" spans="1:20" x14ac:dyDescent="0.25">
      <c r="A51" s="23" t="s">
        <v>1248</v>
      </c>
      <c r="B51" s="23" t="s">
        <v>83</v>
      </c>
      <c r="C51" s="23" t="s">
        <v>1229</v>
      </c>
      <c r="D51" s="23" t="s">
        <v>1249</v>
      </c>
      <c r="E51" s="23" t="s">
        <v>1067</v>
      </c>
      <c r="F51" s="23" t="s">
        <v>1250</v>
      </c>
      <c r="G51" s="23" t="s">
        <v>1251</v>
      </c>
      <c r="H51" s="23" t="s">
        <v>1252</v>
      </c>
      <c r="I51" s="23" t="s">
        <v>1253</v>
      </c>
      <c r="J51" s="23" t="s">
        <v>466</v>
      </c>
      <c r="K51" s="27" t="s">
        <v>404</v>
      </c>
      <c r="L51" s="23" t="s">
        <v>490</v>
      </c>
      <c r="M51" s="25" t="s">
        <v>18</v>
      </c>
      <c r="N51" s="23" t="s">
        <v>40</v>
      </c>
      <c r="O51" s="23" t="s">
        <v>387</v>
      </c>
      <c r="P51" s="23" t="s">
        <v>40</v>
      </c>
      <c r="Q51" s="23" t="s">
        <v>40</v>
      </c>
      <c r="R51" s="23" t="s">
        <v>1072</v>
      </c>
      <c r="S51" s="23" t="s">
        <v>40</v>
      </c>
      <c r="T51" s="23" t="s">
        <v>40</v>
      </c>
    </row>
    <row r="52" spans="1:20" x14ac:dyDescent="0.25">
      <c r="A52" s="23" t="s">
        <v>1254</v>
      </c>
      <c r="B52" s="23" t="s">
        <v>83</v>
      </c>
      <c r="C52" s="23" t="s">
        <v>1229</v>
      </c>
      <c r="D52" s="23" t="s">
        <v>1255</v>
      </c>
      <c r="E52" s="23" t="s">
        <v>1067</v>
      </c>
      <c r="F52" s="23" t="s">
        <v>1256</v>
      </c>
      <c r="G52" s="23" t="s">
        <v>1257</v>
      </c>
      <c r="H52" s="23" t="s">
        <v>1258</v>
      </c>
      <c r="I52" s="23" t="s">
        <v>1259</v>
      </c>
      <c r="J52" s="23" t="s">
        <v>466</v>
      </c>
      <c r="K52" s="27" t="s">
        <v>404</v>
      </c>
      <c r="L52" s="23" t="s">
        <v>405</v>
      </c>
      <c r="M52" s="25" t="s">
        <v>18</v>
      </c>
      <c r="N52" s="23" t="s">
        <v>40</v>
      </c>
      <c r="O52" s="23" t="s">
        <v>387</v>
      </c>
      <c r="P52" s="23" t="s">
        <v>40</v>
      </c>
      <c r="Q52" s="23" t="s">
        <v>40</v>
      </c>
      <c r="R52" s="23" t="s">
        <v>1072</v>
      </c>
      <c r="S52" s="23" t="s">
        <v>40</v>
      </c>
      <c r="T52" s="23" t="s">
        <v>40</v>
      </c>
    </row>
    <row r="53" spans="1:20" x14ac:dyDescent="0.25">
      <c r="A53" s="23" t="s">
        <v>1260</v>
      </c>
      <c r="B53" s="23" t="s">
        <v>83</v>
      </c>
      <c r="C53" s="23" t="s">
        <v>1229</v>
      </c>
      <c r="D53" s="23" t="s">
        <v>1261</v>
      </c>
      <c r="E53" s="23" t="s">
        <v>1067</v>
      </c>
      <c r="F53" s="23" t="s">
        <v>1262</v>
      </c>
      <c r="G53" s="23" t="s">
        <v>1263</v>
      </c>
      <c r="H53" s="23" t="s">
        <v>1264</v>
      </c>
      <c r="I53" s="23" t="s">
        <v>1265</v>
      </c>
      <c r="J53" s="23" t="s">
        <v>466</v>
      </c>
      <c r="K53" s="27" t="s">
        <v>404</v>
      </c>
      <c r="L53" s="23" t="s">
        <v>405</v>
      </c>
      <c r="M53" s="28" t="s">
        <v>16</v>
      </c>
      <c r="N53" s="23" t="s">
        <v>977</v>
      </c>
      <c r="O53" s="29" t="s">
        <v>87</v>
      </c>
      <c r="P53" s="23" t="s">
        <v>40</v>
      </c>
      <c r="Q53" s="23" t="s">
        <v>40</v>
      </c>
      <c r="R53" s="23" t="s">
        <v>1072</v>
      </c>
      <c r="S53" s="23" t="s">
        <v>40</v>
      </c>
      <c r="T53" s="23" t="s">
        <v>40</v>
      </c>
    </row>
    <row r="54" spans="1:20" x14ac:dyDescent="0.25">
      <c r="A54" s="23" t="s">
        <v>1266</v>
      </c>
      <c r="B54" s="23" t="s">
        <v>83</v>
      </c>
      <c r="C54" s="23" t="s">
        <v>1229</v>
      </c>
      <c r="D54" s="23" t="s">
        <v>1267</v>
      </c>
      <c r="E54" s="23" t="s">
        <v>1067</v>
      </c>
      <c r="F54" s="23" t="s">
        <v>1268</v>
      </c>
      <c r="G54" s="23" t="s">
        <v>1269</v>
      </c>
      <c r="H54" s="23" t="s">
        <v>1270</v>
      </c>
      <c r="I54" s="23" t="s">
        <v>1271</v>
      </c>
      <c r="J54" s="23" t="s">
        <v>489</v>
      </c>
      <c r="K54" s="27" t="s">
        <v>404</v>
      </c>
      <c r="L54" s="23" t="s">
        <v>405</v>
      </c>
      <c r="M54" s="25" t="s">
        <v>18</v>
      </c>
      <c r="N54" s="23" t="s">
        <v>40</v>
      </c>
      <c r="O54" s="23" t="s">
        <v>387</v>
      </c>
      <c r="P54" s="23" t="s">
        <v>40</v>
      </c>
      <c r="Q54" s="23" t="s">
        <v>40</v>
      </c>
      <c r="R54" s="23" t="s">
        <v>1072</v>
      </c>
      <c r="S54" s="23" t="s">
        <v>40</v>
      </c>
      <c r="T54" s="23" t="s">
        <v>1235</v>
      </c>
    </row>
    <row r="55" spans="1:20" x14ac:dyDescent="0.25">
      <c r="A55" s="23" t="s">
        <v>1272</v>
      </c>
      <c r="B55" s="23" t="s">
        <v>83</v>
      </c>
      <c r="C55" s="23" t="s">
        <v>1229</v>
      </c>
      <c r="D55" s="23" t="s">
        <v>1273</v>
      </c>
      <c r="E55" s="23" t="s">
        <v>1067</v>
      </c>
      <c r="F55" s="23" t="s">
        <v>40</v>
      </c>
      <c r="G55" s="23" t="s">
        <v>1274</v>
      </c>
      <c r="H55" s="23" t="s">
        <v>1275</v>
      </c>
      <c r="I55" s="23" t="s">
        <v>1276</v>
      </c>
      <c r="J55" s="23" t="s">
        <v>14</v>
      </c>
      <c r="K55" s="27" t="s">
        <v>404</v>
      </c>
      <c r="L55" s="23" t="s">
        <v>490</v>
      </c>
      <c r="M55" s="25" t="s">
        <v>18</v>
      </c>
      <c r="N55" s="23" t="s">
        <v>40</v>
      </c>
      <c r="O55" s="23" t="s">
        <v>387</v>
      </c>
      <c r="P55" s="23" t="s">
        <v>40</v>
      </c>
      <c r="Q55" s="23" t="s">
        <v>40</v>
      </c>
      <c r="R55" s="23" t="s">
        <v>1072</v>
      </c>
      <c r="S55" s="23" t="s">
        <v>40</v>
      </c>
      <c r="T55" s="23" t="s">
        <v>1221</v>
      </c>
    </row>
    <row r="56" spans="1:20" x14ac:dyDescent="0.25">
      <c r="A56" s="23" t="s">
        <v>1277</v>
      </c>
      <c r="B56" s="23" t="s">
        <v>83</v>
      </c>
      <c r="C56" s="23" t="s">
        <v>1229</v>
      </c>
      <c r="D56" s="23" t="s">
        <v>1278</v>
      </c>
      <c r="E56" s="23" t="s">
        <v>1067</v>
      </c>
      <c r="F56" s="23" t="s">
        <v>1279</v>
      </c>
      <c r="G56" s="23" t="s">
        <v>1280</v>
      </c>
      <c r="H56" s="23" t="s">
        <v>1281</v>
      </c>
      <c r="I56" s="23" t="s">
        <v>1282</v>
      </c>
      <c r="J56" s="23" t="s">
        <v>466</v>
      </c>
      <c r="K56" s="24" t="s">
        <v>386</v>
      </c>
      <c r="L56" s="23" t="s">
        <v>13</v>
      </c>
      <c r="M56" s="25" t="s">
        <v>18</v>
      </c>
      <c r="N56" s="23" t="s">
        <v>40</v>
      </c>
      <c r="O56" s="23" t="s">
        <v>387</v>
      </c>
      <c r="P56" s="23" t="s">
        <v>40</v>
      </c>
      <c r="Q56" s="23" t="s">
        <v>40</v>
      </c>
      <c r="R56" s="23" t="s">
        <v>1072</v>
      </c>
      <c r="S56" s="23" t="s">
        <v>40</v>
      </c>
      <c r="T56" s="23" t="s">
        <v>1283</v>
      </c>
    </row>
    <row r="57" spans="1:20" x14ac:dyDescent="0.25">
      <c r="A57" s="23" t="s">
        <v>1284</v>
      </c>
      <c r="B57" s="23" t="s">
        <v>83</v>
      </c>
      <c r="C57" s="23" t="s">
        <v>1229</v>
      </c>
      <c r="D57" s="23" t="s">
        <v>1285</v>
      </c>
      <c r="E57" s="23" t="s">
        <v>1067</v>
      </c>
      <c r="F57" s="23" t="s">
        <v>40</v>
      </c>
      <c r="G57" s="23" t="s">
        <v>1286</v>
      </c>
      <c r="H57" s="23" t="s">
        <v>1287</v>
      </c>
      <c r="I57" s="23" t="s">
        <v>1288</v>
      </c>
      <c r="J57" s="23" t="s">
        <v>489</v>
      </c>
      <c r="K57" s="27" t="s">
        <v>404</v>
      </c>
      <c r="L57" s="23" t="s">
        <v>490</v>
      </c>
      <c r="M57" s="25" t="s">
        <v>18</v>
      </c>
      <c r="N57" s="23" t="s">
        <v>40</v>
      </c>
      <c r="O57" s="23" t="s">
        <v>387</v>
      </c>
      <c r="P57" s="23" t="s">
        <v>40</v>
      </c>
      <c r="Q57" s="23" t="s">
        <v>40</v>
      </c>
      <c r="R57" s="23" t="s">
        <v>1072</v>
      </c>
      <c r="S57" s="23" t="s">
        <v>40</v>
      </c>
      <c r="T57" s="23" t="s">
        <v>1235</v>
      </c>
    </row>
    <row r="58" spans="1:20" x14ac:dyDescent="0.25">
      <c r="A58" s="23" t="s">
        <v>1289</v>
      </c>
      <c r="B58" s="23" t="s">
        <v>83</v>
      </c>
      <c r="C58" s="23" t="s">
        <v>1229</v>
      </c>
      <c r="D58" s="23" t="s">
        <v>1290</v>
      </c>
      <c r="E58" s="23" t="s">
        <v>1067</v>
      </c>
      <c r="F58" s="23" t="s">
        <v>40</v>
      </c>
      <c r="G58" s="23" t="s">
        <v>1291</v>
      </c>
      <c r="H58" s="23" t="s">
        <v>1292</v>
      </c>
      <c r="I58" s="23" t="s">
        <v>1293</v>
      </c>
      <c r="J58" s="23" t="s">
        <v>385</v>
      </c>
      <c r="K58" s="32" t="s">
        <v>747</v>
      </c>
      <c r="L58" s="23" t="s">
        <v>490</v>
      </c>
      <c r="M58" s="25" t="s">
        <v>18</v>
      </c>
      <c r="N58" s="23" t="s">
        <v>40</v>
      </c>
      <c r="O58" s="23" t="s">
        <v>387</v>
      </c>
      <c r="P58" s="23" t="s">
        <v>40</v>
      </c>
      <c r="Q58" s="23" t="s">
        <v>40</v>
      </c>
      <c r="R58" s="23" t="s">
        <v>1072</v>
      </c>
      <c r="S58" s="23" t="s">
        <v>40</v>
      </c>
      <c r="T58" s="23" t="s">
        <v>1294</v>
      </c>
    </row>
    <row r="59" spans="1:20" x14ac:dyDescent="0.25">
      <c r="A59" s="23" t="s">
        <v>1295</v>
      </c>
      <c r="B59" s="23" t="s">
        <v>83</v>
      </c>
      <c r="C59" s="23" t="s">
        <v>1229</v>
      </c>
      <c r="D59" s="23" t="s">
        <v>1296</v>
      </c>
      <c r="E59" s="23" t="s">
        <v>1067</v>
      </c>
      <c r="F59" s="23" t="s">
        <v>1297</v>
      </c>
      <c r="G59" s="23" t="s">
        <v>1298</v>
      </c>
      <c r="H59" s="23" t="s">
        <v>1299</v>
      </c>
      <c r="I59" s="23" t="s">
        <v>1300</v>
      </c>
      <c r="J59" s="23" t="s">
        <v>466</v>
      </c>
      <c r="K59" s="24" t="s">
        <v>386</v>
      </c>
      <c r="L59" s="23" t="s">
        <v>13</v>
      </c>
      <c r="M59" s="25" t="s">
        <v>18</v>
      </c>
      <c r="N59" s="23" t="s">
        <v>40</v>
      </c>
      <c r="O59" s="23" t="s">
        <v>387</v>
      </c>
      <c r="P59" s="23" t="s">
        <v>40</v>
      </c>
      <c r="Q59" s="23" t="s">
        <v>40</v>
      </c>
      <c r="R59" s="23" t="s">
        <v>1072</v>
      </c>
      <c r="S59" s="23" t="s">
        <v>40</v>
      </c>
      <c r="T59" s="23" t="s">
        <v>1301</v>
      </c>
    </row>
    <row r="60" spans="1:20" x14ac:dyDescent="0.25">
      <c r="A60" s="23" t="s">
        <v>1302</v>
      </c>
      <c r="B60" s="23" t="s">
        <v>83</v>
      </c>
      <c r="C60" s="23" t="s">
        <v>1229</v>
      </c>
      <c r="D60" s="23" t="s">
        <v>1303</v>
      </c>
      <c r="E60" s="23" t="s">
        <v>1067</v>
      </c>
      <c r="F60" s="23" t="s">
        <v>1304</v>
      </c>
      <c r="G60" s="23" t="s">
        <v>1305</v>
      </c>
      <c r="H60" s="23" t="s">
        <v>1306</v>
      </c>
      <c r="I60" s="23" t="s">
        <v>1307</v>
      </c>
      <c r="J60" s="23" t="s">
        <v>489</v>
      </c>
      <c r="K60" s="27" t="s">
        <v>404</v>
      </c>
      <c r="L60" s="23" t="s">
        <v>405</v>
      </c>
      <c r="M60" s="25" t="s">
        <v>18</v>
      </c>
      <c r="N60" s="23" t="s">
        <v>40</v>
      </c>
      <c r="O60" s="23" t="s">
        <v>387</v>
      </c>
      <c r="P60" s="23" t="s">
        <v>40</v>
      </c>
      <c r="Q60" s="23" t="s">
        <v>40</v>
      </c>
      <c r="R60" s="23" t="s">
        <v>1072</v>
      </c>
      <c r="S60" s="23" t="s">
        <v>40</v>
      </c>
      <c r="T60" s="23" t="s">
        <v>1308</v>
      </c>
    </row>
    <row r="61" spans="1:20" x14ac:dyDescent="0.25">
      <c r="A61" s="23" t="s">
        <v>1309</v>
      </c>
      <c r="B61" s="23" t="s">
        <v>83</v>
      </c>
      <c r="C61" s="23" t="s">
        <v>1229</v>
      </c>
      <c r="D61" s="23" t="s">
        <v>1310</v>
      </c>
      <c r="E61" s="23" t="s">
        <v>1067</v>
      </c>
      <c r="F61" s="23" t="s">
        <v>1311</v>
      </c>
      <c r="G61" s="23" t="s">
        <v>1312</v>
      </c>
      <c r="H61" s="23" t="s">
        <v>1313</v>
      </c>
      <c r="I61" s="23" t="s">
        <v>1314</v>
      </c>
      <c r="J61" s="23" t="s">
        <v>466</v>
      </c>
      <c r="K61" s="27" t="s">
        <v>404</v>
      </c>
      <c r="L61" s="23" t="s">
        <v>490</v>
      </c>
      <c r="M61" s="25" t="s">
        <v>18</v>
      </c>
      <c r="N61" s="23" t="s">
        <v>40</v>
      </c>
      <c r="O61" s="23" t="s">
        <v>387</v>
      </c>
      <c r="P61" s="23" t="s">
        <v>40</v>
      </c>
      <c r="Q61" s="23" t="s">
        <v>40</v>
      </c>
      <c r="R61" s="23" t="s">
        <v>1072</v>
      </c>
      <c r="S61" s="23" t="s">
        <v>40</v>
      </c>
      <c r="T61" s="23" t="s">
        <v>1308</v>
      </c>
    </row>
    <row r="62" spans="1:20" x14ac:dyDescent="0.25">
      <c r="A62" s="23" t="s">
        <v>1315</v>
      </c>
      <c r="B62" s="23" t="s">
        <v>83</v>
      </c>
      <c r="C62" s="23" t="s">
        <v>1229</v>
      </c>
      <c r="D62" s="23" t="s">
        <v>1316</v>
      </c>
      <c r="E62" s="23" t="s">
        <v>1067</v>
      </c>
      <c r="F62" s="23" t="s">
        <v>1317</v>
      </c>
      <c r="G62" s="23" t="s">
        <v>1318</v>
      </c>
      <c r="H62" s="23" t="s">
        <v>1319</v>
      </c>
      <c r="I62" s="23" t="s">
        <v>1320</v>
      </c>
      <c r="J62" s="23" t="s">
        <v>466</v>
      </c>
      <c r="K62" s="27" t="s">
        <v>404</v>
      </c>
      <c r="L62" s="23" t="s">
        <v>405</v>
      </c>
      <c r="M62" s="25" t="s">
        <v>18</v>
      </c>
      <c r="N62" s="23" t="s">
        <v>40</v>
      </c>
      <c r="O62" s="23" t="s">
        <v>387</v>
      </c>
      <c r="P62" s="23" t="s">
        <v>40</v>
      </c>
      <c r="Q62" s="23" t="s">
        <v>40</v>
      </c>
      <c r="R62" s="23" t="s">
        <v>1072</v>
      </c>
      <c r="S62" s="23" t="s">
        <v>40</v>
      </c>
      <c r="T62" s="23" t="s">
        <v>40</v>
      </c>
    </row>
    <row r="63" spans="1:20" x14ac:dyDescent="0.25">
      <c r="A63" s="23" t="s">
        <v>1321</v>
      </c>
      <c r="B63" s="23" t="s">
        <v>83</v>
      </c>
      <c r="C63" s="23" t="s">
        <v>1229</v>
      </c>
      <c r="D63" s="23" t="s">
        <v>1322</v>
      </c>
      <c r="E63" s="23" t="s">
        <v>1067</v>
      </c>
      <c r="F63" s="23" t="s">
        <v>1323</v>
      </c>
      <c r="G63" s="23" t="s">
        <v>1324</v>
      </c>
      <c r="H63" s="23" t="s">
        <v>1325</v>
      </c>
      <c r="I63" s="23" t="s">
        <v>1326</v>
      </c>
      <c r="J63" s="23" t="s">
        <v>466</v>
      </c>
      <c r="K63" s="24" t="s">
        <v>386</v>
      </c>
      <c r="L63" s="23" t="s">
        <v>13</v>
      </c>
      <c r="M63" s="25" t="s">
        <v>18</v>
      </c>
      <c r="N63" s="23" t="s">
        <v>40</v>
      </c>
      <c r="O63" s="23" t="s">
        <v>387</v>
      </c>
      <c r="P63" s="23" t="s">
        <v>40</v>
      </c>
      <c r="Q63" s="23" t="s">
        <v>40</v>
      </c>
      <c r="R63" s="23" t="s">
        <v>1072</v>
      </c>
      <c r="S63" s="23" t="s">
        <v>40</v>
      </c>
      <c r="T63" s="23" t="s">
        <v>40</v>
      </c>
    </row>
    <row r="64" spans="1:20" x14ac:dyDescent="0.25">
      <c r="A64" s="23" t="s">
        <v>1327</v>
      </c>
      <c r="B64" s="23" t="s">
        <v>83</v>
      </c>
      <c r="C64" s="23" t="s">
        <v>1229</v>
      </c>
      <c r="D64" s="23" t="s">
        <v>1328</v>
      </c>
      <c r="E64" s="23" t="s">
        <v>1067</v>
      </c>
      <c r="F64" s="23" t="s">
        <v>1329</v>
      </c>
      <c r="G64" s="23" t="s">
        <v>1330</v>
      </c>
      <c r="H64" s="23" t="s">
        <v>1331</v>
      </c>
      <c r="I64" s="23" t="s">
        <v>1332</v>
      </c>
      <c r="J64" s="23" t="s">
        <v>466</v>
      </c>
      <c r="K64" s="27" t="s">
        <v>404</v>
      </c>
      <c r="L64" s="23" t="s">
        <v>405</v>
      </c>
      <c r="M64" s="25" t="s">
        <v>18</v>
      </c>
      <c r="N64" s="23" t="s">
        <v>40</v>
      </c>
      <c r="O64" s="23" t="s">
        <v>387</v>
      </c>
      <c r="P64" s="23" t="s">
        <v>40</v>
      </c>
      <c r="Q64" s="23" t="s">
        <v>40</v>
      </c>
      <c r="R64" s="23" t="s">
        <v>1072</v>
      </c>
      <c r="S64" s="23" t="s">
        <v>40</v>
      </c>
      <c r="T64" s="23" t="s">
        <v>1301</v>
      </c>
    </row>
    <row r="65" spans="1:20" x14ac:dyDescent="0.25">
      <c r="A65" s="23" t="s">
        <v>1333</v>
      </c>
      <c r="B65" s="23" t="s">
        <v>83</v>
      </c>
      <c r="C65" s="23" t="s">
        <v>1229</v>
      </c>
      <c r="D65" s="23" t="s">
        <v>1334</v>
      </c>
      <c r="E65" s="23" t="s">
        <v>1067</v>
      </c>
      <c r="F65" s="23" t="s">
        <v>1335</v>
      </c>
      <c r="G65" s="23" t="s">
        <v>1336</v>
      </c>
      <c r="H65" s="23" t="s">
        <v>1337</v>
      </c>
      <c r="I65" s="23" t="s">
        <v>1338</v>
      </c>
      <c r="J65" s="23" t="s">
        <v>489</v>
      </c>
      <c r="K65" s="27" t="s">
        <v>404</v>
      </c>
      <c r="L65" s="23" t="s">
        <v>490</v>
      </c>
      <c r="M65" s="25" t="s">
        <v>18</v>
      </c>
      <c r="N65" s="23" t="s">
        <v>40</v>
      </c>
      <c r="O65" s="23" t="s">
        <v>387</v>
      </c>
      <c r="P65" s="23" t="s">
        <v>40</v>
      </c>
      <c r="Q65" s="23" t="s">
        <v>40</v>
      </c>
      <c r="R65" s="23" t="s">
        <v>1072</v>
      </c>
      <c r="S65" s="23" t="s">
        <v>40</v>
      </c>
      <c r="T65" s="23" t="s">
        <v>40</v>
      </c>
    </row>
    <row r="66" spans="1:20" x14ac:dyDescent="0.25">
      <c r="A66" s="23" t="s">
        <v>1339</v>
      </c>
      <c r="B66" s="23" t="s">
        <v>83</v>
      </c>
      <c r="C66" s="23" t="s">
        <v>1229</v>
      </c>
      <c r="D66" s="23" t="s">
        <v>1340</v>
      </c>
      <c r="E66" s="23" t="s">
        <v>1067</v>
      </c>
      <c r="F66" s="23" t="s">
        <v>40</v>
      </c>
      <c r="G66" s="23" t="s">
        <v>1341</v>
      </c>
      <c r="H66" s="23" t="s">
        <v>1342</v>
      </c>
      <c r="I66" s="23" t="s">
        <v>1343</v>
      </c>
      <c r="J66" s="23" t="s">
        <v>395</v>
      </c>
      <c r="K66" s="24" t="s">
        <v>386</v>
      </c>
      <c r="L66" s="23" t="s">
        <v>405</v>
      </c>
      <c r="M66" s="25" t="s">
        <v>18</v>
      </c>
      <c r="N66" s="23" t="s">
        <v>40</v>
      </c>
      <c r="O66" s="23" t="s">
        <v>387</v>
      </c>
      <c r="P66" s="23" t="s">
        <v>40</v>
      </c>
      <c r="Q66" s="23" t="s">
        <v>40</v>
      </c>
      <c r="R66" s="23" t="s">
        <v>1072</v>
      </c>
      <c r="S66" s="23" t="s">
        <v>40</v>
      </c>
      <c r="T66" s="23" t="s">
        <v>40</v>
      </c>
    </row>
    <row r="67" spans="1:20" x14ac:dyDescent="0.25">
      <c r="A67" s="23" t="s">
        <v>1344</v>
      </c>
      <c r="B67" s="23" t="s">
        <v>83</v>
      </c>
      <c r="C67" s="23" t="s">
        <v>1345</v>
      </c>
      <c r="D67" s="23" t="s">
        <v>1346</v>
      </c>
      <c r="E67" s="23" t="s">
        <v>1347</v>
      </c>
      <c r="F67" s="23" t="s">
        <v>40</v>
      </c>
      <c r="G67" s="23" t="s">
        <v>1348</v>
      </c>
      <c r="H67" s="23" t="s">
        <v>1349</v>
      </c>
      <c r="I67" s="23" t="s">
        <v>1350</v>
      </c>
      <c r="J67" s="23" t="s">
        <v>15</v>
      </c>
      <c r="K67" s="24" t="s">
        <v>386</v>
      </c>
      <c r="L67" s="23" t="s">
        <v>13</v>
      </c>
      <c r="M67" s="25" t="s">
        <v>18</v>
      </c>
      <c r="N67" s="23" t="s">
        <v>40</v>
      </c>
      <c r="O67" s="23" t="s">
        <v>387</v>
      </c>
      <c r="P67" s="23" t="s">
        <v>40</v>
      </c>
      <c r="Q67" s="23" t="s">
        <v>40</v>
      </c>
      <c r="R67" s="23" t="s">
        <v>1072</v>
      </c>
      <c r="S67" s="23" t="s">
        <v>40</v>
      </c>
      <c r="T67" s="23" t="s">
        <v>1351</v>
      </c>
    </row>
    <row r="68" spans="1:20" x14ac:dyDescent="0.25">
      <c r="A68" s="23" t="s">
        <v>1352</v>
      </c>
      <c r="B68" s="23" t="s">
        <v>83</v>
      </c>
      <c r="C68" s="23" t="s">
        <v>1345</v>
      </c>
      <c r="D68" s="23" t="s">
        <v>1353</v>
      </c>
      <c r="E68" s="23" t="s">
        <v>1347</v>
      </c>
      <c r="F68" s="23" t="s">
        <v>40</v>
      </c>
      <c r="G68" s="23" t="s">
        <v>1354</v>
      </c>
      <c r="H68" s="23" t="s">
        <v>1355</v>
      </c>
      <c r="I68" s="23" t="s">
        <v>1356</v>
      </c>
      <c r="J68" s="23" t="s">
        <v>15</v>
      </c>
      <c r="K68" s="27" t="s">
        <v>404</v>
      </c>
      <c r="L68" s="23" t="s">
        <v>405</v>
      </c>
      <c r="M68" s="25" t="s">
        <v>18</v>
      </c>
      <c r="N68" s="23" t="s">
        <v>40</v>
      </c>
      <c r="O68" s="23" t="s">
        <v>387</v>
      </c>
      <c r="P68" s="23" t="s">
        <v>40</v>
      </c>
      <c r="Q68" s="23" t="s">
        <v>40</v>
      </c>
      <c r="R68" s="23" t="s">
        <v>1072</v>
      </c>
      <c r="S68" s="23" t="s">
        <v>40</v>
      </c>
      <c r="T68" s="23" t="s">
        <v>1351</v>
      </c>
    </row>
    <row r="69" spans="1:20" x14ac:dyDescent="0.25">
      <c r="A69" s="23" t="s">
        <v>1357</v>
      </c>
      <c r="B69" s="23" t="s">
        <v>83</v>
      </c>
      <c r="C69" s="23" t="s">
        <v>1345</v>
      </c>
      <c r="D69" s="23" t="s">
        <v>1358</v>
      </c>
      <c r="E69" s="23" t="s">
        <v>1359</v>
      </c>
      <c r="F69" s="23" t="s">
        <v>40</v>
      </c>
      <c r="G69" s="23" t="s">
        <v>1360</v>
      </c>
      <c r="H69" s="23" t="s">
        <v>1361</v>
      </c>
      <c r="I69" s="23" t="s">
        <v>1362</v>
      </c>
      <c r="J69" s="23" t="s">
        <v>15</v>
      </c>
      <c r="K69" s="24" t="s">
        <v>386</v>
      </c>
      <c r="L69" s="23" t="s">
        <v>13</v>
      </c>
      <c r="M69" s="25" t="s">
        <v>18</v>
      </c>
      <c r="N69" s="23" t="s">
        <v>40</v>
      </c>
      <c r="O69" s="23" t="s">
        <v>387</v>
      </c>
      <c r="P69" s="23" t="s">
        <v>40</v>
      </c>
      <c r="Q69" s="23" t="s">
        <v>40</v>
      </c>
      <c r="R69" s="23" t="s">
        <v>1072</v>
      </c>
      <c r="S69" s="23" t="s">
        <v>40</v>
      </c>
      <c r="T69" s="23" t="s">
        <v>1363</v>
      </c>
    </row>
    <row r="70" spans="1:20" x14ac:dyDescent="0.25">
      <c r="A70" s="23" t="s">
        <v>1364</v>
      </c>
      <c r="B70" s="23" t="s">
        <v>83</v>
      </c>
      <c r="C70" s="23" t="s">
        <v>1345</v>
      </c>
      <c r="D70" s="23" t="s">
        <v>1365</v>
      </c>
      <c r="E70" s="23" t="s">
        <v>1366</v>
      </c>
      <c r="F70" s="23" t="s">
        <v>40</v>
      </c>
      <c r="G70" s="23" t="s">
        <v>1367</v>
      </c>
      <c r="H70" s="23" t="s">
        <v>1368</v>
      </c>
      <c r="I70" s="23" t="s">
        <v>1369</v>
      </c>
      <c r="J70" s="23" t="s">
        <v>15</v>
      </c>
      <c r="K70" s="24" t="s">
        <v>386</v>
      </c>
      <c r="L70" s="23" t="s">
        <v>13</v>
      </c>
      <c r="M70" s="25" t="s">
        <v>18</v>
      </c>
      <c r="N70" s="23" t="s">
        <v>40</v>
      </c>
      <c r="O70" s="23" t="s">
        <v>387</v>
      </c>
      <c r="P70" s="23" t="s">
        <v>40</v>
      </c>
      <c r="Q70" s="23" t="s">
        <v>40</v>
      </c>
      <c r="R70" s="23" t="s">
        <v>1072</v>
      </c>
      <c r="S70" s="23" t="s">
        <v>40</v>
      </c>
      <c r="T70" s="23" t="s">
        <v>1301</v>
      </c>
    </row>
    <row r="71" spans="1:20" x14ac:dyDescent="0.25">
      <c r="A71" s="23" t="s">
        <v>1370</v>
      </c>
      <c r="B71" s="23" t="s">
        <v>83</v>
      </c>
      <c r="C71" s="23" t="s">
        <v>1345</v>
      </c>
      <c r="D71" s="23" t="s">
        <v>1371</v>
      </c>
      <c r="E71" s="23" t="s">
        <v>1372</v>
      </c>
      <c r="F71" s="23" t="s">
        <v>40</v>
      </c>
      <c r="G71" s="23" t="s">
        <v>1373</v>
      </c>
      <c r="H71" s="23" t="s">
        <v>1374</v>
      </c>
      <c r="I71" s="23" t="s">
        <v>1375</v>
      </c>
      <c r="J71" s="23" t="s">
        <v>14</v>
      </c>
      <c r="K71" s="27" t="s">
        <v>404</v>
      </c>
      <c r="L71" s="23" t="s">
        <v>490</v>
      </c>
      <c r="M71" s="25" t="s">
        <v>18</v>
      </c>
      <c r="N71" s="23" t="s">
        <v>40</v>
      </c>
      <c r="O71" s="23" t="s">
        <v>387</v>
      </c>
      <c r="P71" s="23" t="s">
        <v>40</v>
      </c>
      <c r="Q71" s="23" t="s">
        <v>40</v>
      </c>
      <c r="R71" s="23" t="s">
        <v>1072</v>
      </c>
      <c r="S71" s="23" t="s">
        <v>40</v>
      </c>
      <c r="T71" s="23" t="s">
        <v>40</v>
      </c>
    </row>
    <row r="72" spans="1:20" x14ac:dyDescent="0.25">
      <c r="A72" s="23" t="s">
        <v>1376</v>
      </c>
      <c r="B72" s="23" t="s">
        <v>83</v>
      </c>
      <c r="C72" s="23" t="s">
        <v>1345</v>
      </c>
      <c r="D72" s="23" t="s">
        <v>1377</v>
      </c>
      <c r="E72" s="23" t="s">
        <v>1067</v>
      </c>
      <c r="F72" s="23" t="s">
        <v>40</v>
      </c>
      <c r="G72" s="23" t="s">
        <v>1378</v>
      </c>
      <c r="H72" s="23" t="s">
        <v>1379</v>
      </c>
      <c r="I72" s="23" t="s">
        <v>1380</v>
      </c>
      <c r="J72" s="23" t="s">
        <v>15</v>
      </c>
      <c r="K72" s="27" t="s">
        <v>404</v>
      </c>
      <c r="L72" s="23" t="s">
        <v>490</v>
      </c>
      <c r="M72" s="25" t="s">
        <v>18</v>
      </c>
      <c r="N72" s="23" t="s">
        <v>40</v>
      </c>
      <c r="O72" s="23" t="s">
        <v>387</v>
      </c>
      <c r="P72" s="23" t="s">
        <v>40</v>
      </c>
      <c r="Q72" s="23" t="s">
        <v>40</v>
      </c>
      <c r="R72" s="23" t="s">
        <v>1072</v>
      </c>
      <c r="S72" s="23" t="s">
        <v>40</v>
      </c>
      <c r="T72" s="23" t="s">
        <v>1381</v>
      </c>
    </row>
    <row r="73" spans="1:20" x14ac:dyDescent="0.25">
      <c r="A73" s="23" t="s">
        <v>1382</v>
      </c>
      <c r="B73" s="23" t="s">
        <v>83</v>
      </c>
      <c r="C73" s="23" t="s">
        <v>1383</v>
      </c>
      <c r="D73" s="23" t="s">
        <v>1384</v>
      </c>
      <c r="E73" s="23" t="s">
        <v>1067</v>
      </c>
      <c r="F73" s="23" t="s">
        <v>1385</v>
      </c>
      <c r="G73" s="23" t="s">
        <v>1386</v>
      </c>
      <c r="H73" s="23" t="s">
        <v>1387</v>
      </c>
      <c r="I73" s="23" t="s">
        <v>1388</v>
      </c>
      <c r="J73" s="23" t="s">
        <v>14</v>
      </c>
      <c r="K73" s="26" t="s">
        <v>396</v>
      </c>
      <c r="L73" s="23" t="s">
        <v>13</v>
      </c>
      <c r="M73" s="28" t="s">
        <v>16</v>
      </c>
      <c r="N73" s="23" t="s">
        <v>977</v>
      </c>
      <c r="O73" s="29" t="s">
        <v>87</v>
      </c>
      <c r="P73" s="23" t="s">
        <v>40</v>
      </c>
      <c r="Q73" s="23" t="s">
        <v>40</v>
      </c>
      <c r="R73" s="23" t="s">
        <v>1072</v>
      </c>
      <c r="S73" s="23" t="s">
        <v>40</v>
      </c>
      <c r="T73" s="23" t="s">
        <v>40</v>
      </c>
    </row>
    <row r="74" spans="1:20" x14ac:dyDescent="0.25">
      <c r="A74" s="23" t="s">
        <v>1389</v>
      </c>
      <c r="B74" s="23" t="s">
        <v>83</v>
      </c>
      <c r="C74" s="23" t="s">
        <v>1383</v>
      </c>
      <c r="D74" s="23" t="s">
        <v>1390</v>
      </c>
      <c r="E74" s="23" t="s">
        <v>1391</v>
      </c>
      <c r="F74" s="23" t="s">
        <v>40</v>
      </c>
      <c r="G74" s="23" t="s">
        <v>1392</v>
      </c>
      <c r="H74" s="23" t="s">
        <v>1393</v>
      </c>
      <c r="I74" s="23" t="s">
        <v>1394</v>
      </c>
      <c r="J74" s="23" t="s">
        <v>563</v>
      </c>
      <c r="K74" s="26" t="s">
        <v>396</v>
      </c>
      <c r="L74" s="23" t="s">
        <v>13</v>
      </c>
      <c r="M74" s="28" t="s">
        <v>16</v>
      </c>
      <c r="N74" s="23" t="s">
        <v>1395</v>
      </c>
      <c r="O74" s="29" t="s">
        <v>87</v>
      </c>
      <c r="P74" s="23" t="s">
        <v>40</v>
      </c>
      <c r="Q74" s="23" t="s">
        <v>40</v>
      </c>
      <c r="R74" s="23" t="s">
        <v>1072</v>
      </c>
      <c r="S74" s="23" t="s">
        <v>40</v>
      </c>
      <c r="T74" s="23" t="s">
        <v>40</v>
      </c>
    </row>
    <row r="75" spans="1:20" x14ac:dyDescent="0.25">
      <c r="A75" s="23" t="s">
        <v>1396</v>
      </c>
      <c r="B75" s="23" t="s">
        <v>83</v>
      </c>
      <c r="C75" s="23" t="s">
        <v>1383</v>
      </c>
      <c r="D75" s="23" t="s">
        <v>1397</v>
      </c>
      <c r="E75" s="23" t="s">
        <v>1067</v>
      </c>
      <c r="F75" s="23" t="s">
        <v>40</v>
      </c>
      <c r="G75" s="23" t="s">
        <v>1398</v>
      </c>
      <c r="H75" s="23" t="s">
        <v>1399</v>
      </c>
      <c r="I75" s="23" t="s">
        <v>1400</v>
      </c>
      <c r="J75" s="23" t="s">
        <v>14</v>
      </c>
      <c r="K75" s="24" t="s">
        <v>386</v>
      </c>
      <c r="L75" s="23" t="s">
        <v>405</v>
      </c>
      <c r="M75" s="25" t="s">
        <v>18</v>
      </c>
      <c r="N75" s="23" t="s">
        <v>40</v>
      </c>
      <c r="O75" s="23" t="s">
        <v>387</v>
      </c>
      <c r="P75" s="23" t="s">
        <v>40</v>
      </c>
      <c r="Q75" s="23" t="s">
        <v>40</v>
      </c>
      <c r="R75" s="23" t="s">
        <v>1072</v>
      </c>
      <c r="S75" s="23" t="s">
        <v>40</v>
      </c>
      <c r="T75" s="23" t="s">
        <v>1401</v>
      </c>
    </row>
    <row r="76" spans="1:20" x14ac:dyDescent="0.25">
      <c r="A76" s="23" t="s">
        <v>1402</v>
      </c>
      <c r="B76" s="23" t="s">
        <v>83</v>
      </c>
      <c r="C76" s="23" t="s">
        <v>1383</v>
      </c>
      <c r="D76" s="23" t="s">
        <v>1403</v>
      </c>
      <c r="E76" s="23" t="s">
        <v>1067</v>
      </c>
      <c r="F76" s="23" t="s">
        <v>40</v>
      </c>
      <c r="G76" s="23" t="s">
        <v>1404</v>
      </c>
      <c r="H76" s="23" t="s">
        <v>1405</v>
      </c>
      <c r="I76" s="23" t="s">
        <v>1406</v>
      </c>
      <c r="J76" s="23" t="s">
        <v>15</v>
      </c>
      <c r="K76" s="24" t="s">
        <v>386</v>
      </c>
      <c r="L76" s="23" t="s">
        <v>13</v>
      </c>
      <c r="M76" s="25" t="s">
        <v>18</v>
      </c>
      <c r="N76" s="23" t="s">
        <v>40</v>
      </c>
      <c r="O76" s="23" t="s">
        <v>387</v>
      </c>
      <c r="P76" s="23" t="s">
        <v>40</v>
      </c>
      <c r="Q76" s="23" t="s">
        <v>40</v>
      </c>
      <c r="R76" s="23" t="s">
        <v>1072</v>
      </c>
      <c r="S76" s="23" t="s">
        <v>40</v>
      </c>
      <c r="T76" s="23" t="s">
        <v>40</v>
      </c>
    </row>
    <row r="77" spans="1:20" x14ac:dyDescent="0.25">
      <c r="A77" s="23" t="s">
        <v>1407</v>
      </c>
      <c r="B77" s="23" t="s">
        <v>83</v>
      </c>
      <c r="C77" s="23" t="s">
        <v>1383</v>
      </c>
      <c r="D77" s="23" t="s">
        <v>1408</v>
      </c>
      <c r="E77" s="23" t="s">
        <v>1067</v>
      </c>
      <c r="F77" s="23" t="s">
        <v>40</v>
      </c>
      <c r="G77" s="23" t="s">
        <v>1409</v>
      </c>
      <c r="H77" s="23" t="s">
        <v>1410</v>
      </c>
      <c r="I77" s="23" t="s">
        <v>1411</v>
      </c>
      <c r="J77" s="23" t="s">
        <v>385</v>
      </c>
      <c r="K77" s="32" t="s">
        <v>747</v>
      </c>
      <c r="L77" s="23" t="s">
        <v>490</v>
      </c>
      <c r="M77" s="28" t="s">
        <v>16</v>
      </c>
      <c r="N77" s="23" t="s">
        <v>977</v>
      </c>
      <c r="O77" s="29" t="s">
        <v>87</v>
      </c>
      <c r="P77" s="23" t="s">
        <v>40</v>
      </c>
      <c r="Q77" s="23" t="s">
        <v>40</v>
      </c>
      <c r="R77" s="23" t="s">
        <v>1072</v>
      </c>
      <c r="S77" s="23" t="s">
        <v>40</v>
      </c>
      <c r="T77" s="23" t="s">
        <v>40</v>
      </c>
    </row>
    <row r="78" spans="1:20" x14ac:dyDescent="0.25">
      <c r="A78" s="23" t="s">
        <v>1412</v>
      </c>
      <c r="B78" s="23" t="s">
        <v>83</v>
      </c>
      <c r="C78" s="23" t="s">
        <v>1383</v>
      </c>
      <c r="D78" s="23" t="s">
        <v>1413</v>
      </c>
      <c r="E78" s="23" t="s">
        <v>1414</v>
      </c>
      <c r="F78" s="23" t="s">
        <v>40</v>
      </c>
      <c r="G78" s="23" t="s">
        <v>1415</v>
      </c>
      <c r="H78" s="23" t="s">
        <v>1416</v>
      </c>
      <c r="I78" s="23" t="s">
        <v>1417</v>
      </c>
      <c r="J78" s="23" t="s">
        <v>801</v>
      </c>
      <c r="K78" s="26" t="s">
        <v>396</v>
      </c>
      <c r="L78" s="23" t="s">
        <v>13</v>
      </c>
      <c r="M78" s="28" t="s">
        <v>16</v>
      </c>
      <c r="N78" s="23" t="s">
        <v>1395</v>
      </c>
      <c r="O78" s="29" t="s">
        <v>87</v>
      </c>
      <c r="P78" s="23" t="s">
        <v>40</v>
      </c>
      <c r="Q78" s="23" t="s">
        <v>40</v>
      </c>
      <c r="R78" s="23" t="s">
        <v>1072</v>
      </c>
      <c r="S78" s="23" t="s">
        <v>40</v>
      </c>
      <c r="T78" s="23" t="s">
        <v>40</v>
      </c>
    </row>
    <row r="79" spans="1:20" x14ac:dyDescent="0.25">
      <c r="A79" s="23" t="s">
        <v>1418</v>
      </c>
      <c r="B79" s="23" t="s">
        <v>83</v>
      </c>
      <c r="C79" s="23" t="s">
        <v>1383</v>
      </c>
      <c r="D79" s="23" t="s">
        <v>1419</v>
      </c>
      <c r="E79" s="23" t="s">
        <v>1067</v>
      </c>
      <c r="F79" s="23" t="s">
        <v>40</v>
      </c>
      <c r="G79" s="23" t="s">
        <v>1420</v>
      </c>
      <c r="H79" s="23" t="s">
        <v>1421</v>
      </c>
      <c r="I79" s="23" t="s">
        <v>1422</v>
      </c>
      <c r="J79" s="23" t="s">
        <v>14</v>
      </c>
      <c r="K79" s="27" t="s">
        <v>404</v>
      </c>
      <c r="L79" s="23" t="s">
        <v>490</v>
      </c>
      <c r="M79" s="28" t="s">
        <v>16</v>
      </c>
      <c r="N79" s="23" t="s">
        <v>977</v>
      </c>
      <c r="O79" s="29" t="s">
        <v>87</v>
      </c>
      <c r="P79" s="23" t="s">
        <v>40</v>
      </c>
      <c r="Q79" s="23" t="s">
        <v>40</v>
      </c>
      <c r="R79" s="23" t="s">
        <v>1072</v>
      </c>
      <c r="S79" s="23" t="s">
        <v>40</v>
      </c>
      <c r="T79" s="23" t="s">
        <v>40</v>
      </c>
    </row>
    <row r="80" spans="1:20" x14ac:dyDescent="0.25">
      <c r="A80" s="23" t="s">
        <v>1423</v>
      </c>
      <c r="B80" s="23" t="s">
        <v>83</v>
      </c>
      <c r="C80" s="23" t="s">
        <v>1383</v>
      </c>
      <c r="D80" s="23" t="s">
        <v>1424</v>
      </c>
      <c r="E80" s="23" t="s">
        <v>1425</v>
      </c>
      <c r="F80" s="23" t="s">
        <v>40</v>
      </c>
      <c r="G80" s="23" t="s">
        <v>1426</v>
      </c>
      <c r="H80" s="23" t="s">
        <v>1427</v>
      </c>
      <c r="I80" s="23" t="s">
        <v>1428</v>
      </c>
      <c r="J80" s="23" t="s">
        <v>395</v>
      </c>
      <c r="K80" s="24" t="s">
        <v>386</v>
      </c>
      <c r="L80" s="23" t="s">
        <v>405</v>
      </c>
      <c r="M80" s="25" t="s">
        <v>18</v>
      </c>
      <c r="N80" s="23" t="s">
        <v>40</v>
      </c>
      <c r="O80" s="23" t="s">
        <v>387</v>
      </c>
      <c r="P80" s="23" t="s">
        <v>40</v>
      </c>
      <c r="Q80" s="23" t="s">
        <v>40</v>
      </c>
      <c r="R80" s="23" t="s">
        <v>1072</v>
      </c>
      <c r="S80" s="23" t="s">
        <v>40</v>
      </c>
      <c r="T80" s="23" t="s">
        <v>40</v>
      </c>
    </row>
    <row r="81" spans="1:20" x14ac:dyDescent="0.25">
      <c r="A81" s="23" t="s">
        <v>1429</v>
      </c>
      <c r="B81" s="23" t="s">
        <v>83</v>
      </c>
      <c r="C81" s="23" t="s">
        <v>1383</v>
      </c>
      <c r="D81" s="23" t="s">
        <v>1430</v>
      </c>
      <c r="E81" s="23" t="s">
        <v>1067</v>
      </c>
      <c r="F81" s="23" t="s">
        <v>40</v>
      </c>
      <c r="G81" s="23" t="s">
        <v>1431</v>
      </c>
      <c r="H81" s="23" t="s">
        <v>1432</v>
      </c>
      <c r="I81" s="23" t="s">
        <v>1433</v>
      </c>
      <c r="J81" s="23" t="s">
        <v>466</v>
      </c>
      <c r="K81" s="27" t="s">
        <v>404</v>
      </c>
      <c r="L81" s="23" t="s">
        <v>490</v>
      </c>
      <c r="M81" s="25" t="s">
        <v>18</v>
      </c>
      <c r="N81" s="23" t="s">
        <v>40</v>
      </c>
      <c r="O81" s="23" t="s">
        <v>387</v>
      </c>
      <c r="P81" s="23" t="s">
        <v>40</v>
      </c>
      <c r="Q81" s="23" t="s">
        <v>40</v>
      </c>
      <c r="R81" s="23" t="s">
        <v>1072</v>
      </c>
      <c r="S81" s="23" t="s">
        <v>40</v>
      </c>
      <c r="T81" s="23" t="s">
        <v>40</v>
      </c>
    </row>
    <row r="82" spans="1:20" x14ac:dyDescent="0.25">
      <c r="A82" s="23" t="s">
        <v>1434</v>
      </c>
      <c r="B82" s="23" t="s">
        <v>83</v>
      </c>
      <c r="C82" s="23" t="s">
        <v>1435</v>
      </c>
      <c r="D82" s="23" t="s">
        <v>1436</v>
      </c>
      <c r="E82" s="23" t="s">
        <v>1067</v>
      </c>
      <c r="F82" s="23" t="s">
        <v>40</v>
      </c>
      <c r="G82" s="23" t="s">
        <v>1437</v>
      </c>
      <c r="H82" s="23" t="s">
        <v>1438</v>
      </c>
      <c r="I82" s="23" t="s">
        <v>1439</v>
      </c>
      <c r="J82" s="23" t="s">
        <v>14</v>
      </c>
      <c r="K82" s="24" t="s">
        <v>386</v>
      </c>
      <c r="L82" s="23" t="s">
        <v>405</v>
      </c>
      <c r="M82" s="28" t="s">
        <v>16</v>
      </c>
      <c r="N82" s="23" t="s">
        <v>977</v>
      </c>
      <c r="O82" s="29" t="s">
        <v>87</v>
      </c>
      <c r="P82" s="23" t="s">
        <v>40</v>
      </c>
      <c r="Q82" s="23" t="s">
        <v>40</v>
      </c>
      <c r="R82" s="23" t="s">
        <v>1072</v>
      </c>
      <c r="S82" s="23" t="s">
        <v>40</v>
      </c>
      <c r="T82" s="23" t="s">
        <v>1440</v>
      </c>
    </row>
    <row r="83" spans="1:20" x14ac:dyDescent="0.25">
      <c r="A83" s="23" t="s">
        <v>1441</v>
      </c>
      <c r="B83" s="23" t="s">
        <v>83</v>
      </c>
      <c r="C83" s="23" t="s">
        <v>1435</v>
      </c>
      <c r="D83" s="23" t="s">
        <v>1442</v>
      </c>
      <c r="E83" s="23" t="s">
        <v>1067</v>
      </c>
      <c r="F83" s="23" t="s">
        <v>40</v>
      </c>
      <c r="G83" s="23" t="s">
        <v>1443</v>
      </c>
      <c r="H83" s="23" t="s">
        <v>1444</v>
      </c>
      <c r="I83" s="23" t="s">
        <v>1445</v>
      </c>
      <c r="J83" s="23" t="s">
        <v>14</v>
      </c>
      <c r="K83" s="27" t="s">
        <v>404</v>
      </c>
      <c r="L83" s="23" t="s">
        <v>490</v>
      </c>
      <c r="M83" s="25" t="s">
        <v>18</v>
      </c>
      <c r="N83" s="23" t="s">
        <v>40</v>
      </c>
      <c r="O83" s="23" t="s">
        <v>387</v>
      </c>
      <c r="P83" s="23" t="s">
        <v>40</v>
      </c>
      <c r="Q83" s="23" t="s">
        <v>40</v>
      </c>
      <c r="R83" s="23" t="s">
        <v>1072</v>
      </c>
      <c r="S83" s="23" t="s">
        <v>40</v>
      </c>
      <c r="T83" s="23" t="s">
        <v>1440</v>
      </c>
    </row>
    <row r="84" spans="1:20" x14ac:dyDescent="0.25">
      <c r="A84" s="23" t="s">
        <v>1446</v>
      </c>
      <c r="B84" s="23" t="s">
        <v>83</v>
      </c>
      <c r="C84" s="23" t="s">
        <v>1435</v>
      </c>
      <c r="D84" s="23" t="s">
        <v>1447</v>
      </c>
      <c r="E84" s="23" t="s">
        <v>1067</v>
      </c>
      <c r="F84" s="23" t="s">
        <v>40</v>
      </c>
      <c r="G84" s="23" t="s">
        <v>1448</v>
      </c>
      <c r="H84" s="23" t="s">
        <v>1449</v>
      </c>
      <c r="I84" s="23" t="s">
        <v>1450</v>
      </c>
      <c r="J84" s="23" t="s">
        <v>15</v>
      </c>
      <c r="K84" s="27" t="s">
        <v>404</v>
      </c>
      <c r="L84" s="23" t="s">
        <v>490</v>
      </c>
      <c r="M84" s="25" t="s">
        <v>18</v>
      </c>
      <c r="N84" s="23" t="s">
        <v>40</v>
      </c>
      <c r="O84" s="23" t="s">
        <v>387</v>
      </c>
      <c r="P84" s="23" t="s">
        <v>40</v>
      </c>
      <c r="Q84" s="23" t="s">
        <v>40</v>
      </c>
      <c r="R84" s="23" t="s">
        <v>1072</v>
      </c>
      <c r="S84" s="23" t="s">
        <v>40</v>
      </c>
      <c r="T84" s="23" t="s">
        <v>40</v>
      </c>
    </row>
    <row r="85" spans="1:20" x14ac:dyDescent="0.25">
      <c r="A85" s="23" t="s">
        <v>1451</v>
      </c>
      <c r="B85" s="23" t="s">
        <v>83</v>
      </c>
      <c r="C85" s="23" t="s">
        <v>1435</v>
      </c>
      <c r="D85" s="23" t="s">
        <v>1452</v>
      </c>
      <c r="E85" s="23" t="s">
        <v>1453</v>
      </c>
      <c r="F85" s="23" t="s">
        <v>40</v>
      </c>
      <c r="G85" s="23" t="s">
        <v>1454</v>
      </c>
      <c r="H85" s="23" t="s">
        <v>1455</v>
      </c>
      <c r="I85" s="23" t="s">
        <v>1456</v>
      </c>
      <c r="J85" s="23" t="s">
        <v>801</v>
      </c>
      <c r="K85" s="26" t="s">
        <v>396</v>
      </c>
      <c r="L85" s="23" t="s">
        <v>13</v>
      </c>
      <c r="M85" s="28" t="s">
        <v>16</v>
      </c>
      <c r="N85" s="23" t="s">
        <v>1457</v>
      </c>
      <c r="O85" s="29" t="s">
        <v>87</v>
      </c>
      <c r="P85" s="23" t="s">
        <v>40</v>
      </c>
      <c r="Q85" s="23" t="s">
        <v>40</v>
      </c>
      <c r="R85" s="23" t="s">
        <v>1072</v>
      </c>
      <c r="S85" s="23" t="s">
        <v>40</v>
      </c>
      <c r="T85" s="23" t="s">
        <v>40</v>
      </c>
    </row>
    <row r="86" spans="1:20" x14ac:dyDescent="0.25">
      <c r="A86" s="23" t="s">
        <v>1458</v>
      </c>
      <c r="B86" s="23" t="s">
        <v>1459</v>
      </c>
      <c r="C86" s="23" t="s">
        <v>1460</v>
      </c>
      <c r="D86" s="23" t="s">
        <v>1461</v>
      </c>
      <c r="E86" s="23" t="s">
        <v>965</v>
      </c>
      <c r="F86" s="23" t="s">
        <v>40</v>
      </c>
      <c r="G86" s="23" t="s">
        <v>1462</v>
      </c>
      <c r="H86" s="23" t="s">
        <v>1463</v>
      </c>
      <c r="I86" s="23" t="s">
        <v>1464</v>
      </c>
      <c r="J86" s="23" t="s">
        <v>385</v>
      </c>
      <c r="K86" s="24" t="s">
        <v>386</v>
      </c>
      <c r="L86" s="23" t="s">
        <v>13</v>
      </c>
      <c r="M86" s="28" t="s">
        <v>16</v>
      </c>
      <c r="N86" s="23" t="s">
        <v>1465</v>
      </c>
      <c r="O86" s="29" t="s">
        <v>87</v>
      </c>
      <c r="P86" s="23" t="s">
        <v>40</v>
      </c>
      <c r="Q86" s="23" t="s">
        <v>40</v>
      </c>
      <c r="R86" s="23" t="s">
        <v>1466</v>
      </c>
      <c r="S86" s="23" t="s">
        <v>40</v>
      </c>
      <c r="T86" s="23" t="s">
        <v>40</v>
      </c>
    </row>
    <row r="87" spans="1:20" x14ac:dyDescent="0.25">
      <c r="A87" s="23" t="s">
        <v>1467</v>
      </c>
      <c r="B87" s="23" t="s">
        <v>1459</v>
      </c>
      <c r="C87" s="23" t="s">
        <v>1460</v>
      </c>
      <c r="D87" s="23" t="s">
        <v>1468</v>
      </c>
      <c r="E87" s="23" t="s">
        <v>1469</v>
      </c>
      <c r="F87" s="23" t="s">
        <v>40</v>
      </c>
      <c r="G87" s="23" t="s">
        <v>1470</v>
      </c>
      <c r="H87" s="23" t="s">
        <v>1471</v>
      </c>
      <c r="I87" s="23" t="s">
        <v>1472</v>
      </c>
      <c r="J87" s="23" t="s">
        <v>14</v>
      </c>
      <c r="K87" s="26" t="s">
        <v>396</v>
      </c>
      <c r="L87" s="23" t="s">
        <v>13</v>
      </c>
      <c r="M87" s="28" t="s">
        <v>16</v>
      </c>
      <c r="N87" s="23" t="s">
        <v>1465</v>
      </c>
      <c r="O87" s="29" t="s">
        <v>87</v>
      </c>
      <c r="P87" s="23" t="s">
        <v>40</v>
      </c>
      <c r="Q87" s="23" t="s">
        <v>40</v>
      </c>
      <c r="R87" s="23" t="s">
        <v>1466</v>
      </c>
      <c r="S87" s="23" t="s">
        <v>40</v>
      </c>
      <c r="T87" s="23" t="s">
        <v>40</v>
      </c>
    </row>
    <row r="88" spans="1:20" x14ac:dyDescent="0.25">
      <c r="A88" s="23" t="s">
        <v>1473</v>
      </c>
      <c r="B88" s="23" t="s">
        <v>1459</v>
      </c>
      <c r="C88" s="23" t="s">
        <v>1460</v>
      </c>
      <c r="D88" s="23" t="s">
        <v>1474</v>
      </c>
      <c r="E88" s="23" t="s">
        <v>589</v>
      </c>
      <c r="F88" s="23" t="s">
        <v>40</v>
      </c>
      <c r="G88" s="23" t="s">
        <v>1475</v>
      </c>
      <c r="H88" s="23" t="s">
        <v>1476</v>
      </c>
      <c r="I88" s="23" t="s">
        <v>1477</v>
      </c>
      <c r="J88" s="23" t="s">
        <v>14</v>
      </c>
      <c r="K88" s="24" t="s">
        <v>386</v>
      </c>
      <c r="L88" s="23" t="s">
        <v>405</v>
      </c>
      <c r="M88" s="25" t="s">
        <v>18</v>
      </c>
      <c r="N88" s="23" t="s">
        <v>40</v>
      </c>
      <c r="O88" s="23" t="s">
        <v>387</v>
      </c>
      <c r="P88" s="23" t="s">
        <v>40</v>
      </c>
      <c r="Q88" s="23" t="s">
        <v>40</v>
      </c>
      <c r="R88" s="23" t="s">
        <v>1466</v>
      </c>
      <c r="S88" s="23" t="s">
        <v>1478</v>
      </c>
      <c r="T88" s="23" t="s">
        <v>40</v>
      </c>
    </row>
    <row r="89" spans="1:20" x14ac:dyDescent="0.25">
      <c r="A89" s="23" t="s">
        <v>1479</v>
      </c>
      <c r="B89" s="23" t="s">
        <v>1459</v>
      </c>
      <c r="C89" s="23" t="s">
        <v>1460</v>
      </c>
      <c r="D89" s="23" t="s">
        <v>1480</v>
      </c>
      <c r="E89" s="23" t="s">
        <v>589</v>
      </c>
      <c r="F89" s="23" t="s">
        <v>40</v>
      </c>
      <c r="G89" s="23" t="s">
        <v>1481</v>
      </c>
      <c r="H89" s="23" t="s">
        <v>1482</v>
      </c>
      <c r="I89" s="23" t="s">
        <v>1483</v>
      </c>
      <c r="J89" s="23" t="s">
        <v>395</v>
      </c>
      <c r="K89" s="24" t="s">
        <v>386</v>
      </c>
      <c r="L89" s="23" t="s">
        <v>405</v>
      </c>
      <c r="M89" s="25" t="s">
        <v>18</v>
      </c>
      <c r="N89" s="23" t="s">
        <v>40</v>
      </c>
      <c r="O89" s="23" t="s">
        <v>387</v>
      </c>
      <c r="P89" s="23" t="s">
        <v>40</v>
      </c>
      <c r="Q89" s="23" t="s">
        <v>40</v>
      </c>
      <c r="R89" s="23" t="s">
        <v>1466</v>
      </c>
      <c r="S89" s="23" t="s">
        <v>40</v>
      </c>
      <c r="T89" s="23" t="s">
        <v>1484</v>
      </c>
    </row>
    <row r="90" spans="1:20" x14ac:dyDescent="0.25">
      <c r="A90" s="23" t="s">
        <v>1485</v>
      </c>
      <c r="B90" s="23" t="s">
        <v>1459</v>
      </c>
      <c r="C90" s="23" t="s">
        <v>1460</v>
      </c>
      <c r="D90" s="23" t="s">
        <v>1486</v>
      </c>
      <c r="E90" s="23" t="s">
        <v>1487</v>
      </c>
      <c r="F90" s="23" t="s">
        <v>40</v>
      </c>
      <c r="G90" s="23" t="s">
        <v>1488</v>
      </c>
      <c r="H90" s="23" t="s">
        <v>1489</v>
      </c>
      <c r="I90" s="23" t="s">
        <v>1490</v>
      </c>
      <c r="J90" s="23" t="s">
        <v>14</v>
      </c>
      <c r="K90" s="27" t="s">
        <v>404</v>
      </c>
      <c r="L90" s="23" t="s">
        <v>490</v>
      </c>
      <c r="M90" s="25" t="s">
        <v>18</v>
      </c>
      <c r="N90" s="23" t="s">
        <v>40</v>
      </c>
      <c r="O90" s="23" t="s">
        <v>387</v>
      </c>
      <c r="P90" s="23" t="s">
        <v>40</v>
      </c>
      <c r="Q90" s="23" t="s">
        <v>40</v>
      </c>
      <c r="R90" s="23" t="s">
        <v>1466</v>
      </c>
      <c r="S90" s="23" t="s">
        <v>40</v>
      </c>
      <c r="T90" s="23" t="s">
        <v>40</v>
      </c>
    </row>
    <row r="91" spans="1:20" x14ac:dyDescent="0.25">
      <c r="A91" s="23" t="s">
        <v>1491</v>
      </c>
      <c r="B91" s="23" t="s">
        <v>1459</v>
      </c>
      <c r="C91" s="23" t="s">
        <v>1460</v>
      </c>
      <c r="D91" s="23" t="s">
        <v>1492</v>
      </c>
      <c r="E91" s="23" t="s">
        <v>1493</v>
      </c>
      <c r="F91" s="23" t="s">
        <v>40</v>
      </c>
      <c r="G91" s="23" t="s">
        <v>1494</v>
      </c>
      <c r="H91" s="23" t="s">
        <v>1495</v>
      </c>
      <c r="I91" s="23" t="s">
        <v>1496</v>
      </c>
      <c r="J91" s="23" t="s">
        <v>14</v>
      </c>
      <c r="K91" s="24" t="s">
        <v>386</v>
      </c>
      <c r="L91" s="23" t="s">
        <v>405</v>
      </c>
      <c r="M91" s="25" t="s">
        <v>18</v>
      </c>
      <c r="N91" s="23" t="s">
        <v>40</v>
      </c>
      <c r="O91" s="23" t="s">
        <v>387</v>
      </c>
      <c r="P91" s="23" t="s">
        <v>40</v>
      </c>
      <c r="Q91" s="23" t="s">
        <v>40</v>
      </c>
      <c r="R91" s="23" t="s">
        <v>1466</v>
      </c>
      <c r="S91" s="23" t="s">
        <v>40</v>
      </c>
      <c r="T91" s="23" t="s">
        <v>1119</v>
      </c>
    </row>
    <row r="92" spans="1:20" x14ac:dyDescent="0.25">
      <c r="A92" s="23" t="s">
        <v>1497</v>
      </c>
      <c r="B92" s="23" t="s">
        <v>1459</v>
      </c>
      <c r="C92" s="23" t="s">
        <v>1460</v>
      </c>
      <c r="D92" s="23" t="s">
        <v>1498</v>
      </c>
      <c r="E92" s="23" t="s">
        <v>1499</v>
      </c>
      <c r="F92" s="23" t="s">
        <v>40</v>
      </c>
      <c r="G92" s="23" t="s">
        <v>1500</v>
      </c>
      <c r="H92" s="23" t="s">
        <v>1501</v>
      </c>
      <c r="I92" s="23" t="s">
        <v>1502</v>
      </c>
      <c r="J92" s="23" t="s">
        <v>801</v>
      </c>
      <c r="K92" s="24" t="s">
        <v>386</v>
      </c>
      <c r="L92" s="23" t="s">
        <v>405</v>
      </c>
      <c r="M92" s="25" t="s">
        <v>18</v>
      </c>
      <c r="N92" s="23" t="s">
        <v>40</v>
      </c>
      <c r="O92" s="23" t="s">
        <v>387</v>
      </c>
      <c r="P92" s="23" t="s">
        <v>40</v>
      </c>
      <c r="Q92" s="23" t="s">
        <v>40</v>
      </c>
      <c r="R92" s="23" t="s">
        <v>1466</v>
      </c>
      <c r="S92" s="23" t="s">
        <v>40</v>
      </c>
      <c r="T92" s="23" t="s">
        <v>40</v>
      </c>
    </row>
    <row r="93" spans="1:20" x14ac:dyDescent="0.25">
      <c r="A93" s="23" t="s">
        <v>1503</v>
      </c>
      <c r="B93" s="23" t="s">
        <v>1459</v>
      </c>
      <c r="C93" s="23" t="s">
        <v>1460</v>
      </c>
      <c r="D93" s="23" t="s">
        <v>1504</v>
      </c>
      <c r="E93" s="23" t="s">
        <v>1505</v>
      </c>
      <c r="F93" s="23" t="s">
        <v>40</v>
      </c>
      <c r="G93" s="23" t="s">
        <v>1506</v>
      </c>
      <c r="H93" s="23" t="s">
        <v>1507</v>
      </c>
      <c r="I93" s="23" t="s">
        <v>1508</v>
      </c>
      <c r="J93" s="23" t="s">
        <v>801</v>
      </c>
      <c r="K93" s="27" t="s">
        <v>404</v>
      </c>
      <c r="L93" s="23" t="s">
        <v>490</v>
      </c>
      <c r="M93" s="25" t="s">
        <v>18</v>
      </c>
      <c r="N93" s="23" t="s">
        <v>40</v>
      </c>
      <c r="O93" s="23" t="s">
        <v>387</v>
      </c>
      <c r="P93" s="23" t="s">
        <v>40</v>
      </c>
      <c r="Q93" s="23" t="s">
        <v>40</v>
      </c>
      <c r="R93" s="23" t="s">
        <v>1466</v>
      </c>
      <c r="S93" s="23" t="s">
        <v>1509</v>
      </c>
      <c r="T93" s="23" t="s">
        <v>40</v>
      </c>
    </row>
    <row r="94" spans="1:20" x14ac:dyDescent="0.25">
      <c r="A94" s="23" t="s">
        <v>1510</v>
      </c>
      <c r="B94" s="23" t="s">
        <v>1459</v>
      </c>
      <c r="C94" s="23" t="s">
        <v>1460</v>
      </c>
      <c r="D94" s="23" t="s">
        <v>1511</v>
      </c>
      <c r="E94" s="23" t="s">
        <v>1512</v>
      </c>
      <c r="F94" s="23" t="s">
        <v>40</v>
      </c>
      <c r="G94" s="23" t="s">
        <v>1513</v>
      </c>
      <c r="H94" s="23" t="s">
        <v>1514</v>
      </c>
      <c r="I94" s="23" t="s">
        <v>1515</v>
      </c>
      <c r="J94" s="23" t="s">
        <v>801</v>
      </c>
      <c r="K94" s="27" t="s">
        <v>404</v>
      </c>
      <c r="L94" s="23" t="s">
        <v>490</v>
      </c>
      <c r="M94" s="25" t="s">
        <v>18</v>
      </c>
      <c r="N94" s="23" t="s">
        <v>40</v>
      </c>
      <c r="O94" s="23" t="s">
        <v>387</v>
      </c>
      <c r="P94" s="23" t="s">
        <v>40</v>
      </c>
      <c r="Q94" s="23" t="s">
        <v>40</v>
      </c>
      <c r="R94" s="23" t="s">
        <v>1466</v>
      </c>
      <c r="S94" s="23" t="s">
        <v>40</v>
      </c>
      <c r="T94" s="23" t="s">
        <v>40</v>
      </c>
    </row>
    <row r="95" spans="1:20" x14ac:dyDescent="0.25">
      <c r="A95" s="23" t="s">
        <v>1516</v>
      </c>
      <c r="B95" s="23" t="s">
        <v>1459</v>
      </c>
      <c r="C95" s="23" t="s">
        <v>1460</v>
      </c>
      <c r="D95" s="23" t="s">
        <v>1517</v>
      </c>
      <c r="E95" s="23" t="s">
        <v>589</v>
      </c>
      <c r="F95" s="23" t="s">
        <v>40</v>
      </c>
      <c r="G95" s="23" t="s">
        <v>1518</v>
      </c>
      <c r="H95" s="23" t="s">
        <v>1519</v>
      </c>
      <c r="I95" s="23" t="s">
        <v>1520</v>
      </c>
      <c r="J95" s="23" t="s">
        <v>14</v>
      </c>
      <c r="K95" s="26" t="s">
        <v>396</v>
      </c>
      <c r="L95" s="23" t="s">
        <v>13</v>
      </c>
      <c r="M95" s="28" t="s">
        <v>16</v>
      </c>
      <c r="N95" s="23" t="s">
        <v>1465</v>
      </c>
      <c r="O95" s="29" t="s">
        <v>87</v>
      </c>
      <c r="P95" s="23" t="s">
        <v>40</v>
      </c>
      <c r="Q95" s="23" t="s">
        <v>40</v>
      </c>
      <c r="R95" s="23" t="s">
        <v>1466</v>
      </c>
      <c r="S95" s="23" t="s">
        <v>40</v>
      </c>
      <c r="T95" s="23" t="s">
        <v>40</v>
      </c>
    </row>
    <row r="96" spans="1:20" x14ac:dyDescent="0.25">
      <c r="A96" s="23" t="s">
        <v>1521</v>
      </c>
      <c r="B96" s="23" t="s">
        <v>1459</v>
      </c>
      <c r="C96" s="23" t="s">
        <v>1460</v>
      </c>
      <c r="D96" s="23" t="s">
        <v>1522</v>
      </c>
      <c r="E96" s="23" t="s">
        <v>589</v>
      </c>
      <c r="F96" s="23" t="s">
        <v>40</v>
      </c>
      <c r="G96" s="23" t="s">
        <v>1523</v>
      </c>
      <c r="H96" s="23" t="s">
        <v>1524</v>
      </c>
      <c r="I96" s="23" t="s">
        <v>1525</v>
      </c>
      <c r="J96" s="23" t="s">
        <v>15</v>
      </c>
      <c r="K96" s="27" t="s">
        <v>404</v>
      </c>
      <c r="L96" s="23" t="s">
        <v>490</v>
      </c>
      <c r="M96" s="25" t="s">
        <v>18</v>
      </c>
      <c r="N96" s="23" t="s">
        <v>40</v>
      </c>
      <c r="O96" s="23" t="s">
        <v>387</v>
      </c>
      <c r="P96" s="23" t="s">
        <v>40</v>
      </c>
      <c r="Q96" s="23" t="s">
        <v>40</v>
      </c>
      <c r="R96" s="23" t="s">
        <v>1466</v>
      </c>
      <c r="S96" s="23" t="s">
        <v>40</v>
      </c>
      <c r="T96" s="23" t="s">
        <v>40</v>
      </c>
    </row>
    <row r="97" spans="1:20" x14ac:dyDescent="0.25">
      <c r="A97" s="23" t="s">
        <v>1526</v>
      </c>
      <c r="B97" s="23" t="s">
        <v>1527</v>
      </c>
      <c r="C97" s="23" t="s">
        <v>1528</v>
      </c>
      <c r="D97" s="23" t="s">
        <v>1529</v>
      </c>
      <c r="E97" s="23" t="s">
        <v>1530</v>
      </c>
      <c r="F97" s="23" t="s">
        <v>1531</v>
      </c>
      <c r="G97" s="23" t="s">
        <v>1532</v>
      </c>
      <c r="H97" s="23" t="s">
        <v>1533</v>
      </c>
      <c r="I97" s="23" t="s">
        <v>1534</v>
      </c>
      <c r="J97" s="23" t="s">
        <v>14</v>
      </c>
      <c r="K97" s="26" t="s">
        <v>396</v>
      </c>
      <c r="L97" s="23" t="s">
        <v>13</v>
      </c>
      <c r="M97" s="28" t="s">
        <v>16</v>
      </c>
      <c r="N97" s="23" t="s">
        <v>1465</v>
      </c>
      <c r="O97" s="29" t="s">
        <v>87</v>
      </c>
      <c r="P97" s="23" t="s">
        <v>40</v>
      </c>
      <c r="Q97" s="23" t="s">
        <v>40</v>
      </c>
      <c r="R97" s="23" t="s">
        <v>1535</v>
      </c>
      <c r="S97" s="23" t="s">
        <v>40</v>
      </c>
      <c r="T97" s="23" t="s">
        <v>40</v>
      </c>
    </row>
    <row r="98" spans="1:20" x14ac:dyDescent="0.25">
      <c r="A98" s="23" t="s">
        <v>1536</v>
      </c>
      <c r="B98" s="23" t="s">
        <v>1527</v>
      </c>
      <c r="C98" s="23" t="s">
        <v>1528</v>
      </c>
      <c r="D98" s="23" t="s">
        <v>1537</v>
      </c>
      <c r="E98" s="23" t="s">
        <v>1530</v>
      </c>
      <c r="F98" s="23" t="s">
        <v>40</v>
      </c>
      <c r="G98" s="23" t="s">
        <v>1538</v>
      </c>
      <c r="H98" s="23" t="s">
        <v>1539</v>
      </c>
      <c r="I98" s="23" t="s">
        <v>1540</v>
      </c>
      <c r="J98" s="23" t="s">
        <v>14</v>
      </c>
      <c r="K98" s="26" t="s">
        <v>396</v>
      </c>
      <c r="L98" s="23" t="s">
        <v>13</v>
      </c>
      <c r="M98" s="28" t="s">
        <v>16</v>
      </c>
      <c r="N98" s="23" t="s">
        <v>1465</v>
      </c>
      <c r="O98" s="29" t="s">
        <v>87</v>
      </c>
      <c r="P98" s="23" t="s">
        <v>40</v>
      </c>
      <c r="Q98" s="23" t="s">
        <v>40</v>
      </c>
      <c r="R98" s="23" t="s">
        <v>1535</v>
      </c>
      <c r="S98" s="23" t="s">
        <v>40</v>
      </c>
      <c r="T98" s="23" t="s">
        <v>40</v>
      </c>
    </row>
    <row r="99" spans="1:20" x14ac:dyDescent="0.25">
      <c r="A99" s="23" t="s">
        <v>1541</v>
      </c>
      <c r="B99" s="23" t="s">
        <v>1527</v>
      </c>
      <c r="C99" s="23" t="s">
        <v>1528</v>
      </c>
      <c r="D99" s="23" t="s">
        <v>1542</v>
      </c>
      <c r="E99" s="23" t="s">
        <v>1530</v>
      </c>
      <c r="F99" s="23" t="s">
        <v>40</v>
      </c>
      <c r="G99" s="23" t="s">
        <v>1543</v>
      </c>
      <c r="H99" s="23" t="s">
        <v>1544</v>
      </c>
      <c r="I99" s="23" t="s">
        <v>1545</v>
      </c>
      <c r="J99" s="23" t="s">
        <v>385</v>
      </c>
      <c r="K99" s="32" t="s">
        <v>747</v>
      </c>
      <c r="L99" s="23" t="s">
        <v>490</v>
      </c>
      <c r="M99" s="25" t="s">
        <v>18</v>
      </c>
      <c r="N99" s="23" t="s">
        <v>40</v>
      </c>
      <c r="O99" s="23" t="s">
        <v>387</v>
      </c>
      <c r="P99" s="23" t="s">
        <v>40</v>
      </c>
      <c r="Q99" s="23" t="s">
        <v>40</v>
      </c>
      <c r="R99" s="23" t="s">
        <v>1535</v>
      </c>
      <c r="S99" s="23" t="s">
        <v>40</v>
      </c>
      <c r="T99" s="23" t="s">
        <v>1235</v>
      </c>
    </row>
    <row r="100" spans="1:20" x14ac:dyDescent="0.25">
      <c r="A100" s="23" t="s">
        <v>1546</v>
      </c>
      <c r="B100" s="23" t="s">
        <v>1527</v>
      </c>
      <c r="C100" s="23" t="s">
        <v>1528</v>
      </c>
      <c r="D100" s="23" t="s">
        <v>1547</v>
      </c>
      <c r="E100" s="23" t="s">
        <v>1530</v>
      </c>
      <c r="F100" s="23" t="s">
        <v>40</v>
      </c>
      <c r="G100" s="23" t="s">
        <v>1548</v>
      </c>
      <c r="H100" s="23" t="s">
        <v>1549</v>
      </c>
      <c r="I100" s="23" t="s">
        <v>1550</v>
      </c>
      <c r="J100" s="23" t="s">
        <v>385</v>
      </c>
      <c r="K100" s="27" t="s">
        <v>404</v>
      </c>
      <c r="L100" s="23" t="s">
        <v>405</v>
      </c>
      <c r="M100" s="28" t="s">
        <v>16</v>
      </c>
      <c r="N100" s="23" t="s">
        <v>1465</v>
      </c>
      <c r="O100" s="29" t="s">
        <v>87</v>
      </c>
      <c r="P100" s="23" t="s">
        <v>40</v>
      </c>
      <c r="Q100" s="23" t="s">
        <v>40</v>
      </c>
      <c r="R100" s="23" t="s">
        <v>1535</v>
      </c>
      <c r="S100" s="23" t="s">
        <v>40</v>
      </c>
      <c r="T100" s="23" t="s">
        <v>40</v>
      </c>
    </row>
    <row r="101" spans="1:20" x14ac:dyDescent="0.25">
      <c r="A101" s="23" t="s">
        <v>1551</v>
      </c>
      <c r="B101" s="23" t="s">
        <v>1527</v>
      </c>
      <c r="C101" s="23" t="s">
        <v>1528</v>
      </c>
      <c r="D101" s="23" t="s">
        <v>1552</v>
      </c>
      <c r="E101" s="23" t="s">
        <v>1530</v>
      </c>
      <c r="F101" s="23" t="s">
        <v>40</v>
      </c>
      <c r="G101" s="23" t="s">
        <v>1553</v>
      </c>
      <c r="H101" s="23" t="s">
        <v>1554</v>
      </c>
      <c r="I101" s="23" t="s">
        <v>1555</v>
      </c>
      <c r="J101" s="23" t="s">
        <v>801</v>
      </c>
      <c r="K101" s="24" t="s">
        <v>386</v>
      </c>
      <c r="L101" s="23" t="s">
        <v>405</v>
      </c>
      <c r="M101" s="25" t="s">
        <v>18</v>
      </c>
      <c r="N101" s="23" t="s">
        <v>40</v>
      </c>
      <c r="O101" s="23" t="s">
        <v>387</v>
      </c>
      <c r="P101" s="23" t="s">
        <v>40</v>
      </c>
      <c r="Q101" s="23" t="s">
        <v>40</v>
      </c>
      <c r="R101" s="23" t="s">
        <v>1535</v>
      </c>
      <c r="S101" s="23" t="s">
        <v>40</v>
      </c>
      <c r="T101" s="23" t="s">
        <v>1119</v>
      </c>
    </row>
    <row r="102" spans="1:20" x14ac:dyDescent="0.25">
      <c r="A102" s="23" t="s">
        <v>1556</v>
      </c>
      <c r="B102" s="23" t="s">
        <v>1527</v>
      </c>
      <c r="C102" s="23" t="s">
        <v>1528</v>
      </c>
      <c r="D102" s="23" t="s">
        <v>1557</v>
      </c>
      <c r="E102" s="23" t="s">
        <v>1530</v>
      </c>
      <c r="F102" s="23" t="s">
        <v>40</v>
      </c>
      <c r="G102" s="23" t="s">
        <v>1558</v>
      </c>
      <c r="H102" s="23" t="s">
        <v>1559</v>
      </c>
      <c r="I102" s="23" t="s">
        <v>1560</v>
      </c>
      <c r="J102" s="23" t="s">
        <v>14</v>
      </c>
      <c r="K102" s="24" t="s">
        <v>386</v>
      </c>
      <c r="L102" s="23" t="s">
        <v>405</v>
      </c>
      <c r="M102" s="25" t="s">
        <v>18</v>
      </c>
      <c r="N102" s="23" t="s">
        <v>40</v>
      </c>
      <c r="O102" s="23" t="s">
        <v>387</v>
      </c>
      <c r="P102" s="23" t="s">
        <v>40</v>
      </c>
      <c r="Q102" s="23" t="s">
        <v>40</v>
      </c>
      <c r="R102" s="23" t="s">
        <v>1535</v>
      </c>
      <c r="S102" s="23" t="s">
        <v>40</v>
      </c>
      <c r="T102" s="23" t="s">
        <v>40</v>
      </c>
    </row>
    <row r="103" spans="1:20" x14ac:dyDescent="0.25">
      <c r="A103" s="23" t="s">
        <v>1561</v>
      </c>
      <c r="B103" s="23" t="s">
        <v>1527</v>
      </c>
      <c r="C103" s="23" t="s">
        <v>1528</v>
      </c>
      <c r="D103" s="23" t="s">
        <v>1562</v>
      </c>
      <c r="E103" s="23" t="s">
        <v>1530</v>
      </c>
      <c r="F103" s="23" t="s">
        <v>40</v>
      </c>
      <c r="G103" s="23" t="s">
        <v>1563</v>
      </c>
      <c r="H103" s="23" t="s">
        <v>1564</v>
      </c>
      <c r="I103" s="23" t="s">
        <v>1565</v>
      </c>
      <c r="J103" s="23" t="s">
        <v>14</v>
      </c>
      <c r="K103" s="24" t="s">
        <v>386</v>
      </c>
      <c r="L103" s="23" t="s">
        <v>405</v>
      </c>
      <c r="M103" s="25" t="s">
        <v>18</v>
      </c>
      <c r="N103" s="23" t="s">
        <v>40</v>
      </c>
      <c r="O103" s="23" t="s">
        <v>387</v>
      </c>
      <c r="P103" s="23" t="s">
        <v>40</v>
      </c>
      <c r="Q103" s="23" t="s">
        <v>40</v>
      </c>
      <c r="R103" s="23" t="s">
        <v>1535</v>
      </c>
      <c r="S103" s="23" t="s">
        <v>40</v>
      </c>
      <c r="T103" s="23" t="s">
        <v>40</v>
      </c>
    </row>
    <row r="104" spans="1:20" x14ac:dyDescent="0.25">
      <c r="A104" s="23" t="s">
        <v>1566</v>
      </c>
      <c r="B104" s="23" t="s">
        <v>1527</v>
      </c>
      <c r="C104" s="23" t="s">
        <v>1528</v>
      </c>
      <c r="D104" s="23" t="s">
        <v>1567</v>
      </c>
      <c r="E104" s="23" t="s">
        <v>1568</v>
      </c>
      <c r="F104" s="23" t="s">
        <v>40</v>
      </c>
      <c r="G104" s="23" t="s">
        <v>1569</v>
      </c>
      <c r="H104" s="23" t="s">
        <v>1570</v>
      </c>
      <c r="I104" s="23" t="s">
        <v>1571</v>
      </c>
      <c r="J104" s="23" t="s">
        <v>801</v>
      </c>
      <c r="K104" s="24" t="s">
        <v>386</v>
      </c>
      <c r="L104" s="23" t="s">
        <v>405</v>
      </c>
      <c r="M104" s="25" t="s">
        <v>18</v>
      </c>
      <c r="N104" s="23" t="s">
        <v>40</v>
      </c>
      <c r="O104" s="23" t="s">
        <v>387</v>
      </c>
      <c r="P104" s="23" t="s">
        <v>40</v>
      </c>
      <c r="Q104" s="23" t="s">
        <v>40</v>
      </c>
      <c r="R104" s="23" t="s">
        <v>1535</v>
      </c>
      <c r="S104" s="23" t="s">
        <v>40</v>
      </c>
      <c r="T104" s="23" t="s">
        <v>1572</v>
      </c>
    </row>
    <row r="105" spans="1:20" x14ac:dyDescent="0.25">
      <c r="A105" s="23" t="s">
        <v>1573</v>
      </c>
      <c r="B105" s="23" t="s">
        <v>1527</v>
      </c>
      <c r="C105" s="23" t="s">
        <v>1528</v>
      </c>
      <c r="D105" s="23" t="s">
        <v>1574</v>
      </c>
      <c r="E105" s="23" t="s">
        <v>1530</v>
      </c>
      <c r="F105" s="23" t="s">
        <v>40</v>
      </c>
      <c r="G105" s="23" t="s">
        <v>1575</v>
      </c>
      <c r="H105" s="23" t="s">
        <v>1576</v>
      </c>
      <c r="I105" s="23" t="s">
        <v>1577</v>
      </c>
      <c r="J105" s="23" t="s">
        <v>466</v>
      </c>
      <c r="K105" s="27" t="s">
        <v>404</v>
      </c>
      <c r="L105" s="23" t="s">
        <v>405</v>
      </c>
      <c r="M105" s="25" t="s">
        <v>18</v>
      </c>
      <c r="N105" s="23" t="s">
        <v>40</v>
      </c>
      <c r="O105" s="23" t="s">
        <v>387</v>
      </c>
      <c r="P105" s="23" t="s">
        <v>40</v>
      </c>
      <c r="Q105" s="23" t="s">
        <v>40</v>
      </c>
      <c r="R105" s="23" t="s">
        <v>1535</v>
      </c>
      <c r="S105" s="23" t="s">
        <v>40</v>
      </c>
      <c r="T105" s="23" t="s">
        <v>40</v>
      </c>
    </row>
    <row r="106" spans="1:20" x14ac:dyDescent="0.25">
      <c r="A106" s="23" t="s">
        <v>1578</v>
      </c>
      <c r="B106" s="23" t="s">
        <v>1527</v>
      </c>
      <c r="C106" s="23" t="s">
        <v>1528</v>
      </c>
      <c r="D106" s="23" t="s">
        <v>1579</v>
      </c>
      <c r="E106" s="23" t="s">
        <v>1530</v>
      </c>
      <c r="F106" s="23" t="s">
        <v>40</v>
      </c>
      <c r="G106" s="23" t="s">
        <v>1580</v>
      </c>
      <c r="H106" s="23" t="s">
        <v>1581</v>
      </c>
      <c r="I106" s="23" t="s">
        <v>1582</v>
      </c>
      <c r="J106" s="23" t="s">
        <v>15</v>
      </c>
      <c r="K106" s="24" t="s">
        <v>386</v>
      </c>
      <c r="L106" s="23" t="s">
        <v>13</v>
      </c>
      <c r="M106" s="25" t="s">
        <v>18</v>
      </c>
      <c r="N106" s="23" t="s">
        <v>40</v>
      </c>
      <c r="O106" s="23" t="s">
        <v>387</v>
      </c>
      <c r="P106" s="23" t="s">
        <v>40</v>
      </c>
      <c r="Q106" s="23" t="s">
        <v>40</v>
      </c>
      <c r="R106" s="23" t="s">
        <v>1535</v>
      </c>
      <c r="S106" s="23" t="s">
        <v>40</v>
      </c>
      <c r="T106" s="23" t="s">
        <v>40</v>
      </c>
    </row>
    <row r="107" spans="1:20" x14ac:dyDescent="0.25">
      <c r="A107" s="23" t="s">
        <v>1583</v>
      </c>
      <c r="B107" s="23" t="s">
        <v>1527</v>
      </c>
      <c r="C107" s="23" t="s">
        <v>1528</v>
      </c>
      <c r="D107" s="23" t="s">
        <v>1584</v>
      </c>
      <c r="E107" s="23" t="s">
        <v>1530</v>
      </c>
      <c r="F107" s="23" t="s">
        <v>40</v>
      </c>
      <c r="G107" s="23" t="s">
        <v>1585</v>
      </c>
      <c r="H107" s="23" t="s">
        <v>1586</v>
      </c>
      <c r="I107" s="23" t="s">
        <v>1587</v>
      </c>
      <c r="J107" s="23" t="s">
        <v>15</v>
      </c>
      <c r="K107" s="27" t="s">
        <v>404</v>
      </c>
      <c r="L107" s="23" t="s">
        <v>405</v>
      </c>
      <c r="M107" s="25" t="s">
        <v>18</v>
      </c>
      <c r="N107" s="23" t="s">
        <v>40</v>
      </c>
      <c r="O107" s="23" t="s">
        <v>387</v>
      </c>
      <c r="P107" s="23" t="s">
        <v>40</v>
      </c>
      <c r="Q107" s="23" t="s">
        <v>40</v>
      </c>
      <c r="R107" s="23" t="s">
        <v>1535</v>
      </c>
      <c r="S107" s="23" t="s">
        <v>40</v>
      </c>
      <c r="T107" s="23" t="s">
        <v>1588</v>
      </c>
    </row>
    <row r="108" spans="1:20" x14ac:dyDescent="0.25">
      <c r="A108" s="23" t="s">
        <v>1589</v>
      </c>
      <c r="B108" s="23" t="s">
        <v>1527</v>
      </c>
      <c r="C108" s="23" t="s">
        <v>1528</v>
      </c>
      <c r="D108" s="23" t="s">
        <v>1590</v>
      </c>
      <c r="E108" s="23" t="s">
        <v>1530</v>
      </c>
      <c r="F108" s="23" t="s">
        <v>40</v>
      </c>
      <c r="G108" s="23" t="s">
        <v>1591</v>
      </c>
      <c r="H108" s="23" t="s">
        <v>1592</v>
      </c>
      <c r="I108" s="23" t="s">
        <v>1593</v>
      </c>
      <c r="J108" s="23" t="s">
        <v>15</v>
      </c>
      <c r="K108" s="27" t="s">
        <v>404</v>
      </c>
      <c r="L108" s="23" t="s">
        <v>405</v>
      </c>
      <c r="M108" s="25" t="s">
        <v>18</v>
      </c>
      <c r="N108" s="23" t="s">
        <v>40</v>
      </c>
      <c r="O108" s="23" t="s">
        <v>387</v>
      </c>
      <c r="P108" s="23" t="s">
        <v>40</v>
      </c>
      <c r="Q108" s="23" t="s">
        <v>40</v>
      </c>
      <c r="R108" s="23" t="s">
        <v>1535</v>
      </c>
      <c r="S108" s="23" t="s">
        <v>40</v>
      </c>
      <c r="T108" s="23" t="s">
        <v>40</v>
      </c>
    </row>
    <row r="109" spans="1:20" x14ac:dyDescent="0.25">
      <c r="A109" s="23" t="s">
        <v>1594</v>
      </c>
      <c r="B109" s="23" t="s">
        <v>1527</v>
      </c>
      <c r="C109" s="23" t="s">
        <v>1528</v>
      </c>
      <c r="D109" s="23" t="s">
        <v>1595</v>
      </c>
      <c r="E109" s="23" t="s">
        <v>1530</v>
      </c>
      <c r="F109" s="23" t="s">
        <v>40</v>
      </c>
      <c r="G109" s="23" t="s">
        <v>1596</v>
      </c>
      <c r="H109" s="23" t="s">
        <v>1597</v>
      </c>
      <c r="I109" s="23" t="s">
        <v>1598</v>
      </c>
      <c r="J109" s="23" t="s">
        <v>14</v>
      </c>
      <c r="K109" s="27" t="s">
        <v>404</v>
      </c>
      <c r="L109" s="23" t="s">
        <v>490</v>
      </c>
      <c r="M109" s="25" t="s">
        <v>18</v>
      </c>
      <c r="N109" s="23" t="s">
        <v>40</v>
      </c>
      <c r="O109" s="23" t="s">
        <v>387</v>
      </c>
      <c r="P109" s="23" t="s">
        <v>40</v>
      </c>
      <c r="Q109" s="23" t="s">
        <v>40</v>
      </c>
      <c r="R109" s="23" t="s">
        <v>1535</v>
      </c>
      <c r="S109" s="23" t="s">
        <v>40</v>
      </c>
      <c r="T109" s="23" t="s">
        <v>40</v>
      </c>
    </row>
    <row r="110" spans="1:20" x14ac:dyDescent="0.25">
      <c r="A110" s="23" t="s">
        <v>1599</v>
      </c>
      <c r="B110" s="23" t="s">
        <v>1527</v>
      </c>
      <c r="C110" s="23" t="s">
        <v>1528</v>
      </c>
      <c r="D110" s="23" t="s">
        <v>1600</v>
      </c>
      <c r="E110" s="23" t="s">
        <v>1530</v>
      </c>
      <c r="F110" s="23" t="s">
        <v>1601</v>
      </c>
      <c r="G110" s="23" t="s">
        <v>1602</v>
      </c>
      <c r="H110" s="23" t="s">
        <v>1603</v>
      </c>
      <c r="I110" s="23" t="s">
        <v>1604</v>
      </c>
      <c r="J110" s="23" t="s">
        <v>14</v>
      </c>
      <c r="K110" s="27" t="s">
        <v>404</v>
      </c>
      <c r="L110" s="23" t="s">
        <v>490</v>
      </c>
      <c r="M110" s="25" t="s">
        <v>18</v>
      </c>
      <c r="N110" s="23" t="s">
        <v>40</v>
      </c>
      <c r="O110" s="23" t="s">
        <v>387</v>
      </c>
      <c r="P110" s="23" t="s">
        <v>40</v>
      </c>
      <c r="Q110" s="23" t="s">
        <v>40</v>
      </c>
      <c r="R110" s="23" t="s">
        <v>1535</v>
      </c>
      <c r="S110" s="23" t="s">
        <v>40</v>
      </c>
      <c r="T110" s="23" t="s">
        <v>1235</v>
      </c>
    </row>
    <row r="111" spans="1:20" x14ac:dyDescent="0.25">
      <c r="A111" s="23" t="s">
        <v>1605</v>
      </c>
      <c r="B111" s="23" t="s">
        <v>1527</v>
      </c>
      <c r="C111" s="23" t="s">
        <v>1528</v>
      </c>
      <c r="D111" s="23" t="s">
        <v>1606</v>
      </c>
      <c r="E111" s="23" t="s">
        <v>1530</v>
      </c>
      <c r="F111" s="23" t="s">
        <v>40</v>
      </c>
      <c r="G111" s="23" t="s">
        <v>1607</v>
      </c>
      <c r="H111" s="23" t="s">
        <v>1608</v>
      </c>
      <c r="I111" s="23" t="s">
        <v>1609</v>
      </c>
      <c r="J111" s="23" t="s">
        <v>385</v>
      </c>
      <c r="K111" s="32" t="s">
        <v>747</v>
      </c>
      <c r="L111" s="23" t="s">
        <v>490</v>
      </c>
      <c r="M111" s="28" t="s">
        <v>16</v>
      </c>
      <c r="N111" s="23" t="s">
        <v>1465</v>
      </c>
      <c r="O111" s="29" t="s">
        <v>87</v>
      </c>
      <c r="P111" s="23" t="s">
        <v>40</v>
      </c>
      <c r="Q111" s="23" t="s">
        <v>40</v>
      </c>
      <c r="R111" s="23" t="s">
        <v>1535</v>
      </c>
      <c r="S111" s="23" t="s">
        <v>40</v>
      </c>
      <c r="T111" s="23" t="s">
        <v>40</v>
      </c>
    </row>
    <row r="112" spans="1:20" x14ac:dyDescent="0.25">
      <c r="A112" s="23" t="s">
        <v>1610</v>
      </c>
      <c r="B112" s="23" t="s">
        <v>1459</v>
      </c>
      <c r="C112" s="23" t="s">
        <v>1611</v>
      </c>
      <c r="D112" s="23" t="s">
        <v>1612</v>
      </c>
      <c r="E112" s="23" t="s">
        <v>647</v>
      </c>
      <c r="F112" s="23" t="s">
        <v>1613</v>
      </c>
      <c r="G112" s="23" t="s">
        <v>1614</v>
      </c>
      <c r="H112" s="23" t="s">
        <v>1615</v>
      </c>
      <c r="I112" s="23" t="s">
        <v>1616</v>
      </c>
      <c r="J112" s="23" t="s">
        <v>14</v>
      </c>
      <c r="K112" s="26" t="s">
        <v>396</v>
      </c>
      <c r="L112" s="23" t="s">
        <v>13</v>
      </c>
      <c r="M112" s="25" t="s">
        <v>18</v>
      </c>
      <c r="N112" s="23" t="s">
        <v>40</v>
      </c>
      <c r="O112" s="23" t="s">
        <v>387</v>
      </c>
      <c r="P112" s="23" t="s">
        <v>40</v>
      </c>
      <c r="Q112" s="23" t="s">
        <v>40</v>
      </c>
      <c r="R112" s="23" t="s">
        <v>318</v>
      </c>
      <c r="S112" s="23" t="s">
        <v>1617</v>
      </c>
      <c r="T112" s="23" t="s">
        <v>40</v>
      </c>
    </row>
    <row r="113" spans="1:20" x14ac:dyDescent="0.25">
      <c r="A113" s="23" t="s">
        <v>1618</v>
      </c>
      <c r="B113" s="23" t="s">
        <v>1459</v>
      </c>
      <c r="C113" s="23" t="s">
        <v>1611</v>
      </c>
      <c r="D113" s="23" t="s">
        <v>1619</v>
      </c>
      <c r="E113" s="23" t="s">
        <v>647</v>
      </c>
      <c r="F113" s="23" t="s">
        <v>40</v>
      </c>
      <c r="G113" s="23" t="s">
        <v>1620</v>
      </c>
      <c r="H113" s="23" t="s">
        <v>1621</v>
      </c>
      <c r="I113" s="23" t="s">
        <v>1622</v>
      </c>
      <c r="J113" s="23" t="s">
        <v>466</v>
      </c>
      <c r="K113" s="27" t="s">
        <v>404</v>
      </c>
      <c r="L113" s="23" t="s">
        <v>405</v>
      </c>
      <c r="M113" s="25" t="s">
        <v>18</v>
      </c>
      <c r="N113" s="23" t="s">
        <v>40</v>
      </c>
      <c r="O113" s="23" t="s">
        <v>387</v>
      </c>
      <c r="P113" s="23" t="s">
        <v>40</v>
      </c>
      <c r="Q113" s="23" t="s">
        <v>40</v>
      </c>
      <c r="R113" s="23" t="s">
        <v>318</v>
      </c>
      <c r="S113" s="23" t="s">
        <v>40</v>
      </c>
      <c r="T113" s="23" t="s">
        <v>1301</v>
      </c>
    </row>
    <row r="114" spans="1:20" x14ac:dyDescent="0.25">
      <c r="A114" s="23" t="s">
        <v>1623</v>
      </c>
      <c r="B114" s="23" t="s">
        <v>1459</v>
      </c>
      <c r="C114" s="23" t="s">
        <v>1611</v>
      </c>
      <c r="D114" s="23" t="s">
        <v>1624</v>
      </c>
      <c r="E114" s="23" t="s">
        <v>647</v>
      </c>
      <c r="F114" s="23" t="s">
        <v>40</v>
      </c>
      <c r="G114" s="23" t="s">
        <v>1625</v>
      </c>
      <c r="H114" s="23" t="s">
        <v>1626</v>
      </c>
      <c r="I114" s="23" t="s">
        <v>1627</v>
      </c>
      <c r="J114" s="23" t="s">
        <v>466</v>
      </c>
      <c r="K114" s="27" t="s">
        <v>404</v>
      </c>
      <c r="L114" s="23" t="s">
        <v>405</v>
      </c>
      <c r="M114" s="25" t="s">
        <v>18</v>
      </c>
      <c r="N114" s="23" t="s">
        <v>40</v>
      </c>
      <c r="O114" s="23" t="s">
        <v>387</v>
      </c>
      <c r="P114" s="23" t="s">
        <v>40</v>
      </c>
      <c r="Q114" s="23" t="s">
        <v>40</v>
      </c>
      <c r="R114" s="23" t="s">
        <v>318</v>
      </c>
      <c r="S114" s="23" t="s">
        <v>40</v>
      </c>
      <c r="T114" s="23" t="s">
        <v>1301</v>
      </c>
    </row>
    <row r="115" spans="1:20" x14ac:dyDescent="0.25">
      <c r="A115" s="23" t="s">
        <v>1628</v>
      </c>
      <c r="B115" s="23" t="s">
        <v>1459</v>
      </c>
      <c r="C115" s="23" t="s">
        <v>1611</v>
      </c>
      <c r="D115" s="23" t="s">
        <v>1629</v>
      </c>
      <c r="E115" s="23" t="s">
        <v>647</v>
      </c>
      <c r="F115" s="23" t="s">
        <v>40</v>
      </c>
      <c r="G115" s="23" t="s">
        <v>1630</v>
      </c>
      <c r="H115" s="23" t="s">
        <v>1631</v>
      </c>
      <c r="I115" s="23" t="s">
        <v>1632</v>
      </c>
      <c r="J115" s="23" t="s">
        <v>466</v>
      </c>
      <c r="K115" s="27" t="s">
        <v>404</v>
      </c>
      <c r="L115" s="23" t="s">
        <v>405</v>
      </c>
      <c r="M115" s="25" t="s">
        <v>18</v>
      </c>
      <c r="N115" s="23" t="s">
        <v>40</v>
      </c>
      <c r="O115" s="23" t="s">
        <v>387</v>
      </c>
      <c r="P115" s="23" t="s">
        <v>40</v>
      </c>
      <c r="Q115" s="23" t="s">
        <v>40</v>
      </c>
      <c r="R115" s="23" t="s">
        <v>318</v>
      </c>
      <c r="S115" s="23" t="s">
        <v>40</v>
      </c>
      <c r="T115" s="23" t="s">
        <v>40</v>
      </c>
    </row>
    <row r="116" spans="1:20" x14ac:dyDescent="0.25">
      <c r="A116" s="23" t="s">
        <v>1633</v>
      </c>
      <c r="B116" s="23" t="s">
        <v>1459</v>
      </c>
      <c r="C116" s="23" t="s">
        <v>1611</v>
      </c>
      <c r="D116" s="23" t="s">
        <v>1634</v>
      </c>
      <c r="E116" s="23" t="s">
        <v>1635</v>
      </c>
      <c r="F116" s="23" t="s">
        <v>40</v>
      </c>
      <c r="G116" s="23" t="s">
        <v>1636</v>
      </c>
      <c r="H116" s="23" t="s">
        <v>1637</v>
      </c>
      <c r="I116" s="23" t="s">
        <v>1638</v>
      </c>
      <c r="J116" s="23" t="s">
        <v>14</v>
      </c>
      <c r="K116" s="27" t="s">
        <v>404</v>
      </c>
      <c r="L116" s="23" t="s">
        <v>490</v>
      </c>
      <c r="M116" s="25" t="s">
        <v>18</v>
      </c>
      <c r="N116" s="23" t="s">
        <v>40</v>
      </c>
      <c r="O116" s="23" t="s">
        <v>387</v>
      </c>
      <c r="P116" s="23" t="s">
        <v>40</v>
      </c>
      <c r="Q116" s="23" t="s">
        <v>40</v>
      </c>
      <c r="R116" s="23" t="s">
        <v>318</v>
      </c>
      <c r="S116" s="23" t="s">
        <v>40</v>
      </c>
      <c r="T116" s="23" t="s">
        <v>1639</v>
      </c>
    </row>
    <row r="117" spans="1:20" x14ac:dyDescent="0.25">
      <c r="A117" s="23" t="s">
        <v>1640</v>
      </c>
      <c r="B117" s="23" t="s">
        <v>1459</v>
      </c>
      <c r="C117" s="23" t="s">
        <v>1611</v>
      </c>
      <c r="D117" s="23" t="s">
        <v>1641</v>
      </c>
      <c r="E117" s="23" t="s">
        <v>1642</v>
      </c>
      <c r="F117" s="23" t="s">
        <v>40</v>
      </c>
      <c r="G117" s="23" t="s">
        <v>1643</v>
      </c>
      <c r="H117" s="23" t="s">
        <v>1644</v>
      </c>
      <c r="I117" s="23" t="s">
        <v>1645</v>
      </c>
      <c r="J117" s="23" t="s">
        <v>14</v>
      </c>
      <c r="K117" s="27" t="s">
        <v>404</v>
      </c>
      <c r="L117" s="23" t="s">
        <v>490</v>
      </c>
      <c r="M117" s="25" t="s">
        <v>18</v>
      </c>
      <c r="N117" s="23" t="s">
        <v>40</v>
      </c>
      <c r="O117" s="23" t="s">
        <v>387</v>
      </c>
      <c r="P117" s="23" t="s">
        <v>40</v>
      </c>
      <c r="Q117" s="23" t="s">
        <v>40</v>
      </c>
      <c r="R117" s="23" t="s">
        <v>318</v>
      </c>
      <c r="S117" s="23" t="s">
        <v>40</v>
      </c>
      <c r="T117" s="23" t="s">
        <v>40</v>
      </c>
    </row>
    <row r="118" spans="1:20" x14ac:dyDescent="0.25">
      <c r="A118" s="23" t="s">
        <v>1646</v>
      </c>
      <c r="B118" s="23" t="s">
        <v>1459</v>
      </c>
      <c r="C118" s="23" t="s">
        <v>344</v>
      </c>
      <c r="D118" s="23" t="s">
        <v>1647</v>
      </c>
      <c r="E118" s="23" t="s">
        <v>647</v>
      </c>
      <c r="F118" s="23" t="s">
        <v>1648</v>
      </c>
      <c r="G118" s="23" t="s">
        <v>1649</v>
      </c>
      <c r="H118" s="23" t="s">
        <v>1650</v>
      </c>
      <c r="I118" s="23" t="s">
        <v>1651</v>
      </c>
      <c r="J118" s="23" t="s">
        <v>14</v>
      </c>
      <c r="K118" s="24" t="s">
        <v>386</v>
      </c>
      <c r="L118" s="23" t="s">
        <v>405</v>
      </c>
      <c r="M118" s="25" t="s">
        <v>18</v>
      </c>
      <c r="N118" s="23" t="s">
        <v>40</v>
      </c>
      <c r="O118" s="23" t="s">
        <v>387</v>
      </c>
      <c r="P118" s="23" t="s">
        <v>40</v>
      </c>
      <c r="Q118" s="23" t="s">
        <v>40</v>
      </c>
      <c r="R118" s="23" t="s">
        <v>345</v>
      </c>
      <c r="S118" s="23" t="s">
        <v>1652</v>
      </c>
      <c r="T118" s="23" t="s">
        <v>40</v>
      </c>
    </row>
    <row r="119" spans="1:20" x14ac:dyDescent="0.25">
      <c r="A119" s="23" t="s">
        <v>1653</v>
      </c>
      <c r="B119" s="23" t="s">
        <v>1459</v>
      </c>
      <c r="C119" s="23" t="s">
        <v>344</v>
      </c>
      <c r="D119" s="23" t="s">
        <v>1654</v>
      </c>
      <c r="E119" s="23" t="s">
        <v>647</v>
      </c>
      <c r="F119" s="23" t="s">
        <v>1655</v>
      </c>
      <c r="G119" s="23" t="s">
        <v>1656</v>
      </c>
      <c r="H119" s="23" t="s">
        <v>1657</v>
      </c>
      <c r="I119" s="23" t="s">
        <v>1658</v>
      </c>
      <c r="J119" s="23" t="s">
        <v>466</v>
      </c>
      <c r="K119" s="24" t="s">
        <v>386</v>
      </c>
      <c r="L119" s="23" t="s">
        <v>13</v>
      </c>
      <c r="M119" s="25" t="s">
        <v>18</v>
      </c>
      <c r="N119" s="23" t="s">
        <v>40</v>
      </c>
      <c r="O119" s="23" t="s">
        <v>387</v>
      </c>
      <c r="P119" s="23" t="s">
        <v>40</v>
      </c>
      <c r="Q119" s="23" t="s">
        <v>40</v>
      </c>
      <c r="R119" s="23" t="s">
        <v>345</v>
      </c>
      <c r="S119" s="23" t="s">
        <v>40</v>
      </c>
      <c r="T119" s="23" t="s">
        <v>1659</v>
      </c>
    </row>
    <row r="120" spans="1:20" x14ac:dyDescent="0.25">
      <c r="A120" s="23" t="s">
        <v>1660</v>
      </c>
      <c r="B120" s="23" t="s">
        <v>1459</v>
      </c>
      <c r="C120" s="23" t="s">
        <v>344</v>
      </c>
      <c r="D120" s="23" t="s">
        <v>1661</v>
      </c>
      <c r="E120" s="23" t="s">
        <v>647</v>
      </c>
      <c r="F120" s="23" t="s">
        <v>1662</v>
      </c>
      <c r="G120" s="23" t="s">
        <v>1663</v>
      </c>
      <c r="H120" s="23" t="s">
        <v>1664</v>
      </c>
      <c r="I120" s="23" t="s">
        <v>1665</v>
      </c>
      <c r="J120" s="23" t="s">
        <v>466</v>
      </c>
      <c r="K120" s="27" t="s">
        <v>404</v>
      </c>
      <c r="L120" s="23" t="s">
        <v>405</v>
      </c>
      <c r="M120" s="25" t="s">
        <v>18</v>
      </c>
      <c r="N120" s="23" t="s">
        <v>40</v>
      </c>
      <c r="O120" s="23" t="s">
        <v>387</v>
      </c>
      <c r="P120" s="23" t="s">
        <v>40</v>
      </c>
      <c r="Q120" s="23" t="s">
        <v>40</v>
      </c>
      <c r="R120" s="23" t="s">
        <v>345</v>
      </c>
      <c r="S120" s="23" t="s">
        <v>40</v>
      </c>
      <c r="T120" s="23" t="s">
        <v>1301</v>
      </c>
    </row>
    <row r="121" spans="1:20" x14ac:dyDescent="0.25">
      <c r="A121" s="23" t="s">
        <v>1666</v>
      </c>
      <c r="B121" s="23" t="s">
        <v>1459</v>
      </c>
      <c r="C121" s="23" t="s">
        <v>344</v>
      </c>
      <c r="D121" s="23" t="s">
        <v>1667</v>
      </c>
      <c r="E121" s="23" t="s">
        <v>647</v>
      </c>
      <c r="F121" s="23" t="s">
        <v>40</v>
      </c>
      <c r="G121" s="23" t="s">
        <v>1668</v>
      </c>
      <c r="H121" s="23" t="s">
        <v>1669</v>
      </c>
      <c r="I121" s="23" t="s">
        <v>1670</v>
      </c>
      <c r="J121" s="23" t="s">
        <v>489</v>
      </c>
      <c r="K121" s="27" t="s">
        <v>404</v>
      </c>
      <c r="L121" s="23" t="s">
        <v>490</v>
      </c>
      <c r="M121" s="25" t="s">
        <v>18</v>
      </c>
      <c r="N121" s="23" t="s">
        <v>40</v>
      </c>
      <c r="O121" s="23" t="s">
        <v>387</v>
      </c>
      <c r="P121" s="23" t="s">
        <v>40</v>
      </c>
      <c r="Q121" s="23" t="s">
        <v>40</v>
      </c>
      <c r="R121" s="23" t="s">
        <v>345</v>
      </c>
      <c r="S121" s="23" t="s">
        <v>40</v>
      </c>
      <c r="T121" s="23" t="s">
        <v>1301</v>
      </c>
    </row>
    <row r="122" spans="1:20" x14ac:dyDescent="0.25">
      <c r="A122" s="23" t="s">
        <v>1671</v>
      </c>
      <c r="B122" s="23" t="s">
        <v>1459</v>
      </c>
      <c r="C122" s="23" t="s">
        <v>344</v>
      </c>
      <c r="D122" s="23" t="s">
        <v>1672</v>
      </c>
      <c r="E122" s="23" t="s">
        <v>647</v>
      </c>
      <c r="F122" s="23" t="s">
        <v>40</v>
      </c>
      <c r="G122" s="23" t="s">
        <v>1673</v>
      </c>
      <c r="H122" s="23" t="s">
        <v>1674</v>
      </c>
      <c r="I122" s="23" t="s">
        <v>1675</v>
      </c>
      <c r="J122" s="23" t="s">
        <v>466</v>
      </c>
      <c r="K122" s="27" t="s">
        <v>404</v>
      </c>
      <c r="L122" s="23" t="s">
        <v>405</v>
      </c>
      <c r="M122" s="25" t="s">
        <v>18</v>
      </c>
      <c r="N122" s="23" t="s">
        <v>40</v>
      </c>
      <c r="O122" s="23" t="s">
        <v>387</v>
      </c>
      <c r="P122" s="23" t="s">
        <v>40</v>
      </c>
      <c r="Q122" s="23" t="s">
        <v>40</v>
      </c>
      <c r="R122" s="23" t="s">
        <v>345</v>
      </c>
      <c r="S122" s="23" t="s">
        <v>40</v>
      </c>
      <c r="T122" s="23" t="s">
        <v>1676</v>
      </c>
    </row>
    <row r="123" spans="1:20" x14ac:dyDescent="0.25">
      <c r="A123" s="23" t="s">
        <v>1677</v>
      </c>
      <c r="B123" s="23" t="s">
        <v>1459</v>
      </c>
      <c r="C123" s="23" t="s">
        <v>344</v>
      </c>
      <c r="D123" s="23" t="s">
        <v>1678</v>
      </c>
      <c r="E123" s="23" t="s">
        <v>1679</v>
      </c>
      <c r="F123" s="23" t="s">
        <v>40</v>
      </c>
      <c r="G123" s="23" t="s">
        <v>1680</v>
      </c>
      <c r="H123" s="23" t="s">
        <v>1681</v>
      </c>
      <c r="I123" s="23" t="s">
        <v>1682</v>
      </c>
      <c r="J123" s="23" t="s">
        <v>15</v>
      </c>
      <c r="K123" s="27" t="s">
        <v>404</v>
      </c>
      <c r="L123" s="23" t="s">
        <v>405</v>
      </c>
      <c r="M123" s="25" t="s">
        <v>18</v>
      </c>
      <c r="N123" s="23" t="s">
        <v>40</v>
      </c>
      <c r="O123" s="23" t="s">
        <v>387</v>
      </c>
      <c r="P123" s="23" t="s">
        <v>40</v>
      </c>
      <c r="Q123" s="23" t="s">
        <v>40</v>
      </c>
      <c r="R123" s="23" t="s">
        <v>345</v>
      </c>
      <c r="S123" s="23" t="s">
        <v>40</v>
      </c>
      <c r="T123" s="23" t="s">
        <v>1683</v>
      </c>
    </row>
    <row r="124" spans="1:20" x14ac:dyDescent="0.25">
      <c r="A124" s="23" t="s">
        <v>1684</v>
      </c>
      <c r="B124" s="23" t="s">
        <v>1459</v>
      </c>
      <c r="C124" s="23" t="s">
        <v>1685</v>
      </c>
      <c r="D124" s="23" t="s">
        <v>1686</v>
      </c>
      <c r="E124" s="23" t="s">
        <v>589</v>
      </c>
      <c r="F124" s="23" t="s">
        <v>40</v>
      </c>
      <c r="G124" s="23" t="s">
        <v>1687</v>
      </c>
      <c r="H124" s="23" t="s">
        <v>1688</v>
      </c>
      <c r="I124" s="23" t="s">
        <v>1689</v>
      </c>
      <c r="J124" s="23" t="s">
        <v>15</v>
      </c>
      <c r="K124" s="24" t="s">
        <v>386</v>
      </c>
      <c r="L124" s="23" t="s">
        <v>13</v>
      </c>
      <c r="M124" s="25" t="s">
        <v>18</v>
      </c>
      <c r="N124" s="23" t="s">
        <v>40</v>
      </c>
      <c r="O124" s="23" t="s">
        <v>387</v>
      </c>
      <c r="P124" s="23" t="s">
        <v>40</v>
      </c>
      <c r="Q124" s="23" t="s">
        <v>40</v>
      </c>
      <c r="R124" s="23" t="s">
        <v>1466</v>
      </c>
      <c r="S124" s="23" t="s">
        <v>40</v>
      </c>
      <c r="T124" s="23" t="s">
        <v>1690</v>
      </c>
    </row>
    <row r="125" spans="1:20" x14ac:dyDescent="0.25">
      <c r="A125" s="23" t="s">
        <v>1691</v>
      </c>
      <c r="B125" s="23" t="s">
        <v>1459</v>
      </c>
      <c r="C125" s="23" t="s">
        <v>1685</v>
      </c>
      <c r="D125" s="23" t="s">
        <v>1692</v>
      </c>
      <c r="E125" s="23" t="s">
        <v>1693</v>
      </c>
      <c r="F125" s="23" t="s">
        <v>40</v>
      </c>
      <c r="G125" s="23" t="s">
        <v>1694</v>
      </c>
      <c r="H125" s="23" t="s">
        <v>1695</v>
      </c>
      <c r="I125" s="23" t="s">
        <v>1696</v>
      </c>
      <c r="J125" s="23" t="s">
        <v>14</v>
      </c>
      <c r="K125" s="24" t="s">
        <v>386</v>
      </c>
      <c r="L125" s="23" t="s">
        <v>405</v>
      </c>
      <c r="M125" s="25" t="s">
        <v>18</v>
      </c>
      <c r="N125" s="23" t="s">
        <v>40</v>
      </c>
      <c r="O125" s="23" t="s">
        <v>387</v>
      </c>
      <c r="P125" s="23" t="s">
        <v>40</v>
      </c>
      <c r="Q125" s="23" t="s">
        <v>40</v>
      </c>
      <c r="R125" s="23" t="s">
        <v>1466</v>
      </c>
      <c r="S125" s="23" t="s">
        <v>40</v>
      </c>
      <c r="T125" s="23" t="s">
        <v>40</v>
      </c>
    </row>
    <row r="126" spans="1:20" x14ac:dyDescent="0.25">
      <c r="A126" s="23" t="s">
        <v>1697</v>
      </c>
      <c r="B126" s="23" t="s">
        <v>1459</v>
      </c>
      <c r="C126" s="23" t="s">
        <v>1685</v>
      </c>
      <c r="D126" s="23" t="s">
        <v>1698</v>
      </c>
      <c r="E126" s="23" t="s">
        <v>1699</v>
      </c>
      <c r="F126" s="23" t="s">
        <v>40</v>
      </c>
      <c r="G126" s="23" t="s">
        <v>1700</v>
      </c>
      <c r="H126" s="23" t="s">
        <v>1701</v>
      </c>
      <c r="I126" s="23" t="s">
        <v>1702</v>
      </c>
      <c r="J126" s="23" t="s">
        <v>15</v>
      </c>
      <c r="K126" s="27" t="s">
        <v>404</v>
      </c>
      <c r="L126" s="23" t="s">
        <v>490</v>
      </c>
      <c r="M126" s="25" t="s">
        <v>18</v>
      </c>
      <c r="N126" s="23" t="s">
        <v>40</v>
      </c>
      <c r="O126" s="23" t="s">
        <v>387</v>
      </c>
      <c r="P126" s="23" t="s">
        <v>40</v>
      </c>
      <c r="Q126" s="23" t="s">
        <v>40</v>
      </c>
      <c r="R126" s="23" t="s">
        <v>1466</v>
      </c>
      <c r="S126" s="23" t="s">
        <v>40</v>
      </c>
      <c r="T126" s="23" t="s">
        <v>1301</v>
      </c>
    </row>
    <row r="127" spans="1:20" x14ac:dyDescent="0.25">
      <c r="A127" s="23" t="s">
        <v>1703</v>
      </c>
      <c r="B127" s="23" t="s">
        <v>1459</v>
      </c>
      <c r="C127" s="23" t="s">
        <v>1704</v>
      </c>
      <c r="D127" s="23" t="s">
        <v>1705</v>
      </c>
      <c r="E127" s="23" t="s">
        <v>1706</v>
      </c>
      <c r="F127" s="23" t="s">
        <v>40</v>
      </c>
      <c r="G127" s="23" t="s">
        <v>1707</v>
      </c>
      <c r="H127" s="23" t="s">
        <v>1708</v>
      </c>
      <c r="I127" s="23" t="s">
        <v>1709</v>
      </c>
      <c r="J127" s="23" t="s">
        <v>801</v>
      </c>
      <c r="K127" s="26" t="s">
        <v>396</v>
      </c>
      <c r="L127" s="23" t="s">
        <v>13</v>
      </c>
      <c r="M127" s="25" t="s">
        <v>18</v>
      </c>
      <c r="N127" s="23" t="s">
        <v>40</v>
      </c>
      <c r="O127" s="23" t="s">
        <v>387</v>
      </c>
      <c r="P127" s="23" t="s">
        <v>40</v>
      </c>
      <c r="Q127" s="23" t="s">
        <v>40</v>
      </c>
      <c r="R127" s="23" t="s">
        <v>1466</v>
      </c>
      <c r="S127" s="23" t="s">
        <v>1710</v>
      </c>
      <c r="T127" s="23" t="s">
        <v>40</v>
      </c>
    </row>
    <row r="128" spans="1:20" x14ac:dyDescent="0.25">
      <c r="A128" s="23" t="s">
        <v>1711</v>
      </c>
      <c r="B128" s="23" t="s">
        <v>1459</v>
      </c>
      <c r="C128" s="23" t="s">
        <v>1704</v>
      </c>
      <c r="D128" s="23" t="s">
        <v>1712</v>
      </c>
      <c r="E128" s="23" t="s">
        <v>1713</v>
      </c>
      <c r="F128" s="23" t="s">
        <v>40</v>
      </c>
      <c r="G128" s="23" t="s">
        <v>1714</v>
      </c>
      <c r="H128" s="23" t="s">
        <v>1715</v>
      </c>
      <c r="I128" s="23" t="s">
        <v>1716</v>
      </c>
      <c r="J128" s="23" t="s">
        <v>801</v>
      </c>
      <c r="K128" s="24" t="s">
        <v>386</v>
      </c>
      <c r="L128" s="23" t="s">
        <v>405</v>
      </c>
      <c r="M128" s="25" t="s">
        <v>18</v>
      </c>
      <c r="N128" s="23" t="s">
        <v>40</v>
      </c>
      <c r="O128" s="23" t="s">
        <v>387</v>
      </c>
      <c r="P128" s="23" t="s">
        <v>40</v>
      </c>
      <c r="Q128" s="23" t="s">
        <v>40</v>
      </c>
      <c r="R128" s="23" t="s">
        <v>1466</v>
      </c>
      <c r="S128" s="23" t="s">
        <v>40</v>
      </c>
      <c r="T128" s="23" t="s">
        <v>40</v>
      </c>
    </row>
    <row r="129" spans="1:20" x14ac:dyDescent="0.25">
      <c r="A129" s="23" t="s">
        <v>1717</v>
      </c>
      <c r="B129" s="23" t="s">
        <v>88</v>
      </c>
      <c r="C129" s="23" t="s">
        <v>944</v>
      </c>
      <c r="D129" s="23" t="s">
        <v>1718</v>
      </c>
      <c r="E129" s="23" t="s">
        <v>589</v>
      </c>
      <c r="F129" s="23" t="s">
        <v>40</v>
      </c>
      <c r="G129" s="23" t="s">
        <v>1719</v>
      </c>
      <c r="H129" s="23" t="s">
        <v>1720</v>
      </c>
      <c r="I129" s="23" t="s">
        <v>1721</v>
      </c>
      <c r="J129" s="23" t="s">
        <v>385</v>
      </c>
      <c r="K129" s="24" t="s">
        <v>386</v>
      </c>
      <c r="L129" s="23" t="s">
        <v>13</v>
      </c>
      <c r="M129" s="31" t="s">
        <v>17</v>
      </c>
      <c r="N129" s="23" t="s">
        <v>1722</v>
      </c>
      <c r="O129" s="29" t="s">
        <v>87</v>
      </c>
      <c r="P129" s="23" t="s">
        <v>40</v>
      </c>
      <c r="Q129" s="23" t="s">
        <v>40</v>
      </c>
      <c r="R129" s="23" t="s">
        <v>89</v>
      </c>
      <c r="S129" s="23" t="s">
        <v>40</v>
      </c>
      <c r="T129" s="23" t="s">
        <v>40</v>
      </c>
    </row>
    <row r="130" spans="1:20" x14ac:dyDescent="0.25">
      <c r="A130" s="23" t="s">
        <v>1723</v>
      </c>
      <c r="B130" s="23" t="s">
        <v>88</v>
      </c>
      <c r="C130" s="23" t="s">
        <v>963</v>
      </c>
      <c r="D130" s="23" t="s">
        <v>1724</v>
      </c>
      <c r="E130" s="23" t="s">
        <v>965</v>
      </c>
      <c r="F130" s="23" t="s">
        <v>1725</v>
      </c>
      <c r="G130" s="23" t="s">
        <v>1726</v>
      </c>
      <c r="H130" s="23" t="s">
        <v>1727</v>
      </c>
      <c r="I130" s="23" t="s">
        <v>1728</v>
      </c>
      <c r="J130" s="23" t="s">
        <v>14</v>
      </c>
      <c r="K130" s="26" t="s">
        <v>396</v>
      </c>
      <c r="L130" s="23" t="s">
        <v>13</v>
      </c>
      <c r="M130" s="28" t="s">
        <v>16</v>
      </c>
      <c r="N130" s="23" t="s">
        <v>1465</v>
      </c>
      <c r="O130" s="29" t="s">
        <v>87</v>
      </c>
      <c r="P130" s="23" t="s">
        <v>40</v>
      </c>
      <c r="Q130" s="23" t="s">
        <v>40</v>
      </c>
      <c r="R130" s="23" t="s">
        <v>89</v>
      </c>
      <c r="S130" s="23" t="s">
        <v>40</v>
      </c>
      <c r="T130" s="23" t="s">
        <v>40</v>
      </c>
    </row>
    <row r="131" spans="1:20" x14ac:dyDescent="0.25">
      <c r="A131" s="23" t="s">
        <v>1729</v>
      </c>
      <c r="B131" s="23" t="s">
        <v>88</v>
      </c>
      <c r="C131" s="23" t="s">
        <v>963</v>
      </c>
      <c r="D131" s="23" t="s">
        <v>1730</v>
      </c>
      <c r="E131" s="23" t="s">
        <v>589</v>
      </c>
      <c r="F131" s="23" t="s">
        <v>40</v>
      </c>
      <c r="G131" s="23" t="s">
        <v>1731</v>
      </c>
      <c r="H131" s="23" t="s">
        <v>1732</v>
      </c>
      <c r="I131" s="23" t="s">
        <v>1733</v>
      </c>
      <c r="J131" s="23" t="s">
        <v>14</v>
      </c>
      <c r="K131" s="24" t="s">
        <v>386</v>
      </c>
      <c r="L131" s="23" t="s">
        <v>405</v>
      </c>
      <c r="M131" s="25" t="s">
        <v>18</v>
      </c>
      <c r="N131" s="23" t="s">
        <v>40</v>
      </c>
      <c r="O131" s="23" t="s">
        <v>387</v>
      </c>
      <c r="P131" s="23" t="s">
        <v>40</v>
      </c>
      <c r="Q131" s="23" t="s">
        <v>40</v>
      </c>
      <c r="R131" s="23" t="s">
        <v>89</v>
      </c>
      <c r="S131" s="23" t="s">
        <v>40</v>
      </c>
      <c r="T131" s="23" t="s">
        <v>1734</v>
      </c>
    </row>
    <row r="132" spans="1:20" x14ac:dyDescent="0.25">
      <c r="A132" s="23" t="s">
        <v>1735</v>
      </c>
      <c r="B132" s="23" t="s">
        <v>88</v>
      </c>
      <c r="C132" s="23" t="s">
        <v>963</v>
      </c>
      <c r="D132" s="23" t="s">
        <v>1736</v>
      </c>
      <c r="E132" s="23" t="s">
        <v>589</v>
      </c>
      <c r="F132" s="23" t="s">
        <v>40</v>
      </c>
      <c r="G132" s="23" t="s">
        <v>1737</v>
      </c>
      <c r="H132" s="23" t="s">
        <v>1738</v>
      </c>
      <c r="I132" s="23" t="s">
        <v>1739</v>
      </c>
      <c r="J132" s="23" t="s">
        <v>15</v>
      </c>
      <c r="K132" s="27" t="s">
        <v>404</v>
      </c>
      <c r="L132" s="23" t="s">
        <v>490</v>
      </c>
      <c r="M132" s="25" t="s">
        <v>18</v>
      </c>
      <c r="N132" s="23" t="s">
        <v>40</v>
      </c>
      <c r="O132" s="23" t="s">
        <v>387</v>
      </c>
      <c r="P132" s="23" t="s">
        <v>40</v>
      </c>
      <c r="Q132" s="23" t="s">
        <v>40</v>
      </c>
      <c r="R132" s="23" t="s">
        <v>89</v>
      </c>
      <c r="S132" s="23" t="s">
        <v>40</v>
      </c>
      <c r="T132" s="23" t="s">
        <v>40</v>
      </c>
    </row>
    <row r="133" spans="1:20" x14ac:dyDescent="0.25">
      <c r="A133" s="23" t="s">
        <v>1740</v>
      </c>
      <c r="B133" s="23" t="s">
        <v>88</v>
      </c>
      <c r="C133" s="23" t="s">
        <v>1741</v>
      </c>
      <c r="D133" s="23" t="s">
        <v>1742</v>
      </c>
      <c r="E133" s="23" t="s">
        <v>589</v>
      </c>
      <c r="F133" s="23" t="s">
        <v>40</v>
      </c>
      <c r="G133" s="23" t="s">
        <v>1743</v>
      </c>
      <c r="H133" s="23" t="s">
        <v>1744</v>
      </c>
      <c r="I133" s="23" t="s">
        <v>1745</v>
      </c>
      <c r="J133" s="23" t="s">
        <v>14</v>
      </c>
      <c r="K133" s="24" t="s">
        <v>386</v>
      </c>
      <c r="L133" s="23" t="s">
        <v>405</v>
      </c>
      <c r="M133" s="25" t="s">
        <v>18</v>
      </c>
      <c r="N133" s="23" t="s">
        <v>40</v>
      </c>
      <c r="O133" s="23" t="s">
        <v>387</v>
      </c>
      <c r="P133" s="23" t="s">
        <v>40</v>
      </c>
      <c r="Q133" s="23" t="s">
        <v>40</v>
      </c>
      <c r="R133" s="23" t="s">
        <v>89</v>
      </c>
      <c r="S133" s="23" t="s">
        <v>40</v>
      </c>
      <c r="T133" s="23" t="s">
        <v>40</v>
      </c>
    </row>
    <row r="134" spans="1:20" x14ac:dyDescent="0.25">
      <c r="A134" s="23" t="s">
        <v>1746</v>
      </c>
      <c r="B134" s="23" t="s">
        <v>88</v>
      </c>
      <c r="C134" s="23" t="s">
        <v>1741</v>
      </c>
      <c r="D134" s="23" t="s">
        <v>1747</v>
      </c>
      <c r="E134" s="23" t="s">
        <v>1748</v>
      </c>
      <c r="F134" s="23" t="s">
        <v>40</v>
      </c>
      <c r="G134" s="23" t="s">
        <v>1749</v>
      </c>
      <c r="H134" s="23" t="s">
        <v>1750</v>
      </c>
      <c r="I134" s="23" t="s">
        <v>1751</v>
      </c>
      <c r="J134" s="23" t="s">
        <v>14</v>
      </c>
      <c r="K134" s="27" t="s">
        <v>404</v>
      </c>
      <c r="L134" s="23" t="s">
        <v>490</v>
      </c>
      <c r="M134" s="25" t="s">
        <v>18</v>
      </c>
      <c r="N134" s="23" t="s">
        <v>40</v>
      </c>
      <c r="O134" s="23" t="s">
        <v>387</v>
      </c>
      <c r="P134" s="23" t="s">
        <v>40</v>
      </c>
      <c r="Q134" s="23" t="s">
        <v>40</v>
      </c>
      <c r="R134" s="23" t="s">
        <v>89</v>
      </c>
      <c r="S134" s="23" t="s">
        <v>40</v>
      </c>
      <c r="T134" s="23" t="s">
        <v>1734</v>
      </c>
    </row>
    <row r="135" spans="1:20" x14ac:dyDescent="0.25">
      <c r="A135" s="23" t="s">
        <v>1752</v>
      </c>
      <c r="B135" s="23" t="s">
        <v>88</v>
      </c>
      <c r="C135" s="23" t="s">
        <v>1753</v>
      </c>
      <c r="D135" s="23" t="s">
        <v>1754</v>
      </c>
      <c r="E135" s="23" t="s">
        <v>589</v>
      </c>
      <c r="F135" s="23" t="s">
        <v>40</v>
      </c>
      <c r="G135" s="23" t="s">
        <v>1755</v>
      </c>
      <c r="H135" s="23" t="s">
        <v>1756</v>
      </c>
      <c r="I135" s="23" t="s">
        <v>1757</v>
      </c>
      <c r="J135" s="23" t="s">
        <v>385</v>
      </c>
      <c r="K135" s="27" t="s">
        <v>404</v>
      </c>
      <c r="L135" s="23" t="s">
        <v>405</v>
      </c>
      <c r="M135" s="25" t="s">
        <v>18</v>
      </c>
      <c r="N135" s="23" t="s">
        <v>40</v>
      </c>
      <c r="O135" s="23" t="s">
        <v>387</v>
      </c>
      <c r="P135" s="23" t="s">
        <v>40</v>
      </c>
      <c r="Q135" s="23" t="s">
        <v>40</v>
      </c>
      <c r="R135" s="23" t="s">
        <v>89</v>
      </c>
      <c r="S135" s="23" t="s">
        <v>40</v>
      </c>
      <c r="T135" s="23" t="s">
        <v>1734</v>
      </c>
    </row>
    <row r="136" spans="1:20" x14ac:dyDescent="0.25">
      <c r="A136" s="23" t="s">
        <v>1758</v>
      </c>
      <c r="B136" s="23" t="s">
        <v>88</v>
      </c>
      <c r="C136" s="23" t="s">
        <v>1753</v>
      </c>
      <c r="D136" s="23" t="s">
        <v>1759</v>
      </c>
      <c r="E136" s="23" t="s">
        <v>589</v>
      </c>
      <c r="F136" s="23" t="s">
        <v>40</v>
      </c>
      <c r="G136" s="23" t="s">
        <v>1760</v>
      </c>
      <c r="H136" s="23" t="s">
        <v>1761</v>
      </c>
      <c r="I136" s="23" t="s">
        <v>1762</v>
      </c>
      <c r="J136" s="23" t="s">
        <v>14</v>
      </c>
      <c r="K136" s="24" t="s">
        <v>386</v>
      </c>
      <c r="L136" s="23" t="s">
        <v>405</v>
      </c>
      <c r="M136" s="25" t="s">
        <v>18</v>
      </c>
      <c r="N136" s="23" t="s">
        <v>40</v>
      </c>
      <c r="O136" s="23" t="s">
        <v>387</v>
      </c>
      <c r="P136" s="23" t="s">
        <v>40</v>
      </c>
      <c r="Q136" s="23" t="s">
        <v>40</v>
      </c>
      <c r="R136" s="23" t="s">
        <v>89</v>
      </c>
      <c r="S136" s="23" t="s">
        <v>40</v>
      </c>
      <c r="T136" s="23" t="s">
        <v>1763</v>
      </c>
    </row>
    <row r="137" spans="1:20" x14ac:dyDescent="0.25">
      <c r="A137" s="23" t="s">
        <v>1764</v>
      </c>
      <c r="B137" s="23" t="s">
        <v>88</v>
      </c>
      <c r="C137" s="23" t="s">
        <v>1753</v>
      </c>
      <c r="D137" s="23" t="s">
        <v>1765</v>
      </c>
      <c r="E137" s="23" t="s">
        <v>589</v>
      </c>
      <c r="F137" s="23" t="s">
        <v>40</v>
      </c>
      <c r="G137" s="23" t="s">
        <v>1766</v>
      </c>
      <c r="H137" s="23" t="s">
        <v>1767</v>
      </c>
      <c r="I137" s="23" t="s">
        <v>1768</v>
      </c>
      <c r="J137" s="23" t="s">
        <v>14</v>
      </c>
      <c r="K137" s="27" t="s">
        <v>404</v>
      </c>
      <c r="L137" s="23" t="s">
        <v>490</v>
      </c>
      <c r="M137" s="25" t="s">
        <v>18</v>
      </c>
      <c r="N137" s="23" t="s">
        <v>40</v>
      </c>
      <c r="O137" s="23" t="s">
        <v>387</v>
      </c>
      <c r="P137" s="23" t="s">
        <v>40</v>
      </c>
      <c r="Q137" s="23" t="s">
        <v>40</v>
      </c>
      <c r="R137" s="23" t="s">
        <v>89</v>
      </c>
      <c r="S137" s="23" t="s">
        <v>40</v>
      </c>
      <c r="T137" s="23" t="s">
        <v>40</v>
      </c>
    </row>
    <row r="138" spans="1:20" x14ac:dyDescent="0.25">
      <c r="A138" s="23" t="s">
        <v>1769</v>
      </c>
      <c r="B138" s="23" t="s">
        <v>88</v>
      </c>
      <c r="C138" s="23" t="s">
        <v>1770</v>
      </c>
      <c r="D138" s="23" t="s">
        <v>1771</v>
      </c>
      <c r="E138" s="23" t="s">
        <v>589</v>
      </c>
      <c r="F138" s="23" t="s">
        <v>40</v>
      </c>
      <c r="G138" s="23" t="s">
        <v>1772</v>
      </c>
      <c r="H138" s="23" t="s">
        <v>1773</v>
      </c>
      <c r="I138" s="23" t="s">
        <v>1774</v>
      </c>
      <c r="J138" s="23" t="s">
        <v>14</v>
      </c>
      <c r="K138" s="27" t="s">
        <v>404</v>
      </c>
      <c r="L138" s="23" t="s">
        <v>490</v>
      </c>
      <c r="M138" s="25" t="s">
        <v>18</v>
      </c>
      <c r="N138" s="23" t="s">
        <v>40</v>
      </c>
      <c r="O138" s="23" t="s">
        <v>387</v>
      </c>
      <c r="P138" s="23" t="s">
        <v>40</v>
      </c>
      <c r="Q138" s="23" t="s">
        <v>40</v>
      </c>
      <c r="R138" s="23" t="s">
        <v>89</v>
      </c>
      <c r="S138" s="23" t="s">
        <v>40</v>
      </c>
      <c r="T138" s="23" t="s">
        <v>1734</v>
      </c>
    </row>
    <row r="139" spans="1:20" x14ac:dyDescent="0.25">
      <c r="A139" s="23" t="s">
        <v>1775</v>
      </c>
      <c r="B139" s="23" t="s">
        <v>88</v>
      </c>
      <c r="C139" s="23" t="s">
        <v>1776</v>
      </c>
      <c r="D139" s="23" t="s">
        <v>1777</v>
      </c>
      <c r="E139" s="23" t="s">
        <v>1778</v>
      </c>
      <c r="F139" s="23" t="s">
        <v>40</v>
      </c>
      <c r="G139" s="23" t="s">
        <v>1779</v>
      </c>
      <c r="H139" s="23" t="s">
        <v>1780</v>
      </c>
      <c r="I139" s="23" t="s">
        <v>1781</v>
      </c>
      <c r="J139" s="23" t="s">
        <v>395</v>
      </c>
      <c r="K139" s="26" t="s">
        <v>396</v>
      </c>
      <c r="L139" s="23" t="s">
        <v>13</v>
      </c>
      <c r="M139" s="25" t="s">
        <v>18</v>
      </c>
      <c r="N139" s="23" t="s">
        <v>40</v>
      </c>
      <c r="O139" s="23" t="s">
        <v>387</v>
      </c>
      <c r="P139" s="23" t="s">
        <v>40</v>
      </c>
      <c r="Q139" s="23" t="s">
        <v>40</v>
      </c>
      <c r="R139" s="23" t="s">
        <v>89</v>
      </c>
      <c r="S139" s="23" t="s">
        <v>40</v>
      </c>
      <c r="T139" s="23" t="s">
        <v>1734</v>
      </c>
    </row>
    <row r="140" spans="1:20" x14ac:dyDescent="0.25">
      <c r="A140" s="23" t="s">
        <v>1782</v>
      </c>
      <c r="B140" s="23" t="s">
        <v>88</v>
      </c>
      <c r="C140" s="23" t="s">
        <v>1776</v>
      </c>
      <c r="D140" s="23" t="s">
        <v>1783</v>
      </c>
      <c r="E140" s="23" t="s">
        <v>589</v>
      </c>
      <c r="F140" s="23" t="s">
        <v>40</v>
      </c>
      <c r="G140" s="23" t="s">
        <v>1784</v>
      </c>
      <c r="H140" s="23" t="s">
        <v>1785</v>
      </c>
      <c r="I140" s="23" t="s">
        <v>1786</v>
      </c>
      <c r="J140" s="23" t="s">
        <v>395</v>
      </c>
      <c r="K140" s="24" t="s">
        <v>386</v>
      </c>
      <c r="L140" s="23" t="s">
        <v>405</v>
      </c>
      <c r="M140" s="25" t="s">
        <v>18</v>
      </c>
      <c r="N140" s="23" t="s">
        <v>40</v>
      </c>
      <c r="O140" s="23" t="s">
        <v>387</v>
      </c>
      <c r="P140" s="23" t="s">
        <v>40</v>
      </c>
      <c r="Q140" s="23" t="s">
        <v>40</v>
      </c>
      <c r="R140" s="23" t="s">
        <v>89</v>
      </c>
      <c r="S140" s="23" t="s">
        <v>40</v>
      </c>
      <c r="T140" s="23" t="s">
        <v>1734</v>
      </c>
    </row>
    <row r="141" spans="1:20" x14ac:dyDescent="0.25">
      <c r="A141" s="23" t="s">
        <v>1787</v>
      </c>
      <c r="B141" s="23" t="s">
        <v>88</v>
      </c>
      <c r="C141" s="23" t="s">
        <v>1788</v>
      </c>
      <c r="D141" s="23" t="s">
        <v>1789</v>
      </c>
      <c r="E141" s="23" t="s">
        <v>589</v>
      </c>
      <c r="F141" s="23" t="s">
        <v>40</v>
      </c>
      <c r="G141" s="23" t="s">
        <v>1790</v>
      </c>
      <c r="H141" s="23" t="s">
        <v>1791</v>
      </c>
      <c r="I141" s="23" t="s">
        <v>1792</v>
      </c>
      <c r="J141" s="23" t="s">
        <v>14</v>
      </c>
      <c r="K141" s="24" t="s">
        <v>386</v>
      </c>
      <c r="L141" s="23" t="s">
        <v>405</v>
      </c>
      <c r="M141" s="28" t="s">
        <v>16</v>
      </c>
      <c r="N141" s="23" t="s">
        <v>1465</v>
      </c>
      <c r="O141" s="29" t="s">
        <v>87</v>
      </c>
      <c r="P141" s="23" t="s">
        <v>40</v>
      </c>
      <c r="Q141" s="23" t="s">
        <v>40</v>
      </c>
      <c r="R141" s="23" t="s">
        <v>89</v>
      </c>
      <c r="S141" s="23" t="s">
        <v>40</v>
      </c>
      <c r="T141" s="23" t="s">
        <v>40</v>
      </c>
    </row>
    <row r="142" spans="1:20" x14ac:dyDescent="0.25">
      <c r="A142" s="23" t="s">
        <v>1793</v>
      </c>
      <c r="B142" s="23" t="s">
        <v>88</v>
      </c>
      <c r="C142" s="23" t="s">
        <v>525</v>
      </c>
      <c r="D142" s="23" t="s">
        <v>1794</v>
      </c>
      <c r="E142" s="23" t="s">
        <v>647</v>
      </c>
      <c r="F142" s="23" t="s">
        <v>40</v>
      </c>
      <c r="G142" s="23" t="s">
        <v>1795</v>
      </c>
      <c r="H142" s="23" t="s">
        <v>1796</v>
      </c>
      <c r="I142" s="23" t="s">
        <v>1797</v>
      </c>
      <c r="J142" s="23" t="s">
        <v>525</v>
      </c>
      <c r="K142" s="24" t="s">
        <v>386</v>
      </c>
      <c r="L142" s="23" t="s">
        <v>405</v>
      </c>
      <c r="M142" s="25" t="s">
        <v>18</v>
      </c>
      <c r="N142" s="23" t="s">
        <v>40</v>
      </c>
      <c r="O142" s="23" t="s">
        <v>387</v>
      </c>
      <c r="P142" s="23" t="s">
        <v>40</v>
      </c>
      <c r="Q142" s="23" t="s">
        <v>40</v>
      </c>
      <c r="R142" s="23" t="s">
        <v>89</v>
      </c>
      <c r="S142" s="23" t="s">
        <v>40</v>
      </c>
      <c r="T142" s="23" t="s">
        <v>40</v>
      </c>
    </row>
    <row r="143" spans="1:20" x14ac:dyDescent="0.25">
      <c r="A143" s="23" t="s">
        <v>1798</v>
      </c>
      <c r="B143" s="23" t="s">
        <v>91</v>
      </c>
      <c r="C143" s="23" t="s">
        <v>944</v>
      </c>
      <c r="D143" s="23" t="s">
        <v>1799</v>
      </c>
      <c r="E143" s="23" t="s">
        <v>589</v>
      </c>
      <c r="F143" s="23" t="s">
        <v>40</v>
      </c>
      <c r="G143" s="23" t="s">
        <v>1800</v>
      </c>
      <c r="H143" s="23" t="s">
        <v>1801</v>
      </c>
      <c r="I143" s="23" t="s">
        <v>1802</v>
      </c>
      <c r="J143" s="23" t="s">
        <v>385</v>
      </c>
      <c r="K143" s="24" t="s">
        <v>386</v>
      </c>
      <c r="L143" s="23" t="s">
        <v>13</v>
      </c>
      <c r="M143" s="31" t="s">
        <v>17</v>
      </c>
      <c r="N143" s="23" t="s">
        <v>1803</v>
      </c>
      <c r="O143" s="29" t="s">
        <v>87</v>
      </c>
      <c r="P143" s="23" t="s">
        <v>40</v>
      </c>
      <c r="Q143" s="23" t="s">
        <v>40</v>
      </c>
      <c r="R143" s="23" t="s">
        <v>92</v>
      </c>
      <c r="S143" s="23" t="s">
        <v>40</v>
      </c>
      <c r="T143" s="23" t="s">
        <v>40</v>
      </c>
    </row>
    <row r="144" spans="1:20" x14ac:dyDescent="0.25">
      <c r="A144" s="23" t="s">
        <v>1804</v>
      </c>
      <c r="B144" s="23" t="s">
        <v>91</v>
      </c>
      <c r="C144" s="23" t="s">
        <v>1805</v>
      </c>
      <c r="D144" s="23" t="s">
        <v>1806</v>
      </c>
      <c r="E144" s="23" t="s">
        <v>1807</v>
      </c>
      <c r="F144" s="23" t="s">
        <v>40</v>
      </c>
      <c r="G144" s="23" t="s">
        <v>1808</v>
      </c>
      <c r="H144" s="23" t="s">
        <v>1809</v>
      </c>
      <c r="I144" s="23" t="s">
        <v>1810</v>
      </c>
      <c r="J144" s="23" t="s">
        <v>14</v>
      </c>
      <c r="K144" s="26" t="s">
        <v>396</v>
      </c>
      <c r="L144" s="23" t="s">
        <v>13</v>
      </c>
      <c r="M144" s="25" t="s">
        <v>18</v>
      </c>
      <c r="N144" s="23" t="s">
        <v>40</v>
      </c>
      <c r="O144" s="23" t="s">
        <v>387</v>
      </c>
      <c r="P144" s="23" t="s">
        <v>40</v>
      </c>
      <c r="Q144" s="23" t="s">
        <v>40</v>
      </c>
      <c r="R144" s="23" t="s">
        <v>92</v>
      </c>
      <c r="S144" s="23" t="s">
        <v>40</v>
      </c>
      <c r="T144" s="23" t="s">
        <v>1811</v>
      </c>
    </row>
    <row r="145" spans="1:20" x14ac:dyDescent="0.25">
      <c r="A145" s="23" t="s">
        <v>1812</v>
      </c>
      <c r="B145" s="23" t="s">
        <v>91</v>
      </c>
      <c r="C145" s="23" t="s">
        <v>1805</v>
      </c>
      <c r="D145" s="23" t="s">
        <v>1813</v>
      </c>
      <c r="E145" s="23" t="s">
        <v>1814</v>
      </c>
      <c r="F145" s="23" t="s">
        <v>40</v>
      </c>
      <c r="G145" s="23" t="s">
        <v>1815</v>
      </c>
      <c r="H145" s="23" t="s">
        <v>1816</v>
      </c>
      <c r="I145" s="23" t="s">
        <v>1817</v>
      </c>
      <c r="J145" s="23" t="s">
        <v>14</v>
      </c>
      <c r="K145" s="26" t="s">
        <v>396</v>
      </c>
      <c r="L145" s="23" t="s">
        <v>13</v>
      </c>
      <c r="M145" s="25" t="s">
        <v>18</v>
      </c>
      <c r="N145" s="23" t="s">
        <v>40</v>
      </c>
      <c r="O145" s="23" t="s">
        <v>387</v>
      </c>
      <c r="P145" s="23" t="s">
        <v>40</v>
      </c>
      <c r="Q145" s="23" t="s">
        <v>40</v>
      </c>
      <c r="R145" s="23" t="s">
        <v>92</v>
      </c>
      <c r="S145" s="23" t="s">
        <v>40</v>
      </c>
      <c r="T145" s="23" t="s">
        <v>1811</v>
      </c>
    </row>
    <row r="146" spans="1:20" x14ac:dyDescent="0.25">
      <c r="A146" s="23" t="s">
        <v>1818</v>
      </c>
      <c r="B146" s="23" t="s">
        <v>91</v>
      </c>
      <c r="C146" s="23" t="s">
        <v>1805</v>
      </c>
      <c r="D146" s="23" t="s">
        <v>1819</v>
      </c>
      <c r="E146" s="23" t="s">
        <v>1820</v>
      </c>
      <c r="F146" s="23" t="s">
        <v>40</v>
      </c>
      <c r="G146" s="23" t="s">
        <v>1821</v>
      </c>
      <c r="H146" s="23" t="s">
        <v>1822</v>
      </c>
      <c r="I146" s="23" t="s">
        <v>1823</v>
      </c>
      <c r="J146" s="23" t="s">
        <v>801</v>
      </c>
      <c r="K146" s="26" t="s">
        <v>396</v>
      </c>
      <c r="L146" s="23" t="s">
        <v>13</v>
      </c>
      <c r="M146" s="25" t="s">
        <v>18</v>
      </c>
      <c r="N146" s="23" t="s">
        <v>40</v>
      </c>
      <c r="O146" s="23" t="s">
        <v>387</v>
      </c>
      <c r="P146" s="23" t="s">
        <v>40</v>
      </c>
      <c r="Q146" s="23" t="s">
        <v>40</v>
      </c>
      <c r="R146" s="23" t="s">
        <v>92</v>
      </c>
      <c r="S146" s="23" t="s">
        <v>40</v>
      </c>
      <c r="T146" s="23" t="s">
        <v>40</v>
      </c>
    </row>
    <row r="147" spans="1:20" x14ac:dyDescent="0.25">
      <c r="A147" s="23" t="s">
        <v>1824</v>
      </c>
      <c r="B147" s="23" t="s">
        <v>91</v>
      </c>
      <c r="C147" s="23" t="s">
        <v>1805</v>
      </c>
      <c r="D147" s="23" t="s">
        <v>1825</v>
      </c>
      <c r="E147" s="23" t="s">
        <v>1826</v>
      </c>
      <c r="F147" s="23" t="s">
        <v>40</v>
      </c>
      <c r="G147" s="23" t="s">
        <v>1827</v>
      </c>
      <c r="H147" s="23" t="s">
        <v>1828</v>
      </c>
      <c r="I147" s="23" t="s">
        <v>1829</v>
      </c>
      <c r="J147" s="23" t="s">
        <v>14</v>
      </c>
      <c r="K147" s="24" t="s">
        <v>386</v>
      </c>
      <c r="L147" s="23" t="s">
        <v>405</v>
      </c>
      <c r="M147" s="25" t="s">
        <v>18</v>
      </c>
      <c r="N147" s="23" t="s">
        <v>40</v>
      </c>
      <c r="O147" s="23" t="s">
        <v>387</v>
      </c>
      <c r="P147" s="23" t="s">
        <v>40</v>
      </c>
      <c r="Q147" s="23" t="s">
        <v>40</v>
      </c>
      <c r="R147" s="23" t="s">
        <v>92</v>
      </c>
      <c r="S147" s="23" t="s">
        <v>40</v>
      </c>
      <c r="T147" s="23" t="s">
        <v>1811</v>
      </c>
    </row>
    <row r="148" spans="1:20" x14ac:dyDescent="0.25">
      <c r="A148" s="23" t="s">
        <v>1830</v>
      </c>
      <c r="B148" s="23" t="s">
        <v>91</v>
      </c>
      <c r="C148" s="23" t="s">
        <v>1741</v>
      </c>
      <c r="D148" s="23" t="s">
        <v>1831</v>
      </c>
      <c r="E148" s="23" t="s">
        <v>589</v>
      </c>
      <c r="F148" s="23" t="s">
        <v>40</v>
      </c>
      <c r="G148" s="23" t="s">
        <v>1832</v>
      </c>
      <c r="H148" s="23" t="s">
        <v>1833</v>
      </c>
      <c r="I148" s="23" t="s">
        <v>1834</v>
      </c>
      <c r="J148" s="23" t="s">
        <v>14</v>
      </c>
      <c r="K148" s="24" t="s">
        <v>386</v>
      </c>
      <c r="L148" s="23" t="s">
        <v>405</v>
      </c>
      <c r="M148" s="25" t="s">
        <v>18</v>
      </c>
      <c r="N148" s="23" t="s">
        <v>40</v>
      </c>
      <c r="O148" s="23" t="s">
        <v>387</v>
      </c>
      <c r="P148" s="23" t="s">
        <v>40</v>
      </c>
      <c r="Q148" s="23" t="s">
        <v>40</v>
      </c>
      <c r="R148" s="23" t="s">
        <v>92</v>
      </c>
      <c r="S148" s="23" t="s">
        <v>40</v>
      </c>
      <c r="T148" s="23" t="s">
        <v>40</v>
      </c>
    </row>
    <row r="149" spans="1:20" x14ac:dyDescent="0.25">
      <c r="A149" s="23" t="s">
        <v>1835</v>
      </c>
      <c r="B149" s="23" t="s">
        <v>91</v>
      </c>
      <c r="C149" s="23" t="s">
        <v>1741</v>
      </c>
      <c r="D149" s="23" t="s">
        <v>1836</v>
      </c>
      <c r="E149" s="23" t="s">
        <v>589</v>
      </c>
      <c r="F149" s="23" t="s">
        <v>40</v>
      </c>
      <c r="G149" s="23" t="s">
        <v>1837</v>
      </c>
      <c r="H149" s="23" t="s">
        <v>1838</v>
      </c>
      <c r="I149" s="23" t="s">
        <v>1839</v>
      </c>
      <c r="J149" s="23" t="s">
        <v>14</v>
      </c>
      <c r="K149" s="24" t="s">
        <v>386</v>
      </c>
      <c r="L149" s="23" t="s">
        <v>405</v>
      </c>
      <c r="M149" s="25" t="s">
        <v>18</v>
      </c>
      <c r="N149" s="23" t="s">
        <v>40</v>
      </c>
      <c r="O149" s="23" t="s">
        <v>387</v>
      </c>
      <c r="P149" s="23" t="s">
        <v>40</v>
      </c>
      <c r="Q149" s="23" t="s">
        <v>40</v>
      </c>
      <c r="R149" s="23" t="s">
        <v>92</v>
      </c>
      <c r="S149" s="23" t="s">
        <v>40</v>
      </c>
      <c r="T149" s="23" t="s">
        <v>40</v>
      </c>
    </row>
    <row r="150" spans="1:20" x14ac:dyDescent="0.25">
      <c r="A150" s="23" t="s">
        <v>1840</v>
      </c>
      <c r="B150" s="23" t="s">
        <v>91</v>
      </c>
      <c r="C150" s="23" t="s">
        <v>1741</v>
      </c>
      <c r="D150" s="23" t="s">
        <v>1841</v>
      </c>
      <c r="E150" s="23" t="s">
        <v>589</v>
      </c>
      <c r="F150" s="23" t="s">
        <v>40</v>
      </c>
      <c r="G150" s="23" t="s">
        <v>1842</v>
      </c>
      <c r="H150" s="23" t="s">
        <v>1843</v>
      </c>
      <c r="I150" s="23" t="s">
        <v>1844</v>
      </c>
      <c r="J150" s="23" t="s">
        <v>14</v>
      </c>
      <c r="K150" s="27" t="s">
        <v>404</v>
      </c>
      <c r="L150" s="23" t="s">
        <v>490</v>
      </c>
      <c r="M150" s="25" t="s">
        <v>18</v>
      </c>
      <c r="N150" s="23" t="s">
        <v>40</v>
      </c>
      <c r="O150" s="23" t="s">
        <v>387</v>
      </c>
      <c r="P150" s="23" t="s">
        <v>40</v>
      </c>
      <c r="Q150" s="23" t="s">
        <v>40</v>
      </c>
      <c r="R150" s="23" t="s">
        <v>92</v>
      </c>
      <c r="S150" s="23" t="s">
        <v>40</v>
      </c>
      <c r="T150" s="23" t="s">
        <v>40</v>
      </c>
    </row>
    <row r="151" spans="1:20" x14ac:dyDescent="0.25">
      <c r="A151" s="23" t="s">
        <v>1845</v>
      </c>
      <c r="B151" s="23" t="s">
        <v>91</v>
      </c>
      <c r="C151" s="23" t="s">
        <v>1741</v>
      </c>
      <c r="D151" s="23" t="s">
        <v>1846</v>
      </c>
      <c r="E151" s="23" t="s">
        <v>1847</v>
      </c>
      <c r="F151" s="23" t="s">
        <v>40</v>
      </c>
      <c r="G151" s="23" t="s">
        <v>1848</v>
      </c>
      <c r="H151" s="23" t="s">
        <v>1849</v>
      </c>
      <c r="I151" s="23" t="s">
        <v>1850</v>
      </c>
      <c r="J151" s="23" t="s">
        <v>14</v>
      </c>
      <c r="K151" s="27" t="s">
        <v>404</v>
      </c>
      <c r="L151" s="23" t="s">
        <v>490</v>
      </c>
      <c r="M151" s="25" t="s">
        <v>18</v>
      </c>
      <c r="N151" s="23" t="s">
        <v>40</v>
      </c>
      <c r="O151" s="23" t="s">
        <v>387</v>
      </c>
      <c r="P151" s="23" t="s">
        <v>40</v>
      </c>
      <c r="Q151" s="23" t="s">
        <v>40</v>
      </c>
      <c r="R151" s="23" t="s">
        <v>92</v>
      </c>
      <c r="S151" s="23" t="s">
        <v>40</v>
      </c>
      <c r="T151" s="23" t="s">
        <v>40</v>
      </c>
    </row>
    <row r="152" spans="1:20" x14ac:dyDescent="0.25">
      <c r="A152" s="23" t="s">
        <v>1851</v>
      </c>
      <c r="B152" s="23" t="s">
        <v>91</v>
      </c>
      <c r="C152" s="23" t="s">
        <v>1741</v>
      </c>
      <c r="D152" s="23" t="s">
        <v>1852</v>
      </c>
      <c r="E152" s="23" t="s">
        <v>589</v>
      </c>
      <c r="F152" s="23" t="s">
        <v>40</v>
      </c>
      <c r="G152" s="23" t="s">
        <v>1853</v>
      </c>
      <c r="H152" s="23" t="s">
        <v>1854</v>
      </c>
      <c r="I152" s="23" t="s">
        <v>1855</v>
      </c>
      <c r="J152" s="23" t="s">
        <v>15</v>
      </c>
      <c r="K152" s="27" t="s">
        <v>404</v>
      </c>
      <c r="L152" s="23" t="s">
        <v>490</v>
      </c>
      <c r="M152" s="25" t="s">
        <v>18</v>
      </c>
      <c r="N152" s="23" t="s">
        <v>40</v>
      </c>
      <c r="O152" s="23" t="s">
        <v>387</v>
      </c>
      <c r="P152" s="23" t="s">
        <v>40</v>
      </c>
      <c r="Q152" s="23" t="s">
        <v>40</v>
      </c>
      <c r="R152" s="23" t="s">
        <v>92</v>
      </c>
      <c r="S152" s="23" t="s">
        <v>40</v>
      </c>
      <c r="T152" s="23" t="s">
        <v>40</v>
      </c>
    </row>
    <row r="153" spans="1:20" x14ac:dyDescent="0.25">
      <c r="A153" s="23" t="s">
        <v>1856</v>
      </c>
      <c r="B153" s="23" t="s">
        <v>91</v>
      </c>
      <c r="C153" s="23" t="s">
        <v>1857</v>
      </c>
      <c r="D153" s="23" t="s">
        <v>1858</v>
      </c>
      <c r="E153" s="23" t="s">
        <v>1859</v>
      </c>
      <c r="F153" s="23" t="s">
        <v>40</v>
      </c>
      <c r="G153" s="23" t="s">
        <v>1860</v>
      </c>
      <c r="H153" s="23" t="s">
        <v>1861</v>
      </c>
      <c r="I153" s="23" t="s">
        <v>1862</v>
      </c>
      <c r="J153" s="23" t="s">
        <v>14</v>
      </c>
      <c r="K153" s="24" t="s">
        <v>386</v>
      </c>
      <c r="L153" s="23" t="s">
        <v>405</v>
      </c>
      <c r="M153" s="25" t="s">
        <v>18</v>
      </c>
      <c r="N153" s="23" t="s">
        <v>40</v>
      </c>
      <c r="O153" s="23" t="s">
        <v>387</v>
      </c>
      <c r="P153" s="23" t="s">
        <v>40</v>
      </c>
      <c r="Q153" s="23" t="s">
        <v>40</v>
      </c>
      <c r="R153" s="23" t="s">
        <v>92</v>
      </c>
      <c r="S153" s="23" t="s">
        <v>40</v>
      </c>
      <c r="T153" s="23" t="s">
        <v>1294</v>
      </c>
    </row>
    <row r="154" spans="1:20" x14ac:dyDescent="0.25">
      <c r="A154" s="23" t="s">
        <v>1863</v>
      </c>
      <c r="B154" s="23" t="s">
        <v>91</v>
      </c>
      <c r="C154" s="23" t="s">
        <v>1857</v>
      </c>
      <c r="D154" s="23" t="s">
        <v>1864</v>
      </c>
      <c r="E154" s="23" t="s">
        <v>589</v>
      </c>
      <c r="F154" s="23" t="s">
        <v>40</v>
      </c>
      <c r="G154" s="23" t="s">
        <v>1865</v>
      </c>
      <c r="H154" s="23" t="s">
        <v>1866</v>
      </c>
      <c r="I154" s="23" t="s">
        <v>1867</v>
      </c>
      <c r="J154" s="23" t="s">
        <v>489</v>
      </c>
      <c r="K154" s="27" t="s">
        <v>404</v>
      </c>
      <c r="L154" s="23" t="s">
        <v>490</v>
      </c>
      <c r="M154" s="25" t="s">
        <v>18</v>
      </c>
      <c r="N154" s="23" t="s">
        <v>40</v>
      </c>
      <c r="O154" s="23" t="s">
        <v>387</v>
      </c>
      <c r="P154" s="23" t="s">
        <v>40</v>
      </c>
      <c r="Q154" s="23" t="s">
        <v>40</v>
      </c>
      <c r="R154" s="23" t="s">
        <v>92</v>
      </c>
      <c r="S154" s="23" t="s">
        <v>40</v>
      </c>
      <c r="T154" s="23" t="s">
        <v>40</v>
      </c>
    </row>
    <row r="155" spans="1:20" x14ac:dyDescent="0.25">
      <c r="A155" s="23" t="s">
        <v>1868</v>
      </c>
      <c r="B155" s="23" t="s">
        <v>91</v>
      </c>
      <c r="C155" s="23" t="s">
        <v>1857</v>
      </c>
      <c r="D155" s="23" t="s">
        <v>1869</v>
      </c>
      <c r="E155" s="23" t="s">
        <v>1870</v>
      </c>
      <c r="F155" s="23" t="s">
        <v>40</v>
      </c>
      <c r="G155" s="23" t="s">
        <v>1871</v>
      </c>
      <c r="H155" s="23" t="s">
        <v>1872</v>
      </c>
      <c r="I155" s="23" t="s">
        <v>1873</v>
      </c>
      <c r="J155" s="23" t="s">
        <v>14</v>
      </c>
      <c r="K155" s="27" t="s">
        <v>404</v>
      </c>
      <c r="L155" s="23" t="s">
        <v>490</v>
      </c>
      <c r="M155" s="25" t="s">
        <v>18</v>
      </c>
      <c r="N155" s="23" t="s">
        <v>40</v>
      </c>
      <c r="O155" s="23" t="s">
        <v>387</v>
      </c>
      <c r="P155" s="23" t="s">
        <v>40</v>
      </c>
      <c r="Q155" s="23" t="s">
        <v>40</v>
      </c>
      <c r="R155" s="23" t="s">
        <v>92</v>
      </c>
      <c r="S155" s="23" t="s">
        <v>40</v>
      </c>
      <c r="T155" s="23" t="s">
        <v>1811</v>
      </c>
    </row>
    <row r="156" spans="1:20" x14ac:dyDescent="0.25">
      <c r="A156" s="23" t="s">
        <v>1874</v>
      </c>
      <c r="B156" s="23" t="s">
        <v>91</v>
      </c>
      <c r="C156" s="23" t="s">
        <v>1020</v>
      </c>
      <c r="D156" s="23" t="s">
        <v>1021</v>
      </c>
      <c r="E156" s="23" t="s">
        <v>589</v>
      </c>
      <c r="F156" s="23" t="s">
        <v>40</v>
      </c>
      <c r="G156" s="23" t="s">
        <v>1875</v>
      </c>
      <c r="H156" s="23" t="s">
        <v>1876</v>
      </c>
      <c r="I156" s="23" t="s">
        <v>1877</v>
      </c>
      <c r="J156" s="23" t="s">
        <v>14</v>
      </c>
      <c r="K156" s="27" t="s">
        <v>404</v>
      </c>
      <c r="L156" s="23" t="s">
        <v>490</v>
      </c>
      <c r="M156" s="25" t="s">
        <v>18</v>
      </c>
      <c r="N156" s="23" t="s">
        <v>40</v>
      </c>
      <c r="O156" s="23" t="s">
        <v>387</v>
      </c>
      <c r="P156" s="23" t="s">
        <v>40</v>
      </c>
      <c r="Q156" s="23" t="s">
        <v>40</v>
      </c>
      <c r="R156" s="23" t="s">
        <v>92</v>
      </c>
      <c r="S156" s="23" t="s">
        <v>40</v>
      </c>
      <c r="T156" s="23" t="s">
        <v>40</v>
      </c>
    </row>
    <row r="157" spans="1:20" x14ac:dyDescent="0.25">
      <c r="A157" s="23" t="s">
        <v>1878</v>
      </c>
      <c r="B157" s="23" t="s">
        <v>91</v>
      </c>
      <c r="C157" s="23" t="s">
        <v>525</v>
      </c>
      <c r="D157" s="23" t="s">
        <v>1879</v>
      </c>
      <c r="E157" s="23" t="s">
        <v>647</v>
      </c>
      <c r="F157" s="23" t="s">
        <v>40</v>
      </c>
      <c r="G157" s="23" t="s">
        <v>1880</v>
      </c>
      <c r="H157" s="23" t="s">
        <v>1881</v>
      </c>
      <c r="I157" s="23" t="s">
        <v>1882</v>
      </c>
      <c r="J157" s="23" t="s">
        <v>525</v>
      </c>
      <c r="K157" s="24" t="s">
        <v>386</v>
      </c>
      <c r="L157" s="23" t="s">
        <v>405</v>
      </c>
      <c r="M157" s="25" t="s">
        <v>18</v>
      </c>
      <c r="N157" s="23" t="s">
        <v>40</v>
      </c>
      <c r="O157" s="23" t="s">
        <v>387</v>
      </c>
      <c r="P157" s="23" t="s">
        <v>40</v>
      </c>
      <c r="Q157" s="23" t="s">
        <v>40</v>
      </c>
      <c r="R157" s="23" t="s">
        <v>92</v>
      </c>
      <c r="S157" s="23" t="s">
        <v>40</v>
      </c>
      <c r="T157" s="23" t="s">
        <v>40</v>
      </c>
    </row>
    <row r="158" spans="1:20" x14ac:dyDescent="0.25">
      <c r="A158" s="23" t="s">
        <v>1883</v>
      </c>
      <c r="B158" s="23" t="s">
        <v>94</v>
      </c>
      <c r="C158" s="23" t="s">
        <v>944</v>
      </c>
      <c r="D158" s="23" t="s">
        <v>1884</v>
      </c>
      <c r="E158" s="23" t="s">
        <v>589</v>
      </c>
      <c r="F158" s="23" t="s">
        <v>40</v>
      </c>
      <c r="G158" s="23" t="s">
        <v>1885</v>
      </c>
      <c r="H158" s="23" t="s">
        <v>1886</v>
      </c>
      <c r="I158" s="23" t="s">
        <v>1887</v>
      </c>
      <c r="J158" s="23" t="s">
        <v>385</v>
      </c>
      <c r="K158" s="24" t="s">
        <v>386</v>
      </c>
      <c r="L158" s="23" t="s">
        <v>13</v>
      </c>
      <c r="M158" s="31" t="s">
        <v>17</v>
      </c>
      <c r="N158" s="23" t="s">
        <v>1888</v>
      </c>
      <c r="O158" s="29" t="s">
        <v>87</v>
      </c>
      <c r="P158" s="23" t="s">
        <v>40</v>
      </c>
      <c r="Q158" s="23" t="s">
        <v>40</v>
      </c>
      <c r="R158" s="23" t="s">
        <v>95</v>
      </c>
      <c r="S158" s="23" t="s">
        <v>40</v>
      </c>
      <c r="T158" s="23" t="s">
        <v>40</v>
      </c>
    </row>
    <row r="159" spans="1:20" x14ac:dyDescent="0.25">
      <c r="A159" s="23" t="s">
        <v>1889</v>
      </c>
      <c r="B159" s="23" t="s">
        <v>94</v>
      </c>
      <c r="C159" s="23" t="s">
        <v>1890</v>
      </c>
      <c r="D159" s="23" t="s">
        <v>1891</v>
      </c>
      <c r="E159" s="23" t="s">
        <v>589</v>
      </c>
      <c r="F159" s="23" t="s">
        <v>40</v>
      </c>
      <c r="G159" s="23" t="s">
        <v>1892</v>
      </c>
      <c r="H159" s="23" t="s">
        <v>1893</v>
      </c>
      <c r="I159" s="23" t="s">
        <v>1894</v>
      </c>
      <c r="J159" s="23" t="s">
        <v>385</v>
      </c>
      <c r="K159" s="27" t="s">
        <v>404</v>
      </c>
      <c r="L159" s="23" t="s">
        <v>405</v>
      </c>
      <c r="M159" s="25" t="s">
        <v>18</v>
      </c>
      <c r="N159" s="23" t="s">
        <v>40</v>
      </c>
      <c r="O159" s="23" t="s">
        <v>387</v>
      </c>
      <c r="P159" s="23" t="s">
        <v>40</v>
      </c>
      <c r="Q159" s="23" t="s">
        <v>40</v>
      </c>
      <c r="R159" s="23" t="s">
        <v>95</v>
      </c>
      <c r="S159" s="23" t="s">
        <v>40</v>
      </c>
      <c r="T159" s="23" t="s">
        <v>1895</v>
      </c>
    </row>
    <row r="160" spans="1:20" x14ac:dyDescent="0.25">
      <c r="A160" s="23" t="s">
        <v>1896</v>
      </c>
      <c r="B160" s="23" t="s">
        <v>94</v>
      </c>
      <c r="C160" s="23" t="s">
        <v>1897</v>
      </c>
      <c r="D160" s="23" t="s">
        <v>1898</v>
      </c>
      <c r="E160" s="23" t="s">
        <v>589</v>
      </c>
      <c r="F160" s="23" t="s">
        <v>1899</v>
      </c>
      <c r="G160" s="23" t="s">
        <v>1900</v>
      </c>
      <c r="H160" s="23" t="s">
        <v>1901</v>
      </c>
      <c r="I160" s="23" t="s">
        <v>1902</v>
      </c>
      <c r="J160" s="23" t="s">
        <v>14</v>
      </c>
      <c r="K160" s="26" t="s">
        <v>396</v>
      </c>
      <c r="L160" s="23" t="s">
        <v>13</v>
      </c>
      <c r="M160" s="25" t="s">
        <v>18</v>
      </c>
      <c r="N160" s="23" t="s">
        <v>40</v>
      </c>
      <c r="O160" s="23" t="s">
        <v>387</v>
      </c>
      <c r="P160" s="23" t="s">
        <v>40</v>
      </c>
      <c r="Q160" s="23" t="s">
        <v>40</v>
      </c>
      <c r="R160" s="23" t="s">
        <v>95</v>
      </c>
      <c r="S160" s="23" t="s">
        <v>1903</v>
      </c>
      <c r="T160" s="23" t="s">
        <v>40</v>
      </c>
    </row>
    <row r="161" spans="1:20" x14ac:dyDescent="0.25">
      <c r="A161" s="23" t="s">
        <v>1904</v>
      </c>
      <c r="B161" s="23" t="s">
        <v>94</v>
      </c>
      <c r="C161" s="23" t="s">
        <v>1897</v>
      </c>
      <c r="D161" s="23" t="s">
        <v>1905</v>
      </c>
      <c r="E161" s="23" t="s">
        <v>589</v>
      </c>
      <c r="F161" s="23" t="s">
        <v>40</v>
      </c>
      <c r="G161" s="23" t="s">
        <v>1906</v>
      </c>
      <c r="H161" s="23" t="s">
        <v>1907</v>
      </c>
      <c r="I161" s="23" t="s">
        <v>1908</v>
      </c>
      <c r="J161" s="23" t="s">
        <v>14</v>
      </c>
      <c r="K161" s="24" t="s">
        <v>386</v>
      </c>
      <c r="L161" s="23" t="s">
        <v>405</v>
      </c>
      <c r="M161" s="25" t="s">
        <v>18</v>
      </c>
      <c r="N161" s="23" t="s">
        <v>40</v>
      </c>
      <c r="O161" s="23" t="s">
        <v>387</v>
      </c>
      <c r="P161" s="23" t="s">
        <v>40</v>
      </c>
      <c r="Q161" s="23" t="s">
        <v>40</v>
      </c>
      <c r="R161" s="23" t="s">
        <v>95</v>
      </c>
      <c r="S161" s="23" t="s">
        <v>40</v>
      </c>
      <c r="T161" s="23" t="s">
        <v>40</v>
      </c>
    </row>
    <row r="162" spans="1:20" x14ac:dyDescent="0.25">
      <c r="A162" s="23" t="s">
        <v>1909</v>
      </c>
      <c r="B162" s="23" t="s">
        <v>94</v>
      </c>
      <c r="C162" s="23" t="s">
        <v>1897</v>
      </c>
      <c r="D162" s="23" t="s">
        <v>1910</v>
      </c>
      <c r="E162" s="23" t="s">
        <v>589</v>
      </c>
      <c r="F162" s="23" t="s">
        <v>40</v>
      </c>
      <c r="G162" s="23" t="s">
        <v>1911</v>
      </c>
      <c r="H162" s="23" t="s">
        <v>1912</v>
      </c>
      <c r="I162" s="23" t="s">
        <v>1913</v>
      </c>
      <c r="J162" s="23" t="s">
        <v>385</v>
      </c>
      <c r="K162" s="32" t="s">
        <v>747</v>
      </c>
      <c r="L162" s="23" t="s">
        <v>490</v>
      </c>
      <c r="M162" s="25" t="s">
        <v>18</v>
      </c>
      <c r="N162" s="23" t="s">
        <v>40</v>
      </c>
      <c r="O162" s="23" t="s">
        <v>387</v>
      </c>
      <c r="P162" s="23" t="s">
        <v>40</v>
      </c>
      <c r="Q162" s="23" t="s">
        <v>40</v>
      </c>
      <c r="R162" s="23" t="s">
        <v>95</v>
      </c>
      <c r="S162" s="23" t="s">
        <v>40</v>
      </c>
      <c r="T162" s="23" t="s">
        <v>40</v>
      </c>
    </row>
    <row r="163" spans="1:20" x14ac:dyDescent="0.25">
      <c r="A163" s="23" t="s">
        <v>1914</v>
      </c>
      <c r="B163" s="23" t="s">
        <v>94</v>
      </c>
      <c r="C163" s="23" t="s">
        <v>1897</v>
      </c>
      <c r="D163" s="23" t="s">
        <v>1915</v>
      </c>
      <c r="E163" s="23" t="s">
        <v>589</v>
      </c>
      <c r="F163" s="23" t="s">
        <v>40</v>
      </c>
      <c r="G163" s="23" t="s">
        <v>1916</v>
      </c>
      <c r="H163" s="23" t="s">
        <v>1917</v>
      </c>
      <c r="I163" s="23" t="s">
        <v>1918</v>
      </c>
      <c r="J163" s="23" t="s">
        <v>14</v>
      </c>
      <c r="K163" s="24" t="s">
        <v>386</v>
      </c>
      <c r="L163" s="23" t="s">
        <v>405</v>
      </c>
      <c r="M163" s="25" t="s">
        <v>18</v>
      </c>
      <c r="N163" s="23" t="s">
        <v>40</v>
      </c>
      <c r="O163" s="23" t="s">
        <v>387</v>
      </c>
      <c r="P163" s="23" t="s">
        <v>40</v>
      </c>
      <c r="Q163" s="23" t="s">
        <v>40</v>
      </c>
      <c r="R163" s="23" t="s">
        <v>95</v>
      </c>
      <c r="S163" s="23" t="s">
        <v>40</v>
      </c>
      <c r="T163" s="23" t="s">
        <v>1919</v>
      </c>
    </row>
    <row r="164" spans="1:20" x14ac:dyDescent="0.25">
      <c r="A164" s="23" t="s">
        <v>1920</v>
      </c>
      <c r="B164" s="23" t="s">
        <v>94</v>
      </c>
      <c r="C164" s="23" t="s">
        <v>1897</v>
      </c>
      <c r="D164" s="23" t="s">
        <v>1921</v>
      </c>
      <c r="E164" s="23" t="s">
        <v>589</v>
      </c>
      <c r="F164" s="23" t="s">
        <v>40</v>
      </c>
      <c r="G164" s="23" t="s">
        <v>1922</v>
      </c>
      <c r="H164" s="23" t="s">
        <v>1923</v>
      </c>
      <c r="I164" s="23" t="s">
        <v>1924</v>
      </c>
      <c r="J164" s="23" t="s">
        <v>14</v>
      </c>
      <c r="K164" s="27" t="s">
        <v>404</v>
      </c>
      <c r="L164" s="23" t="s">
        <v>490</v>
      </c>
      <c r="M164" s="25" t="s">
        <v>18</v>
      </c>
      <c r="N164" s="23" t="s">
        <v>40</v>
      </c>
      <c r="O164" s="23" t="s">
        <v>387</v>
      </c>
      <c r="P164" s="23" t="s">
        <v>40</v>
      </c>
      <c r="Q164" s="23" t="s">
        <v>40</v>
      </c>
      <c r="R164" s="23" t="s">
        <v>95</v>
      </c>
      <c r="S164" s="23" t="s">
        <v>40</v>
      </c>
      <c r="T164" s="23" t="s">
        <v>40</v>
      </c>
    </row>
    <row r="165" spans="1:20" x14ac:dyDescent="0.25">
      <c r="A165" s="23" t="s">
        <v>1925</v>
      </c>
      <c r="B165" s="23" t="s">
        <v>94</v>
      </c>
      <c r="C165" s="23" t="s">
        <v>466</v>
      </c>
      <c r="D165" s="23" t="s">
        <v>1926</v>
      </c>
      <c r="E165" s="23" t="s">
        <v>589</v>
      </c>
      <c r="F165" s="23" t="s">
        <v>1927</v>
      </c>
      <c r="G165" s="23" t="s">
        <v>1928</v>
      </c>
      <c r="H165" s="23" t="s">
        <v>1929</v>
      </c>
      <c r="I165" s="23" t="s">
        <v>1930</v>
      </c>
      <c r="J165" s="23" t="s">
        <v>466</v>
      </c>
      <c r="K165" s="27" t="s">
        <v>404</v>
      </c>
      <c r="L165" s="23" t="s">
        <v>405</v>
      </c>
      <c r="M165" s="25" t="s">
        <v>18</v>
      </c>
      <c r="N165" s="23" t="s">
        <v>40</v>
      </c>
      <c r="O165" s="23" t="s">
        <v>387</v>
      </c>
      <c r="P165" s="23" t="s">
        <v>40</v>
      </c>
      <c r="Q165" s="23" t="s">
        <v>40</v>
      </c>
      <c r="R165" s="23" t="s">
        <v>95</v>
      </c>
      <c r="S165" s="23" t="s">
        <v>40</v>
      </c>
      <c r="T165" s="23" t="s">
        <v>40</v>
      </c>
    </row>
    <row r="166" spans="1:20" x14ac:dyDescent="0.25">
      <c r="A166" s="23" t="s">
        <v>1931</v>
      </c>
      <c r="B166" s="23" t="s">
        <v>94</v>
      </c>
      <c r="C166" s="23" t="s">
        <v>466</v>
      </c>
      <c r="D166" s="23" t="s">
        <v>1932</v>
      </c>
      <c r="E166" s="23" t="s">
        <v>589</v>
      </c>
      <c r="F166" s="23" t="s">
        <v>1933</v>
      </c>
      <c r="G166" s="23" t="s">
        <v>1934</v>
      </c>
      <c r="H166" s="23" t="s">
        <v>1935</v>
      </c>
      <c r="I166" s="23" t="s">
        <v>1936</v>
      </c>
      <c r="J166" s="23" t="s">
        <v>489</v>
      </c>
      <c r="K166" s="27" t="s">
        <v>404</v>
      </c>
      <c r="L166" s="23" t="s">
        <v>490</v>
      </c>
      <c r="M166" s="25" t="s">
        <v>18</v>
      </c>
      <c r="N166" s="23" t="s">
        <v>40</v>
      </c>
      <c r="O166" s="23" t="s">
        <v>387</v>
      </c>
      <c r="P166" s="23" t="s">
        <v>40</v>
      </c>
      <c r="Q166" s="23" t="s">
        <v>40</v>
      </c>
      <c r="R166" s="23" t="s">
        <v>95</v>
      </c>
      <c r="S166" s="23" t="s">
        <v>40</v>
      </c>
      <c r="T166" s="23" t="s">
        <v>40</v>
      </c>
    </row>
    <row r="167" spans="1:20" x14ac:dyDescent="0.25">
      <c r="A167" s="23" t="s">
        <v>1937</v>
      </c>
      <c r="B167" s="23" t="s">
        <v>94</v>
      </c>
      <c r="C167" s="23" t="s">
        <v>466</v>
      </c>
      <c r="D167" s="23" t="s">
        <v>1938</v>
      </c>
      <c r="E167" s="23" t="s">
        <v>589</v>
      </c>
      <c r="F167" s="23" t="s">
        <v>40</v>
      </c>
      <c r="G167" s="23" t="s">
        <v>1939</v>
      </c>
      <c r="H167" s="23" t="s">
        <v>1940</v>
      </c>
      <c r="I167" s="23" t="s">
        <v>1941</v>
      </c>
      <c r="J167" s="23" t="s">
        <v>489</v>
      </c>
      <c r="K167" s="27" t="s">
        <v>404</v>
      </c>
      <c r="L167" s="23" t="s">
        <v>490</v>
      </c>
      <c r="M167" s="25" t="s">
        <v>18</v>
      </c>
      <c r="N167" s="23" t="s">
        <v>40</v>
      </c>
      <c r="O167" s="23" t="s">
        <v>387</v>
      </c>
      <c r="P167" s="23" t="s">
        <v>40</v>
      </c>
      <c r="Q167" s="23" t="s">
        <v>40</v>
      </c>
      <c r="R167" s="23" t="s">
        <v>95</v>
      </c>
      <c r="S167" s="23" t="s">
        <v>40</v>
      </c>
      <c r="T167" s="23" t="s">
        <v>1895</v>
      </c>
    </row>
    <row r="168" spans="1:20" x14ac:dyDescent="0.25">
      <c r="A168" s="23" t="s">
        <v>1942</v>
      </c>
      <c r="B168" s="23" t="s">
        <v>94</v>
      </c>
      <c r="C168" s="23" t="s">
        <v>783</v>
      </c>
      <c r="D168" s="23" t="s">
        <v>1943</v>
      </c>
      <c r="E168" s="23" t="s">
        <v>1944</v>
      </c>
      <c r="F168" s="23" t="s">
        <v>40</v>
      </c>
      <c r="G168" s="23" t="s">
        <v>1945</v>
      </c>
      <c r="H168" s="23" t="s">
        <v>1946</v>
      </c>
      <c r="I168" s="23" t="s">
        <v>1947</v>
      </c>
      <c r="J168" s="23" t="s">
        <v>801</v>
      </c>
      <c r="K168" s="24" t="s">
        <v>386</v>
      </c>
      <c r="L168" s="23" t="s">
        <v>405</v>
      </c>
      <c r="M168" s="25" t="s">
        <v>18</v>
      </c>
      <c r="N168" s="23" t="s">
        <v>40</v>
      </c>
      <c r="O168" s="23" t="s">
        <v>387</v>
      </c>
      <c r="P168" s="23" t="s">
        <v>40</v>
      </c>
      <c r="Q168" s="23" t="s">
        <v>40</v>
      </c>
      <c r="R168" s="23" t="s">
        <v>95</v>
      </c>
      <c r="S168" s="23" t="s">
        <v>40</v>
      </c>
      <c r="T168" s="23" t="s">
        <v>1895</v>
      </c>
    </row>
    <row r="169" spans="1:20" x14ac:dyDescent="0.25">
      <c r="A169" s="23" t="s">
        <v>1948</v>
      </c>
      <c r="B169" s="23" t="s">
        <v>94</v>
      </c>
      <c r="C169" s="23" t="s">
        <v>783</v>
      </c>
      <c r="D169" s="23" t="s">
        <v>1949</v>
      </c>
      <c r="E169" s="23" t="s">
        <v>1950</v>
      </c>
      <c r="F169" s="23" t="s">
        <v>40</v>
      </c>
      <c r="G169" s="23" t="s">
        <v>1951</v>
      </c>
      <c r="H169" s="23" t="s">
        <v>1952</v>
      </c>
      <c r="I169" s="23" t="s">
        <v>1953</v>
      </c>
      <c r="J169" s="23" t="s">
        <v>489</v>
      </c>
      <c r="K169" s="27" t="s">
        <v>404</v>
      </c>
      <c r="L169" s="23" t="s">
        <v>490</v>
      </c>
      <c r="M169" s="25" t="s">
        <v>18</v>
      </c>
      <c r="N169" s="23" t="s">
        <v>40</v>
      </c>
      <c r="O169" s="23" t="s">
        <v>387</v>
      </c>
      <c r="P169" s="23" t="s">
        <v>40</v>
      </c>
      <c r="Q169" s="23" t="s">
        <v>40</v>
      </c>
      <c r="R169" s="23" t="s">
        <v>95</v>
      </c>
      <c r="S169" s="23" t="s">
        <v>40</v>
      </c>
      <c r="T169" s="23" t="s">
        <v>1895</v>
      </c>
    </row>
    <row r="170" spans="1:20" x14ac:dyDescent="0.25">
      <c r="A170" s="23" t="s">
        <v>1954</v>
      </c>
      <c r="B170" s="23" t="s">
        <v>94</v>
      </c>
      <c r="C170" s="23" t="s">
        <v>783</v>
      </c>
      <c r="D170" s="23" t="s">
        <v>1955</v>
      </c>
      <c r="E170" s="23" t="s">
        <v>1956</v>
      </c>
      <c r="F170" s="23" t="s">
        <v>40</v>
      </c>
      <c r="G170" s="23" t="s">
        <v>1951</v>
      </c>
      <c r="H170" s="23" t="s">
        <v>1957</v>
      </c>
      <c r="I170" s="23" t="s">
        <v>1958</v>
      </c>
      <c r="J170" s="23" t="s">
        <v>801</v>
      </c>
      <c r="K170" s="27" t="s">
        <v>404</v>
      </c>
      <c r="L170" s="23" t="s">
        <v>490</v>
      </c>
      <c r="M170" s="25" t="s">
        <v>18</v>
      </c>
      <c r="N170" s="23" t="s">
        <v>40</v>
      </c>
      <c r="O170" s="23" t="s">
        <v>387</v>
      </c>
      <c r="P170" s="23" t="s">
        <v>40</v>
      </c>
      <c r="Q170" s="23" t="s">
        <v>40</v>
      </c>
      <c r="R170" s="23" t="s">
        <v>95</v>
      </c>
      <c r="S170" s="23" t="s">
        <v>40</v>
      </c>
      <c r="T170" s="23" t="s">
        <v>1895</v>
      </c>
    </row>
    <row r="171" spans="1:20" x14ac:dyDescent="0.25">
      <c r="A171" s="23" t="s">
        <v>1959</v>
      </c>
      <c r="B171" s="23" t="s">
        <v>94</v>
      </c>
      <c r="C171" s="23" t="s">
        <v>525</v>
      </c>
      <c r="D171" s="23" t="s">
        <v>1960</v>
      </c>
      <c r="E171" s="23" t="s">
        <v>647</v>
      </c>
      <c r="F171" s="23" t="s">
        <v>40</v>
      </c>
      <c r="G171" s="23" t="s">
        <v>1961</v>
      </c>
      <c r="H171" s="23" t="s">
        <v>1962</v>
      </c>
      <c r="I171" s="23" t="s">
        <v>1963</v>
      </c>
      <c r="J171" s="23" t="s">
        <v>525</v>
      </c>
      <c r="K171" s="24" t="s">
        <v>386</v>
      </c>
      <c r="L171" s="23" t="s">
        <v>405</v>
      </c>
      <c r="M171" s="25" t="s">
        <v>18</v>
      </c>
      <c r="N171" s="23" t="s">
        <v>40</v>
      </c>
      <c r="O171" s="23" t="s">
        <v>387</v>
      </c>
      <c r="P171" s="23" t="s">
        <v>40</v>
      </c>
      <c r="Q171" s="23" t="s">
        <v>40</v>
      </c>
      <c r="R171" s="23" t="s">
        <v>95</v>
      </c>
      <c r="S171" s="23" t="s">
        <v>40</v>
      </c>
      <c r="T171" s="23" t="s">
        <v>40</v>
      </c>
    </row>
    <row r="172" spans="1:20" x14ac:dyDescent="0.25">
      <c r="A172" s="23" t="s">
        <v>1964</v>
      </c>
      <c r="B172" s="23" t="s">
        <v>96</v>
      </c>
      <c r="C172" s="23" t="s">
        <v>944</v>
      </c>
      <c r="D172" s="23" t="s">
        <v>1965</v>
      </c>
      <c r="E172" s="23" t="s">
        <v>589</v>
      </c>
      <c r="F172" s="23" t="s">
        <v>40</v>
      </c>
      <c r="G172" s="23" t="s">
        <v>1966</v>
      </c>
      <c r="H172" s="23" t="s">
        <v>1967</v>
      </c>
      <c r="I172" s="23" t="s">
        <v>1968</v>
      </c>
      <c r="J172" s="23" t="s">
        <v>385</v>
      </c>
      <c r="K172" s="24" t="s">
        <v>386</v>
      </c>
      <c r="L172" s="23" t="s">
        <v>13</v>
      </c>
      <c r="M172" s="31" t="s">
        <v>17</v>
      </c>
      <c r="N172" s="23" t="s">
        <v>1969</v>
      </c>
      <c r="O172" s="29" t="s">
        <v>87</v>
      </c>
      <c r="P172" s="23" t="s">
        <v>40</v>
      </c>
      <c r="Q172" s="23" t="s">
        <v>40</v>
      </c>
      <c r="R172" s="23" t="s">
        <v>97</v>
      </c>
      <c r="S172" s="23" t="s">
        <v>40</v>
      </c>
      <c r="T172" s="23" t="s">
        <v>40</v>
      </c>
    </row>
    <row r="173" spans="1:20" x14ac:dyDescent="0.25">
      <c r="A173" s="23" t="s">
        <v>1970</v>
      </c>
      <c r="B173" s="23" t="s">
        <v>96</v>
      </c>
      <c r="C173" s="23" t="s">
        <v>1971</v>
      </c>
      <c r="D173" s="23" t="s">
        <v>1972</v>
      </c>
      <c r="E173" s="23" t="s">
        <v>589</v>
      </c>
      <c r="F173" s="23" t="s">
        <v>40</v>
      </c>
      <c r="G173" s="23" t="s">
        <v>1973</v>
      </c>
      <c r="H173" s="23" t="s">
        <v>1974</v>
      </c>
      <c r="I173" s="23" t="s">
        <v>1975</v>
      </c>
      <c r="J173" s="23" t="s">
        <v>385</v>
      </c>
      <c r="K173" s="27" t="s">
        <v>404</v>
      </c>
      <c r="L173" s="23" t="s">
        <v>405</v>
      </c>
      <c r="M173" s="25" t="s">
        <v>18</v>
      </c>
      <c r="N173" s="23" t="s">
        <v>40</v>
      </c>
      <c r="O173" s="23" t="s">
        <v>387</v>
      </c>
      <c r="P173" s="23" t="s">
        <v>40</v>
      </c>
      <c r="Q173" s="23" t="s">
        <v>40</v>
      </c>
      <c r="R173" s="23" t="s">
        <v>97</v>
      </c>
      <c r="S173" s="23" t="s">
        <v>40</v>
      </c>
      <c r="T173" s="23" t="s">
        <v>1976</v>
      </c>
    </row>
    <row r="174" spans="1:20" x14ac:dyDescent="0.25">
      <c r="A174" s="23" t="s">
        <v>1977</v>
      </c>
      <c r="B174" s="23" t="s">
        <v>96</v>
      </c>
      <c r="C174" s="23" t="s">
        <v>1978</v>
      </c>
      <c r="D174" s="23" t="s">
        <v>1979</v>
      </c>
      <c r="E174" s="23" t="s">
        <v>589</v>
      </c>
      <c r="F174" s="23" t="s">
        <v>40</v>
      </c>
      <c r="G174" s="23" t="s">
        <v>1980</v>
      </c>
      <c r="H174" s="23" t="s">
        <v>1981</v>
      </c>
      <c r="I174" s="23" t="s">
        <v>1982</v>
      </c>
      <c r="J174" s="23" t="s">
        <v>14</v>
      </c>
      <c r="K174" s="24" t="s">
        <v>386</v>
      </c>
      <c r="L174" s="23" t="s">
        <v>405</v>
      </c>
      <c r="M174" s="25" t="s">
        <v>18</v>
      </c>
      <c r="N174" s="23" t="s">
        <v>40</v>
      </c>
      <c r="O174" s="23" t="s">
        <v>387</v>
      </c>
      <c r="P174" s="23" t="s">
        <v>40</v>
      </c>
      <c r="Q174" s="23" t="s">
        <v>40</v>
      </c>
      <c r="R174" s="23" t="s">
        <v>97</v>
      </c>
      <c r="S174" s="23" t="s">
        <v>40</v>
      </c>
      <c r="T174" s="23" t="s">
        <v>40</v>
      </c>
    </row>
    <row r="175" spans="1:20" x14ac:dyDescent="0.25">
      <c r="A175" s="23" t="s">
        <v>1983</v>
      </c>
      <c r="B175" s="23" t="s">
        <v>96</v>
      </c>
      <c r="C175" s="23" t="s">
        <v>1984</v>
      </c>
      <c r="D175" s="23" t="s">
        <v>1985</v>
      </c>
      <c r="E175" s="23" t="s">
        <v>589</v>
      </c>
      <c r="F175" s="23" t="s">
        <v>1986</v>
      </c>
      <c r="G175" s="23" t="s">
        <v>1987</v>
      </c>
      <c r="H175" s="23" t="s">
        <v>1988</v>
      </c>
      <c r="I175" s="23" t="s">
        <v>1989</v>
      </c>
      <c r="J175" s="23" t="s">
        <v>14</v>
      </c>
      <c r="K175" s="26" t="s">
        <v>396</v>
      </c>
      <c r="L175" s="23" t="s">
        <v>13</v>
      </c>
      <c r="M175" s="25" t="s">
        <v>18</v>
      </c>
      <c r="N175" s="23" t="s">
        <v>40</v>
      </c>
      <c r="O175" s="23" t="s">
        <v>387</v>
      </c>
      <c r="P175" s="23" t="s">
        <v>40</v>
      </c>
      <c r="Q175" s="23" t="s">
        <v>40</v>
      </c>
      <c r="R175" s="23" t="s">
        <v>97</v>
      </c>
      <c r="S175" s="23" t="s">
        <v>40</v>
      </c>
      <c r="T175" s="23" t="s">
        <v>1976</v>
      </c>
    </row>
    <row r="176" spans="1:20" x14ac:dyDescent="0.25">
      <c r="A176" s="23" t="s">
        <v>1990</v>
      </c>
      <c r="B176" s="23" t="s">
        <v>96</v>
      </c>
      <c r="C176" s="23" t="s">
        <v>1984</v>
      </c>
      <c r="D176" s="23" t="s">
        <v>1991</v>
      </c>
      <c r="E176" s="23" t="s">
        <v>589</v>
      </c>
      <c r="F176" s="23" t="s">
        <v>40</v>
      </c>
      <c r="G176" s="23" t="s">
        <v>1992</v>
      </c>
      <c r="H176" s="23" t="s">
        <v>1993</v>
      </c>
      <c r="I176" s="23" t="s">
        <v>1994</v>
      </c>
      <c r="J176" s="23" t="s">
        <v>14</v>
      </c>
      <c r="K176" s="26" t="s">
        <v>396</v>
      </c>
      <c r="L176" s="23" t="s">
        <v>13</v>
      </c>
      <c r="M176" s="25" t="s">
        <v>18</v>
      </c>
      <c r="N176" s="23" t="s">
        <v>40</v>
      </c>
      <c r="O176" s="23" t="s">
        <v>387</v>
      </c>
      <c r="P176" s="23" t="s">
        <v>40</v>
      </c>
      <c r="Q176" s="23" t="s">
        <v>40</v>
      </c>
      <c r="R176" s="23" t="s">
        <v>97</v>
      </c>
      <c r="S176" s="23" t="s">
        <v>40</v>
      </c>
      <c r="T176" s="23" t="s">
        <v>1976</v>
      </c>
    </row>
    <row r="177" spans="1:20" x14ac:dyDescent="0.25">
      <c r="A177" s="23" t="s">
        <v>1995</v>
      </c>
      <c r="B177" s="23" t="s">
        <v>96</v>
      </c>
      <c r="C177" s="23" t="s">
        <v>466</v>
      </c>
      <c r="D177" s="23" t="s">
        <v>1996</v>
      </c>
      <c r="E177" s="23" t="s">
        <v>589</v>
      </c>
      <c r="F177" s="23" t="s">
        <v>1997</v>
      </c>
      <c r="G177" s="23" t="s">
        <v>1998</v>
      </c>
      <c r="H177" s="23" t="s">
        <v>1999</v>
      </c>
      <c r="I177" s="23" t="s">
        <v>2000</v>
      </c>
      <c r="J177" s="23" t="s">
        <v>466</v>
      </c>
      <c r="K177" s="24" t="s">
        <v>386</v>
      </c>
      <c r="L177" s="23" t="s">
        <v>13</v>
      </c>
      <c r="M177" s="25" t="s">
        <v>18</v>
      </c>
      <c r="N177" s="23" t="s">
        <v>40</v>
      </c>
      <c r="O177" s="23" t="s">
        <v>387</v>
      </c>
      <c r="P177" s="23" t="s">
        <v>40</v>
      </c>
      <c r="Q177" s="23" t="s">
        <v>40</v>
      </c>
      <c r="R177" s="23" t="s">
        <v>97</v>
      </c>
      <c r="S177" s="23" t="s">
        <v>40</v>
      </c>
      <c r="T177" s="23" t="s">
        <v>1301</v>
      </c>
    </row>
    <row r="178" spans="1:20" x14ac:dyDescent="0.25">
      <c r="A178" s="23" t="s">
        <v>2001</v>
      </c>
      <c r="B178" s="23" t="s">
        <v>96</v>
      </c>
      <c r="C178" s="23" t="s">
        <v>466</v>
      </c>
      <c r="D178" s="23" t="s">
        <v>2002</v>
      </c>
      <c r="E178" s="23" t="s">
        <v>589</v>
      </c>
      <c r="F178" s="23" t="s">
        <v>40</v>
      </c>
      <c r="G178" s="23" t="s">
        <v>2003</v>
      </c>
      <c r="H178" s="23" t="s">
        <v>2004</v>
      </c>
      <c r="I178" s="23" t="s">
        <v>2005</v>
      </c>
      <c r="J178" s="23" t="s">
        <v>466</v>
      </c>
      <c r="K178" s="27" t="s">
        <v>404</v>
      </c>
      <c r="L178" s="23" t="s">
        <v>405</v>
      </c>
      <c r="M178" s="25" t="s">
        <v>18</v>
      </c>
      <c r="N178" s="23" t="s">
        <v>40</v>
      </c>
      <c r="O178" s="23" t="s">
        <v>387</v>
      </c>
      <c r="P178" s="23" t="s">
        <v>40</v>
      </c>
      <c r="Q178" s="23" t="s">
        <v>40</v>
      </c>
      <c r="R178" s="23" t="s">
        <v>97</v>
      </c>
      <c r="S178" s="23" t="s">
        <v>40</v>
      </c>
      <c r="T178" s="23" t="s">
        <v>40</v>
      </c>
    </row>
    <row r="179" spans="1:20" x14ac:dyDescent="0.25">
      <c r="A179" s="23" t="s">
        <v>2006</v>
      </c>
      <c r="B179" s="23" t="s">
        <v>96</v>
      </c>
      <c r="C179" s="23" t="s">
        <v>466</v>
      </c>
      <c r="D179" s="23" t="s">
        <v>2007</v>
      </c>
      <c r="E179" s="23" t="s">
        <v>589</v>
      </c>
      <c r="F179" s="23" t="s">
        <v>40</v>
      </c>
      <c r="G179" s="23" t="s">
        <v>2008</v>
      </c>
      <c r="H179" s="23" t="s">
        <v>2009</v>
      </c>
      <c r="I179" s="23" t="s">
        <v>2010</v>
      </c>
      <c r="J179" s="23" t="s">
        <v>466</v>
      </c>
      <c r="K179" s="27" t="s">
        <v>404</v>
      </c>
      <c r="L179" s="23" t="s">
        <v>490</v>
      </c>
      <c r="M179" s="25" t="s">
        <v>18</v>
      </c>
      <c r="N179" s="23" t="s">
        <v>40</v>
      </c>
      <c r="O179" s="23" t="s">
        <v>387</v>
      </c>
      <c r="P179" s="23" t="s">
        <v>40</v>
      </c>
      <c r="Q179" s="23" t="s">
        <v>40</v>
      </c>
      <c r="R179" s="23" t="s">
        <v>97</v>
      </c>
      <c r="S179" s="23" t="s">
        <v>40</v>
      </c>
      <c r="T179" s="23" t="s">
        <v>40</v>
      </c>
    </row>
    <row r="180" spans="1:20" x14ac:dyDescent="0.25">
      <c r="A180" s="23" t="s">
        <v>2011</v>
      </c>
      <c r="B180" s="23" t="s">
        <v>96</v>
      </c>
      <c r="C180" s="23" t="s">
        <v>466</v>
      </c>
      <c r="D180" s="23" t="s">
        <v>2012</v>
      </c>
      <c r="E180" s="23" t="s">
        <v>589</v>
      </c>
      <c r="F180" s="23" t="s">
        <v>40</v>
      </c>
      <c r="G180" s="23" t="s">
        <v>2013</v>
      </c>
      <c r="H180" s="23" t="s">
        <v>2014</v>
      </c>
      <c r="I180" s="23" t="s">
        <v>2015</v>
      </c>
      <c r="J180" s="23" t="s">
        <v>15</v>
      </c>
      <c r="K180" s="24" t="s">
        <v>386</v>
      </c>
      <c r="L180" s="23" t="s">
        <v>13</v>
      </c>
      <c r="M180" s="25" t="s">
        <v>18</v>
      </c>
      <c r="N180" s="23" t="s">
        <v>40</v>
      </c>
      <c r="O180" s="23" t="s">
        <v>387</v>
      </c>
      <c r="P180" s="23" t="s">
        <v>40</v>
      </c>
      <c r="Q180" s="23" t="s">
        <v>40</v>
      </c>
      <c r="R180" s="23" t="s">
        <v>97</v>
      </c>
      <c r="S180" s="23" t="s">
        <v>40</v>
      </c>
      <c r="T180" s="23" t="s">
        <v>1301</v>
      </c>
    </row>
    <row r="181" spans="1:20" x14ac:dyDescent="0.25">
      <c r="A181" s="23" t="s">
        <v>2016</v>
      </c>
      <c r="B181" s="23" t="s">
        <v>96</v>
      </c>
      <c r="C181" s="23" t="s">
        <v>466</v>
      </c>
      <c r="D181" s="23" t="s">
        <v>2017</v>
      </c>
      <c r="E181" s="23" t="s">
        <v>589</v>
      </c>
      <c r="F181" s="23" t="s">
        <v>40</v>
      </c>
      <c r="G181" s="23" t="s">
        <v>2018</v>
      </c>
      <c r="H181" s="23" t="s">
        <v>2019</v>
      </c>
      <c r="I181" s="23" t="s">
        <v>2020</v>
      </c>
      <c r="J181" s="23" t="s">
        <v>15</v>
      </c>
      <c r="K181" s="24" t="s">
        <v>386</v>
      </c>
      <c r="L181" s="23" t="s">
        <v>13</v>
      </c>
      <c r="M181" s="25" t="s">
        <v>18</v>
      </c>
      <c r="N181" s="23" t="s">
        <v>40</v>
      </c>
      <c r="O181" s="23" t="s">
        <v>387</v>
      </c>
      <c r="P181" s="23" t="s">
        <v>40</v>
      </c>
      <c r="Q181" s="23" t="s">
        <v>40</v>
      </c>
      <c r="R181" s="23" t="s">
        <v>97</v>
      </c>
      <c r="S181" s="23" t="s">
        <v>40</v>
      </c>
      <c r="T181" s="23" t="s">
        <v>1301</v>
      </c>
    </row>
    <row r="182" spans="1:20" x14ac:dyDescent="0.25">
      <c r="A182" s="23" t="s">
        <v>2021</v>
      </c>
      <c r="B182" s="23" t="s">
        <v>96</v>
      </c>
      <c r="C182" s="23" t="s">
        <v>466</v>
      </c>
      <c r="D182" s="23" t="s">
        <v>2022</v>
      </c>
      <c r="E182" s="23" t="s">
        <v>589</v>
      </c>
      <c r="F182" s="23" t="s">
        <v>40</v>
      </c>
      <c r="G182" s="23" t="s">
        <v>2023</v>
      </c>
      <c r="H182" s="23" t="s">
        <v>2024</v>
      </c>
      <c r="I182" s="23" t="s">
        <v>2025</v>
      </c>
      <c r="J182" s="23" t="s">
        <v>15</v>
      </c>
      <c r="K182" s="27" t="s">
        <v>404</v>
      </c>
      <c r="L182" s="23" t="s">
        <v>405</v>
      </c>
      <c r="M182" s="25" t="s">
        <v>18</v>
      </c>
      <c r="N182" s="23" t="s">
        <v>40</v>
      </c>
      <c r="O182" s="23" t="s">
        <v>387</v>
      </c>
      <c r="P182" s="23" t="s">
        <v>40</v>
      </c>
      <c r="Q182" s="23" t="s">
        <v>40</v>
      </c>
      <c r="R182" s="23" t="s">
        <v>97</v>
      </c>
      <c r="S182" s="23" t="s">
        <v>40</v>
      </c>
      <c r="T182" s="23" t="s">
        <v>1301</v>
      </c>
    </row>
    <row r="183" spans="1:20" x14ac:dyDescent="0.25">
      <c r="A183" s="23" t="s">
        <v>2026</v>
      </c>
      <c r="B183" s="23" t="s">
        <v>96</v>
      </c>
      <c r="C183" s="23" t="s">
        <v>466</v>
      </c>
      <c r="D183" s="23" t="s">
        <v>2027</v>
      </c>
      <c r="E183" s="23" t="s">
        <v>589</v>
      </c>
      <c r="F183" s="23" t="s">
        <v>40</v>
      </c>
      <c r="G183" s="23" t="s">
        <v>2028</v>
      </c>
      <c r="H183" s="23" t="s">
        <v>2029</v>
      </c>
      <c r="I183" s="23" t="s">
        <v>2030</v>
      </c>
      <c r="J183" s="23" t="s">
        <v>15</v>
      </c>
      <c r="K183" s="24" t="s">
        <v>386</v>
      </c>
      <c r="L183" s="23" t="s">
        <v>13</v>
      </c>
      <c r="M183" s="25" t="s">
        <v>18</v>
      </c>
      <c r="N183" s="23" t="s">
        <v>40</v>
      </c>
      <c r="O183" s="23" t="s">
        <v>387</v>
      </c>
      <c r="P183" s="23" t="s">
        <v>40</v>
      </c>
      <c r="Q183" s="23" t="s">
        <v>40</v>
      </c>
      <c r="R183" s="23" t="s">
        <v>97</v>
      </c>
      <c r="S183" s="23" t="s">
        <v>40</v>
      </c>
      <c r="T183" s="23" t="s">
        <v>1301</v>
      </c>
    </row>
    <row r="184" spans="1:20" x14ac:dyDescent="0.25">
      <c r="A184" s="23" t="s">
        <v>2031</v>
      </c>
      <c r="B184" s="23" t="s">
        <v>96</v>
      </c>
      <c r="C184" s="23" t="s">
        <v>466</v>
      </c>
      <c r="D184" s="23" t="s">
        <v>2032</v>
      </c>
      <c r="E184" s="23" t="s">
        <v>589</v>
      </c>
      <c r="F184" s="23" t="s">
        <v>40</v>
      </c>
      <c r="G184" s="23" t="s">
        <v>2033</v>
      </c>
      <c r="H184" s="23" t="s">
        <v>2034</v>
      </c>
      <c r="I184" s="23" t="s">
        <v>2035</v>
      </c>
      <c r="J184" s="23" t="s">
        <v>15</v>
      </c>
      <c r="K184" s="27" t="s">
        <v>404</v>
      </c>
      <c r="L184" s="23" t="s">
        <v>405</v>
      </c>
      <c r="M184" s="25" t="s">
        <v>18</v>
      </c>
      <c r="N184" s="23" t="s">
        <v>40</v>
      </c>
      <c r="O184" s="23" t="s">
        <v>387</v>
      </c>
      <c r="P184" s="23" t="s">
        <v>40</v>
      </c>
      <c r="Q184" s="23" t="s">
        <v>40</v>
      </c>
      <c r="R184" s="23" t="s">
        <v>97</v>
      </c>
      <c r="S184" s="23" t="s">
        <v>40</v>
      </c>
      <c r="T184" s="23" t="s">
        <v>1301</v>
      </c>
    </row>
    <row r="185" spans="1:20" x14ac:dyDescent="0.25">
      <c r="A185" s="23" t="s">
        <v>2036</v>
      </c>
      <c r="B185" s="23" t="s">
        <v>96</v>
      </c>
      <c r="C185" s="23" t="s">
        <v>466</v>
      </c>
      <c r="D185" s="23" t="s">
        <v>2037</v>
      </c>
      <c r="E185" s="23" t="s">
        <v>589</v>
      </c>
      <c r="F185" s="23" t="s">
        <v>40</v>
      </c>
      <c r="G185" s="23" t="s">
        <v>2038</v>
      </c>
      <c r="H185" s="23" t="s">
        <v>2039</v>
      </c>
      <c r="I185" s="23" t="s">
        <v>2040</v>
      </c>
      <c r="J185" s="23" t="s">
        <v>489</v>
      </c>
      <c r="K185" s="27" t="s">
        <v>404</v>
      </c>
      <c r="L185" s="23" t="s">
        <v>405</v>
      </c>
      <c r="M185" s="25" t="s">
        <v>18</v>
      </c>
      <c r="N185" s="23" t="s">
        <v>40</v>
      </c>
      <c r="O185" s="23" t="s">
        <v>387</v>
      </c>
      <c r="P185" s="23" t="s">
        <v>40</v>
      </c>
      <c r="Q185" s="23" t="s">
        <v>40</v>
      </c>
      <c r="R185" s="23" t="s">
        <v>97</v>
      </c>
      <c r="S185" s="23" t="s">
        <v>40</v>
      </c>
      <c r="T185" s="23" t="s">
        <v>1976</v>
      </c>
    </row>
    <row r="186" spans="1:20" x14ac:dyDescent="0.25">
      <c r="A186" s="23" t="s">
        <v>2041</v>
      </c>
      <c r="B186" s="23" t="s">
        <v>96</v>
      </c>
      <c r="C186" s="23" t="s">
        <v>466</v>
      </c>
      <c r="D186" s="23" t="s">
        <v>2042</v>
      </c>
      <c r="E186" s="23" t="s">
        <v>589</v>
      </c>
      <c r="F186" s="23" t="s">
        <v>40</v>
      </c>
      <c r="G186" s="23" t="s">
        <v>2043</v>
      </c>
      <c r="H186" s="23" t="s">
        <v>2044</v>
      </c>
      <c r="I186" s="23" t="s">
        <v>2045</v>
      </c>
      <c r="J186" s="23" t="s">
        <v>15</v>
      </c>
      <c r="K186" s="27" t="s">
        <v>404</v>
      </c>
      <c r="L186" s="23" t="s">
        <v>490</v>
      </c>
      <c r="M186" s="25" t="s">
        <v>18</v>
      </c>
      <c r="N186" s="23" t="s">
        <v>40</v>
      </c>
      <c r="O186" s="23" t="s">
        <v>387</v>
      </c>
      <c r="P186" s="23" t="s">
        <v>40</v>
      </c>
      <c r="Q186" s="23" t="s">
        <v>40</v>
      </c>
      <c r="R186" s="23" t="s">
        <v>97</v>
      </c>
      <c r="S186" s="23" t="s">
        <v>40</v>
      </c>
      <c r="T186" s="23" t="s">
        <v>1976</v>
      </c>
    </row>
    <row r="187" spans="1:20" x14ac:dyDescent="0.25">
      <c r="A187" s="23" t="s">
        <v>2046</v>
      </c>
      <c r="B187" s="23" t="s">
        <v>96</v>
      </c>
      <c r="C187" s="23" t="s">
        <v>466</v>
      </c>
      <c r="D187" s="23" t="s">
        <v>2047</v>
      </c>
      <c r="E187" s="23" t="s">
        <v>589</v>
      </c>
      <c r="F187" s="23" t="s">
        <v>40</v>
      </c>
      <c r="G187" s="23" t="s">
        <v>2048</v>
      </c>
      <c r="H187" s="23" t="s">
        <v>2049</v>
      </c>
      <c r="I187" s="23" t="s">
        <v>2050</v>
      </c>
      <c r="J187" s="23" t="s">
        <v>489</v>
      </c>
      <c r="K187" s="27" t="s">
        <v>404</v>
      </c>
      <c r="L187" s="23" t="s">
        <v>490</v>
      </c>
      <c r="M187" s="25" t="s">
        <v>18</v>
      </c>
      <c r="N187" s="23" t="s">
        <v>40</v>
      </c>
      <c r="O187" s="23" t="s">
        <v>387</v>
      </c>
      <c r="P187" s="23" t="s">
        <v>40</v>
      </c>
      <c r="Q187" s="23" t="s">
        <v>40</v>
      </c>
      <c r="R187" s="23" t="s">
        <v>97</v>
      </c>
      <c r="S187" s="23" t="s">
        <v>40</v>
      </c>
      <c r="T187" s="23" t="s">
        <v>2051</v>
      </c>
    </row>
    <row r="188" spans="1:20" x14ac:dyDescent="0.25">
      <c r="A188" s="23" t="s">
        <v>2052</v>
      </c>
      <c r="B188" s="23" t="s">
        <v>96</v>
      </c>
      <c r="C188" s="23" t="s">
        <v>466</v>
      </c>
      <c r="D188" s="23" t="s">
        <v>2053</v>
      </c>
      <c r="E188" s="23" t="s">
        <v>589</v>
      </c>
      <c r="F188" s="23" t="s">
        <v>40</v>
      </c>
      <c r="G188" s="23" t="s">
        <v>2054</v>
      </c>
      <c r="H188" s="23" t="s">
        <v>2055</v>
      </c>
      <c r="I188" s="23" t="s">
        <v>2056</v>
      </c>
      <c r="J188" s="23" t="s">
        <v>15</v>
      </c>
      <c r="K188" s="27" t="s">
        <v>404</v>
      </c>
      <c r="L188" s="23" t="s">
        <v>405</v>
      </c>
      <c r="M188" s="25" t="s">
        <v>18</v>
      </c>
      <c r="N188" s="23" t="s">
        <v>40</v>
      </c>
      <c r="O188" s="23" t="s">
        <v>387</v>
      </c>
      <c r="P188" s="23" t="s">
        <v>40</v>
      </c>
      <c r="Q188" s="23" t="s">
        <v>40</v>
      </c>
      <c r="R188" s="23" t="s">
        <v>97</v>
      </c>
      <c r="S188" s="23" t="s">
        <v>40</v>
      </c>
      <c r="T188" s="23" t="s">
        <v>40</v>
      </c>
    </row>
    <row r="189" spans="1:20" x14ac:dyDescent="0.25">
      <c r="A189" s="23" t="s">
        <v>2057</v>
      </c>
      <c r="B189" s="23" t="s">
        <v>96</v>
      </c>
      <c r="C189" s="23" t="s">
        <v>801</v>
      </c>
      <c r="D189" s="23" t="s">
        <v>2058</v>
      </c>
      <c r="E189" s="23" t="s">
        <v>2059</v>
      </c>
      <c r="F189" s="23" t="s">
        <v>40</v>
      </c>
      <c r="G189" s="23" t="s">
        <v>2060</v>
      </c>
      <c r="H189" s="23" t="s">
        <v>2061</v>
      </c>
      <c r="I189" s="23" t="s">
        <v>2062</v>
      </c>
      <c r="J189" s="23" t="s">
        <v>801</v>
      </c>
      <c r="K189" s="24" t="s">
        <v>386</v>
      </c>
      <c r="L189" s="23" t="s">
        <v>405</v>
      </c>
      <c r="M189" s="25" t="s">
        <v>18</v>
      </c>
      <c r="N189" s="23" t="s">
        <v>40</v>
      </c>
      <c r="O189" s="23" t="s">
        <v>387</v>
      </c>
      <c r="P189" s="23" t="s">
        <v>40</v>
      </c>
      <c r="Q189" s="23" t="s">
        <v>40</v>
      </c>
      <c r="R189" s="23" t="s">
        <v>97</v>
      </c>
      <c r="S189" s="23" t="s">
        <v>40</v>
      </c>
      <c r="T189" s="23" t="s">
        <v>40</v>
      </c>
    </row>
    <row r="190" spans="1:20" x14ac:dyDescent="0.25">
      <c r="A190" s="23" t="s">
        <v>2063</v>
      </c>
      <c r="B190" s="23" t="s">
        <v>96</v>
      </c>
      <c r="C190" s="23" t="s">
        <v>525</v>
      </c>
      <c r="D190" s="23" t="s">
        <v>2064</v>
      </c>
      <c r="E190" s="23" t="s">
        <v>647</v>
      </c>
      <c r="F190" s="23" t="s">
        <v>40</v>
      </c>
      <c r="G190" s="23" t="s">
        <v>2065</v>
      </c>
      <c r="H190" s="23" t="s">
        <v>2066</v>
      </c>
      <c r="I190" s="23" t="s">
        <v>1963</v>
      </c>
      <c r="J190" s="23" t="s">
        <v>525</v>
      </c>
      <c r="K190" s="24" t="s">
        <v>386</v>
      </c>
      <c r="L190" s="23" t="s">
        <v>405</v>
      </c>
      <c r="M190" s="25" t="s">
        <v>18</v>
      </c>
      <c r="N190" s="23" t="s">
        <v>40</v>
      </c>
      <c r="O190" s="23" t="s">
        <v>387</v>
      </c>
      <c r="P190" s="23" t="s">
        <v>40</v>
      </c>
      <c r="Q190" s="23" t="s">
        <v>40</v>
      </c>
      <c r="R190" s="23" t="s">
        <v>97</v>
      </c>
      <c r="S190" s="23" t="s">
        <v>40</v>
      </c>
      <c r="T190" s="23" t="s">
        <v>40</v>
      </c>
    </row>
    <row r="191" spans="1:20" x14ac:dyDescent="0.25">
      <c r="A191" s="23" t="s">
        <v>2067</v>
      </c>
      <c r="B191" s="23" t="s">
        <v>98</v>
      </c>
      <c r="C191" s="23" t="s">
        <v>944</v>
      </c>
      <c r="D191" s="23" t="s">
        <v>2068</v>
      </c>
      <c r="E191" s="23" t="s">
        <v>589</v>
      </c>
      <c r="F191" s="23" t="s">
        <v>40</v>
      </c>
      <c r="G191" s="23" t="s">
        <v>2069</v>
      </c>
      <c r="H191" s="23" t="s">
        <v>2070</v>
      </c>
      <c r="I191" s="23" t="s">
        <v>2071</v>
      </c>
      <c r="J191" s="23" t="s">
        <v>385</v>
      </c>
      <c r="K191" s="24" t="s">
        <v>386</v>
      </c>
      <c r="L191" s="23" t="s">
        <v>13</v>
      </c>
      <c r="M191" s="31" t="s">
        <v>17</v>
      </c>
      <c r="N191" s="23" t="s">
        <v>2072</v>
      </c>
      <c r="O191" s="29" t="s">
        <v>87</v>
      </c>
      <c r="P191" s="23" t="s">
        <v>40</v>
      </c>
      <c r="Q191" s="23" t="s">
        <v>40</v>
      </c>
      <c r="R191" s="23" t="s">
        <v>99</v>
      </c>
      <c r="S191" s="23" t="s">
        <v>40</v>
      </c>
      <c r="T191" s="23" t="s">
        <v>40</v>
      </c>
    </row>
    <row r="192" spans="1:20" x14ac:dyDescent="0.25">
      <c r="A192" s="23" t="s">
        <v>2073</v>
      </c>
      <c r="B192" s="23" t="s">
        <v>98</v>
      </c>
      <c r="C192" s="23" t="s">
        <v>2074</v>
      </c>
      <c r="D192" s="23" t="s">
        <v>2075</v>
      </c>
      <c r="E192" s="23" t="s">
        <v>2076</v>
      </c>
      <c r="F192" s="23" t="s">
        <v>2077</v>
      </c>
      <c r="G192" s="23" t="s">
        <v>2078</v>
      </c>
      <c r="H192" s="23" t="s">
        <v>2079</v>
      </c>
      <c r="I192" s="23" t="s">
        <v>2080</v>
      </c>
      <c r="J192" s="23" t="s">
        <v>14</v>
      </c>
      <c r="K192" s="26" t="s">
        <v>396</v>
      </c>
      <c r="L192" s="23" t="s">
        <v>13</v>
      </c>
      <c r="M192" s="28" t="s">
        <v>16</v>
      </c>
      <c r="N192" s="23" t="s">
        <v>2081</v>
      </c>
      <c r="O192" s="29" t="s">
        <v>87</v>
      </c>
      <c r="P192" s="23" t="s">
        <v>40</v>
      </c>
      <c r="Q192" s="23" t="s">
        <v>40</v>
      </c>
      <c r="R192" s="23" t="s">
        <v>99</v>
      </c>
      <c r="S192" s="23" t="s">
        <v>40</v>
      </c>
      <c r="T192" s="23" t="s">
        <v>40</v>
      </c>
    </row>
    <row r="193" spans="1:20" x14ac:dyDescent="0.25">
      <c r="A193" s="23" t="s">
        <v>2082</v>
      </c>
      <c r="B193" s="23" t="s">
        <v>98</v>
      </c>
      <c r="C193" s="23" t="s">
        <v>2074</v>
      </c>
      <c r="D193" s="23" t="s">
        <v>2083</v>
      </c>
      <c r="E193" s="23" t="s">
        <v>2076</v>
      </c>
      <c r="F193" s="23" t="s">
        <v>40</v>
      </c>
      <c r="G193" s="23" t="s">
        <v>2084</v>
      </c>
      <c r="H193" s="23" t="s">
        <v>2085</v>
      </c>
      <c r="I193" s="23" t="s">
        <v>2086</v>
      </c>
      <c r="J193" s="23" t="s">
        <v>385</v>
      </c>
      <c r="K193" s="27" t="s">
        <v>404</v>
      </c>
      <c r="L193" s="23" t="s">
        <v>405</v>
      </c>
      <c r="M193" s="28" t="s">
        <v>16</v>
      </c>
      <c r="N193" s="23" t="s">
        <v>2081</v>
      </c>
      <c r="O193" s="29" t="s">
        <v>87</v>
      </c>
      <c r="P193" s="23" t="s">
        <v>40</v>
      </c>
      <c r="Q193" s="23" t="s">
        <v>40</v>
      </c>
      <c r="R193" s="23" t="s">
        <v>99</v>
      </c>
      <c r="S193" s="23" t="s">
        <v>40</v>
      </c>
      <c r="T193" s="23" t="s">
        <v>40</v>
      </c>
    </row>
    <row r="194" spans="1:20" x14ac:dyDescent="0.25">
      <c r="A194" s="23" t="s">
        <v>2087</v>
      </c>
      <c r="B194" s="23" t="s">
        <v>98</v>
      </c>
      <c r="C194" s="23" t="s">
        <v>2074</v>
      </c>
      <c r="D194" s="23" t="s">
        <v>2088</v>
      </c>
      <c r="E194" s="23" t="s">
        <v>2076</v>
      </c>
      <c r="F194" s="23" t="s">
        <v>40</v>
      </c>
      <c r="G194" s="23" t="s">
        <v>2089</v>
      </c>
      <c r="H194" s="23" t="s">
        <v>2090</v>
      </c>
      <c r="I194" s="23" t="s">
        <v>2091</v>
      </c>
      <c r="J194" s="23" t="s">
        <v>14</v>
      </c>
      <c r="K194" s="24" t="s">
        <v>386</v>
      </c>
      <c r="L194" s="23" t="s">
        <v>405</v>
      </c>
      <c r="M194" s="25" t="s">
        <v>18</v>
      </c>
      <c r="N194" s="23" t="s">
        <v>40</v>
      </c>
      <c r="O194" s="23" t="s">
        <v>387</v>
      </c>
      <c r="P194" s="23" t="s">
        <v>40</v>
      </c>
      <c r="Q194" s="23" t="s">
        <v>40</v>
      </c>
      <c r="R194" s="23" t="s">
        <v>99</v>
      </c>
      <c r="S194" s="23" t="s">
        <v>40</v>
      </c>
      <c r="T194" s="23" t="s">
        <v>2092</v>
      </c>
    </row>
    <row r="195" spans="1:20" x14ac:dyDescent="0.25">
      <c r="A195" s="23" t="s">
        <v>2093</v>
      </c>
      <c r="B195" s="23" t="s">
        <v>98</v>
      </c>
      <c r="C195" s="23" t="s">
        <v>2074</v>
      </c>
      <c r="D195" s="23" t="s">
        <v>2094</v>
      </c>
      <c r="E195" s="23" t="s">
        <v>2076</v>
      </c>
      <c r="F195" s="23" t="s">
        <v>40</v>
      </c>
      <c r="G195" s="23" t="s">
        <v>2095</v>
      </c>
      <c r="H195" s="23" t="s">
        <v>2096</v>
      </c>
      <c r="I195" s="23" t="s">
        <v>2097</v>
      </c>
      <c r="J195" s="23" t="s">
        <v>14</v>
      </c>
      <c r="K195" s="24" t="s">
        <v>386</v>
      </c>
      <c r="L195" s="23" t="s">
        <v>405</v>
      </c>
      <c r="M195" s="25" t="s">
        <v>18</v>
      </c>
      <c r="N195" s="23" t="s">
        <v>40</v>
      </c>
      <c r="O195" s="23" t="s">
        <v>387</v>
      </c>
      <c r="P195" s="23" t="s">
        <v>40</v>
      </c>
      <c r="Q195" s="23" t="s">
        <v>40</v>
      </c>
      <c r="R195" s="23" t="s">
        <v>99</v>
      </c>
      <c r="S195" s="23" t="s">
        <v>40</v>
      </c>
      <c r="T195" s="23" t="s">
        <v>40</v>
      </c>
    </row>
    <row r="196" spans="1:20" x14ac:dyDescent="0.25">
      <c r="A196" s="23" t="s">
        <v>2098</v>
      </c>
      <c r="B196" s="23" t="s">
        <v>98</v>
      </c>
      <c r="C196" s="23" t="s">
        <v>2074</v>
      </c>
      <c r="D196" s="23" t="s">
        <v>2099</v>
      </c>
      <c r="E196" s="23" t="s">
        <v>2076</v>
      </c>
      <c r="F196" s="23" t="s">
        <v>40</v>
      </c>
      <c r="G196" s="23" t="s">
        <v>2100</v>
      </c>
      <c r="H196" s="23" t="s">
        <v>2101</v>
      </c>
      <c r="I196" s="23" t="s">
        <v>2102</v>
      </c>
      <c r="J196" s="23" t="s">
        <v>14</v>
      </c>
      <c r="K196" s="27" t="s">
        <v>404</v>
      </c>
      <c r="L196" s="23" t="s">
        <v>490</v>
      </c>
      <c r="M196" s="25" t="s">
        <v>18</v>
      </c>
      <c r="N196" s="23" t="s">
        <v>40</v>
      </c>
      <c r="O196" s="23" t="s">
        <v>387</v>
      </c>
      <c r="P196" s="23" t="s">
        <v>40</v>
      </c>
      <c r="Q196" s="23" t="s">
        <v>40</v>
      </c>
      <c r="R196" s="23" t="s">
        <v>99</v>
      </c>
      <c r="S196" s="23" t="s">
        <v>40</v>
      </c>
      <c r="T196" s="23" t="s">
        <v>40</v>
      </c>
    </row>
    <row r="197" spans="1:20" x14ac:dyDescent="0.25">
      <c r="A197" s="23" t="s">
        <v>2103</v>
      </c>
      <c r="B197" s="23" t="s">
        <v>98</v>
      </c>
      <c r="C197" s="23" t="s">
        <v>2074</v>
      </c>
      <c r="D197" s="23" t="s">
        <v>2104</v>
      </c>
      <c r="E197" s="23" t="s">
        <v>2076</v>
      </c>
      <c r="F197" s="23" t="s">
        <v>40</v>
      </c>
      <c r="G197" s="23" t="s">
        <v>2105</v>
      </c>
      <c r="H197" s="23" t="s">
        <v>2106</v>
      </c>
      <c r="I197" s="23" t="s">
        <v>2107</v>
      </c>
      <c r="J197" s="23" t="s">
        <v>14</v>
      </c>
      <c r="K197" s="27" t="s">
        <v>404</v>
      </c>
      <c r="L197" s="23" t="s">
        <v>490</v>
      </c>
      <c r="M197" s="25" t="s">
        <v>18</v>
      </c>
      <c r="N197" s="23" t="s">
        <v>40</v>
      </c>
      <c r="O197" s="23" t="s">
        <v>387</v>
      </c>
      <c r="P197" s="23" t="s">
        <v>40</v>
      </c>
      <c r="Q197" s="23" t="s">
        <v>40</v>
      </c>
      <c r="R197" s="23" t="s">
        <v>99</v>
      </c>
      <c r="S197" s="23" t="s">
        <v>40</v>
      </c>
      <c r="T197" s="23" t="s">
        <v>2108</v>
      </c>
    </row>
    <row r="198" spans="1:20" x14ac:dyDescent="0.25">
      <c r="A198" s="23" t="s">
        <v>2109</v>
      </c>
      <c r="B198" s="23" t="s">
        <v>98</v>
      </c>
      <c r="C198" s="23" t="s">
        <v>461</v>
      </c>
      <c r="D198" s="23" t="s">
        <v>2110</v>
      </c>
      <c r="E198" s="23" t="s">
        <v>2076</v>
      </c>
      <c r="F198" s="23" t="s">
        <v>40</v>
      </c>
      <c r="G198" s="23" t="s">
        <v>2111</v>
      </c>
      <c r="H198" s="23" t="s">
        <v>2112</v>
      </c>
      <c r="I198" s="23" t="s">
        <v>2113</v>
      </c>
      <c r="J198" s="23" t="s">
        <v>466</v>
      </c>
      <c r="K198" s="24" t="s">
        <v>386</v>
      </c>
      <c r="L198" s="23" t="s">
        <v>13</v>
      </c>
      <c r="M198" s="25" t="s">
        <v>18</v>
      </c>
      <c r="N198" s="23" t="s">
        <v>40</v>
      </c>
      <c r="O198" s="23" t="s">
        <v>387</v>
      </c>
      <c r="P198" s="23" t="s">
        <v>40</v>
      </c>
      <c r="Q198" s="23" t="s">
        <v>40</v>
      </c>
      <c r="R198" s="23" t="s">
        <v>99</v>
      </c>
      <c r="S198" s="23" t="s">
        <v>40</v>
      </c>
      <c r="T198" s="23" t="s">
        <v>2114</v>
      </c>
    </row>
    <row r="199" spans="1:20" x14ac:dyDescent="0.25">
      <c r="A199" s="23" t="s">
        <v>2115</v>
      </c>
      <c r="B199" s="23" t="s">
        <v>98</v>
      </c>
      <c r="C199" s="23" t="s">
        <v>461</v>
      </c>
      <c r="D199" s="23" t="s">
        <v>2116</v>
      </c>
      <c r="E199" s="23" t="s">
        <v>2076</v>
      </c>
      <c r="F199" s="23" t="s">
        <v>40</v>
      </c>
      <c r="G199" s="23" t="s">
        <v>2117</v>
      </c>
      <c r="H199" s="23" t="s">
        <v>2118</v>
      </c>
      <c r="I199" s="23" t="s">
        <v>2119</v>
      </c>
      <c r="J199" s="23" t="s">
        <v>466</v>
      </c>
      <c r="K199" s="24" t="s">
        <v>386</v>
      </c>
      <c r="L199" s="23" t="s">
        <v>13</v>
      </c>
      <c r="M199" s="25" t="s">
        <v>18</v>
      </c>
      <c r="N199" s="23" t="s">
        <v>40</v>
      </c>
      <c r="O199" s="23" t="s">
        <v>387</v>
      </c>
      <c r="P199" s="23" t="s">
        <v>40</v>
      </c>
      <c r="Q199" s="23" t="s">
        <v>40</v>
      </c>
      <c r="R199" s="23" t="s">
        <v>99</v>
      </c>
      <c r="S199" s="23" t="s">
        <v>40</v>
      </c>
      <c r="T199" s="23" t="s">
        <v>2114</v>
      </c>
    </row>
    <row r="200" spans="1:20" x14ac:dyDescent="0.25">
      <c r="A200" s="23" t="s">
        <v>2120</v>
      </c>
      <c r="B200" s="23" t="s">
        <v>98</v>
      </c>
      <c r="C200" s="23" t="s">
        <v>461</v>
      </c>
      <c r="D200" s="23" t="s">
        <v>2121</v>
      </c>
      <c r="E200" s="23" t="s">
        <v>2076</v>
      </c>
      <c r="F200" s="23" t="s">
        <v>40</v>
      </c>
      <c r="G200" s="23" t="s">
        <v>2122</v>
      </c>
      <c r="H200" s="23" t="s">
        <v>2123</v>
      </c>
      <c r="I200" s="23" t="s">
        <v>2124</v>
      </c>
      <c r="J200" s="23" t="s">
        <v>466</v>
      </c>
      <c r="K200" s="24" t="s">
        <v>386</v>
      </c>
      <c r="L200" s="23" t="s">
        <v>13</v>
      </c>
      <c r="M200" s="25" t="s">
        <v>18</v>
      </c>
      <c r="N200" s="23" t="s">
        <v>40</v>
      </c>
      <c r="O200" s="23" t="s">
        <v>387</v>
      </c>
      <c r="P200" s="23" t="s">
        <v>40</v>
      </c>
      <c r="Q200" s="23" t="s">
        <v>40</v>
      </c>
      <c r="R200" s="23" t="s">
        <v>99</v>
      </c>
      <c r="S200" s="23" t="s">
        <v>40</v>
      </c>
      <c r="T200" s="23" t="s">
        <v>2114</v>
      </c>
    </row>
    <row r="201" spans="1:20" x14ac:dyDescent="0.25">
      <c r="A201" s="23" t="s">
        <v>2125</v>
      </c>
      <c r="B201" s="23" t="s">
        <v>98</v>
      </c>
      <c r="C201" s="23" t="s">
        <v>461</v>
      </c>
      <c r="D201" s="23" t="s">
        <v>2126</v>
      </c>
      <c r="E201" s="23" t="s">
        <v>2076</v>
      </c>
      <c r="F201" s="23" t="s">
        <v>40</v>
      </c>
      <c r="G201" s="23" t="s">
        <v>2127</v>
      </c>
      <c r="H201" s="23" t="s">
        <v>2128</v>
      </c>
      <c r="I201" s="23" t="s">
        <v>2129</v>
      </c>
      <c r="J201" s="23" t="s">
        <v>466</v>
      </c>
      <c r="K201" s="24" t="s">
        <v>386</v>
      </c>
      <c r="L201" s="23" t="s">
        <v>13</v>
      </c>
      <c r="M201" s="25" t="s">
        <v>18</v>
      </c>
      <c r="N201" s="23" t="s">
        <v>40</v>
      </c>
      <c r="O201" s="23" t="s">
        <v>387</v>
      </c>
      <c r="P201" s="23" t="s">
        <v>40</v>
      </c>
      <c r="Q201" s="23" t="s">
        <v>40</v>
      </c>
      <c r="R201" s="23" t="s">
        <v>99</v>
      </c>
      <c r="S201" s="23" t="s">
        <v>40</v>
      </c>
      <c r="T201" s="23" t="s">
        <v>2114</v>
      </c>
    </row>
    <row r="202" spans="1:20" x14ac:dyDescent="0.25">
      <c r="A202" s="23" t="s">
        <v>2130</v>
      </c>
      <c r="B202" s="23" t="s">
        <v>98</v>
      </c>
      <c r="C202" s="23" t="s">
        <v>461</v>
      </c>
      <c r="D202" s="23" t="s">
        <v>2131</v>
      </c>
      <c r="E202" s="23" t="s">
        <v>2076</v>
      </c>
      <c r="F202" s="23" t="s">
        <v>40</v>
      </c>
      <c r="G202" s="23" t="s">
        <v>2132</v>
      </c>
      <c r="H202" s="23" t="s">
        <v>2133</v>
      </c>
      <c r="I202" s="23" t="s">
        <v>2134</v>
      </c>
      <c r="J202" s="23" t="s">
        <v>466</v>
      </c>
      <c r="K202" s="24" t="s">
        <v>386</v>
      </c>
      <c r="L202" s="23" t="s">
        <v>13</v>
      </c>
      <c r="M202" s="25" t="s">
        <v>18</v>
      </c>
      <c r="N202" s="23" t="s">
        <v>40</v>
      </c>
      <c r="O202" s="23" t="s">
        <v>387</v>
      </c>
      <c r="P202" s="23" t="s">
        <v>40</v>
      </c>
      <c r="Q202" s="23" t="s">
        <v>40</v>
      </c>
      <c r="R202" s="23" t="s">
        <v>99</v>
      </c>
      <c r="S202" s="23" t="s">
        <v>2135</v>
      </c>
      <c r="T202" s="23" t="s">
        <v>2136</v>
      </c>
    </row>
    <row r="203" spans="1:20" x14ac:dyDescent="0.25">
      <c r="A203" s="23" t="s">
        <v>2137</v>
      </c>
      <c r="B203" s="23" t="s">
        <v>98</v>
      </c>
      <c r="C203" s="23" t="s">
        <v>1229</v>
      </c>
      <c r="D203" s="23" t="s">
        <v>2138</v>
      </c>
      <c r="E203" s="23" t="s">
        <v>2076</v>
      </c>
      <c r="F203" s="23" t="s">
        <v>40</v>
      </c>
      <c r="G203" s="23" t="s">
        <v>2139</v>
      </c>
      <c r="H203" s="23" t="s">
        <v>2140</v>
      </c>
      <c r="I203" s="23" t="s">
        <v>2141</v>
      </c>
      <c r="J203" s="23" t="s">
        <v>466</v>
      </c>
      <c r="K203" s="27" t="s">
        <v>404</v>
      </c>
      <c r="L203" s="23" t="s">
        <v>405</v>
      </c>
      <c r="M203" s="25" t="s">
        <v>18</v>
      </c>
      <c r="N203" s="23" t="s">
        <v>40</v>
      </c>
      <c r="O203" s="23" t="s">
        <v>387</v>
      </c>
      <c r="P203" s="23" t="s">
        <v>40</v>
      </c>
      <c r="Q203" s="23" t="s">
        <v>40</v>
      </c>
      <c r="R203" s="23" t="s">
        <v>99</v>
      </c>
      <c r="S203" s="23" t="s">
        <v>40</v>
      </c>
      <c r="T203" s="23" t="s">
        <v>2142</v>
      </c>
    </row>
    <row r="204" spans="1:20" x14ac:dyDescent="0.25">
      <c r="A204" s="23" t="s">
        <v>2143</v>
      </c>
      <c r="B204" s="23" t="s">
        <v>98</v>
      </c>
      <c r="C204" s="23" t="s">
        <v>1229</v>
      </c>
      <c r="D204" s="23" t="s">
        <v>2144</v>
      </c>
      <c r="E204" s="23" t="s">
        <v>2076</v>
      </c>
      <c r="F204" s="23" t="s">
        <v>40</v>
      </c>
      <c r="G204" s="23" t="s">
        <v>2145</v>
      </c>
      <c r="H204" s="23" t="s">
        <v>2146</v>
      </c>
      <c r="I204" s="23" t="s">
        <v>2147</v>
      </c>
      <c r="J204" s="23" t="s">
        <v>466</v>
      </c>
      <c r="K204" s="27" t="s">
        <v>404</v>
      </c>
      <c r="L204" s="23" t="s">
        <v>490</v>
      </c>
      <c r="M204" s="25" t="s">
        <v>18</v>
      </c>
      <c r="N204" s="23" t="s">
        <v>40</v>
      </c>
      <c r="O204" s="23" t="s">
        <v>387</v>
      </c>
      <c r="P204" s="23" t="s">
        <v>40</v>
      </c>
      <c r="Q204" s="23" t="s">
        <v>40</v>
      </c>
      <c r="R204" s="23" t="s">
        <v>99</v>
      </c>
      <c r="S204" s="23" t="s">
        <v>40</v>
      </c>
      <c r="T204" s="23" t="s">
        <v>40</v>
      </c>
    </row>
    <row r="205" spans="1:20" x14ac:dyDescent="0.25">
      <c r="A205" s="23" t="s">
        <v>2148</v>
      </c>
      <c r="B205" s="23" t="s">
        <v>98</v>
      </c>
      <c r="C205" s="23" t="s">
        <v>1229</v>
      </c>
      <c r="D205" s="23" t="s">
        <v>2149</v>
      </c>
      <c r="E205" s="23" t="s">
        <v>2076</v>
      </c>
      <c r="F205" s="23" t="s">
        <v>40</v>
      </c>
      <c r="G205" s="23" t="s">
        <v>2150</v>
      </c>
      <c r="H205" s="23" t="s">
        <v>2151</v>
      </c>
      <c r="I205" s="23" t="s">
        <v>2152</v>
      </c>
      <c r="J205" s="23" t="s">
        <v>489</v>
      </c>
      <c r="K205" s="27" t="s">
        <v>404</v>
      </c>
      <c r="L205" s="23" t="s">
        <v>490</v>
      </c>
      <c r="M205" s="25" t="s">
        <v>18</v>
      </c>
      <c r="N205" s="23" t="s">
        <v>40</v>
      </c>
      <c r="O205" s="23" t="s">
        <v>387</v>
      </c>
      <c r="P205" s="23" t="s">
        <v>40</v>
      </c>
      <c r="Q205" s="23" t="s">
        <v>40</v>
      </c>
      <c r="R205" s="23" t="s">
        <v>99</v>
      </c>
      <c r="S205" s="23" t="s">
        <v>40</v>
      </c>
      <c r="T205" s="23" t="s">
        <v>2142</v>
      </c>
    </row>
    <row r="206" spans="1:20" x14ac:dyDescent="0.25">
      <c r="A206" s="23" t="s">
        <v>2153</v>
      </c>
      <c r="B206" s="23" t="s">
        <v>98</v>
      </c>
      <c r="C206" s="23" t="s">
        <v>1229</v>
      </c>
      <c r="D206" s="23" t="s">
        <v>2154</v>
      </c>
      <c r="E206" s="23" t="s">
        <v>2076</v>
      </c>
      <c r="F206" s="23" t="s">
        <v>40</v>
      </c>
      <c r="G206" s="23" t="s">
        <v>2155</v>
      </c>
      <c r="H206" s="23" t="s">
        <v>2156</v>
      </c>
      <c r="I206" s="23" t="s">
        <v>2157</v>
      </c>
      <c r="J206" s="23" t="s">
        <v>489</v>
      </c>
      <c r="K206" s="27" t="s">
        <v>404</v>
      </c>
      <c r="L206" s="23" t="s">
        <v>490</v>
      </c>
      <c r="M206" s="25" t="s">
        <v>18</v>
      </c>
      <c r="N206" s="23" t="s">
        <v>40</v>
      </c>
      <c r="O206" s="23" t="s">
        <v>387</v>
      </c>
      <c r="P206" s="23" t="s">
        <v>40</v>
      </c>
      <c r="Q206" s="23" t="s">
        <v>40</v>
      </c>
      <c r="R206" s="23" t="s">
        <v>99</v>
      </c>
      <c r="S206" s="23" t="s">
        <v>40</v>
      </c>
      <c r="T206" s="23" t="s">
        <v>2114</v>
      </c>
    </row>
    <row r="207" spans="1:20" x14ac:dyDescent="0.25">
      <c r="A207" s="23" t="s">
        <v>2158</v>
      </c>
      <c r="B207" s="23" t="s">
        <v>98</v>
      </c>
      <c r="C207" s="23" t="s">
        <v>1345</v>
      </c>
      <c r="D207" s="23" t="s">
        <v>2159</v>
      </c>
      <c r="E207" s="23" t="s">
        <v>2160</v>
      </c>
      <c r="F207" s="23" t="s">
        <v>40</v>
      </c>
      <c r="G207" s="23" t="s">
        <v>2161</v>
      </c>
      <c r="H207" s="23" t="s">
        <v>2162</v>
      </c>
      <c r="I207" s="23" t="s">
        <v>2163</v>
      </c>
      <c r="J207" s="23" t="s">
        <v>15</v>
      </c>
      <c r="K207" s="24" t="s">
        <v>386</v>
      </c>
      <c r="L207" s="23" t="s">
        <v>13</v>
      </c>
      <c r="M207" s="25" t="s">
        <v>18</v>
      </c>
      <c r="N207" s="23" t="s">
        <v>40</v>
      </c>
      <c r="O207" s="23" t="s">
        <v>387</v>
      </c>
      <c r="P207" s="23" t="s">
        <v>40</v>
      </c>
      <c r="Q207" s="23" t="s">
        <v>40</v>
      </c>
      <c r="R207" s="23" t="s">
        <v>99</v>
      </c>
      <c r="S207" s="23" t="s">
        <v>40</v>
      </c>
      <c r="T207" s="23" t="s">
        <v>2164</v>
      </c>
    </row>
    <row r="208" spans="1:20" x14ac:dyDescent="0.25">
      <c r="A208" s="23" t="s">
        <v>2165</v>
      </c>
      <c r="B208" s="23" t="s">
        <v>98</v>
      </c>
      <c r="C208" s="23" t="s">
        <v>2166</v>
      </c>
      <c r="D208" s="23" t="s">
        <v>2167</v>
      </c>
      <c r="E208" s="23" t="s">
        <v>2168</v>
      </c>
      <c r="F208" s="23" t="s">
        <v>40</v>
      </c>
      <c r="G208" s="23" t="s">
        <v>2169</v>
      </c>
      <c r="H208" s="23" t="s">
        <v>2170</v>
      </c>
      <c r="I208" s="23" t="s">
        <v>2171</v>
      </c>
      <c r="J208" s="23" t="s">
        <v>14</v>
      </c>
      <c r="K208" s="24" t="s">
        <v>386</v>
      </c>
      <c r="L208" s="23" t="s">
        <v>405</v>
      </c>
      <c r="M208" s="25" t="s">
        <v>18</v>
      </c>
      <c r="N208" s="23" t="s">
        <v>40</v>
      </c>
      <c r="O208" s="23" t="s">
        <v>387</v>
      </c>
      <c r="P208" s="23" t="s">
        <v>40</v>
      </c>
      <c r="Q208" s="23" t="s">
        <v>40</v>
      </c>
      <c r="R208" s="23" t="s">
        <v>99</v>
      </c>
      <c r="S208" s="23" t="s">
        <v>40</v>
      </c>
      <c r="T208" s="23" t="s">
        <v>40</v>
      </c>
    </row>
    <row r="209" spans="1:20" x14ac:dyDescent="0.25">
      <c r="A209" s="23" t="s">
        <v>2172</v>
      </c>
      <c r="B209" s="23" t="s">
        <v>98</v>
      </c>
      <c r="C209" s="23" t="s">
        <v>2166</v>
      </c>
      <c r="D209" s="23" t="s">
        <v>2173</v>
      </c>
      <c r="E209" s="23" t="s">
        <v>2174</v>
      </c>
      <c r="F209" s="23" t="s">
        <v>40</v>
      </c>
      <c r="G209" s="23" t="s">
        <v>2175</v>
      </c>
      <c r="H209" s="23" t="s">
        <v>2176</v>
      </c>
      <c r="I209" s="23" t="s">
        <v>2177</v>
      </c>
      <c r="J209" s="23" t="s">
        <v>14</v>
      </c>
      <c r="K209" s="24" t="s">
        <v>386</v>
      </c>
      <c r="L209" s="23" t="s">
        <v>405</v>
      </c>
      <c r="M209" s="25" t="s">
        <v>18</v>
      </c>
      <c r="N209" s="23" t="s">
        <v>40</v>
      </c>
      <c r="O209" s="23" t="s">
        <v>387</v>
      </c>
      <c r="P209" s="23" t="s">
        <v>40</v>
      </c>
      <c r="Q209" s="23" t="s">
        <v>40</v>
      </c>
      <c r="R209" s="23" t="s">
        <v>99</v>
      </c>
      <c r="S209" s="23" t="s">
        <v>40</v>
      </c>
      <c r="T209" s="23" t="s">
        <v>2178</v>
      </c>
    </row>
    <row r="210" spans="1:20" x14ac:dyDescent="0.25">
      <c r="A210" s="23" t="s">
        <v>2179</v>
      </c>
      <c r="B210" s="23" t="s">
        <v>98</v>
      </c>
      <c r="C210" s="23" t="s">
        <v>2180</v>
      </c>
      <c r="D210" s="23" t="s">
        <v>2181</v>
      </c>
      <c r="E210" s="23" t="s">
        <v>2182</v>
      </c>
      <c r="F210" s="23" t="s">
        <v>40</v>
      </c>
      <c r="G210" s="23" t="s">
        <v>2183</v>
      </c>
      <c r="H210" s="23" t="s">
        <v>2184</v>
      </c>
      <c r="I210" s="23" t="s">
        <v>2185</v>
      </c>
      <c r="J210" s="23" t="s">
        <v>14</v>
      </c>
      <c r="K210" s="24" t="s">
        <v>386</v>
      </c>
      <c r="L210" s="23" t="s">
        <v>405</v>
      </c>
      <c r="M210" s="25" t="s">
        <v>18</v>
      </c>
      <c r="N210" s="23" t="s">
        <v>40</v>
      </c>
      <c r="O210" s="23" t="s">
        <v>387</v>
      </c>
      <c r="P210" s="23" t="s">
        <v>40</v>
      </c>
      <c r="Q210" s="23" t="s">
        <v>40</v>
      </c>
      <c r="R210" s="23" t="s">
        <v>99</v>
      </c>
      <c r="S210" s="23" t="s">
        <v>40</v>
      </c>
      <c r="T210" s="23" t="s">
        <v>2186</v>
      </c>
    </row>
    <row r="211" spans="1:20" x14ac:dyDescent="0.25">
      <c r="A211" s="23" t="s">
        <v>2187</v>
      </c>
      <c r="B211" s="23" t="s">
        <v>98</v>
      </c>
      <c r="C211" s="23" t="s">
        <v>2188</v>
      </c>
      <c r="D211" s="23" t="s">
        <v>2189</v>
      </c>
      <c r="E211" s="23" t="s">
        <v>2190</v>
      </c>
      <c r="F211" s="23" t="s">
        <v>40</v>
      </c>
      <c r="G211" s="23" t="s">
        <v>2191</v>
      </c>
      <c r="H211" s="23" t="s">
        <v>2192</v>
      </c>
      <c r="I211" s="23" t="s">
        <v>2193</v>
      </c>
      <c r="J211" s="23" t="s">
        <v>14</v>
      </c>
      <c r="K211" s="24" t="s">
        <v>386</v>
      </c>
      <c r="L211" s="23" t="s">
        <v>405</v>
      </c>
      <c r="M211" s="25" t="s">
        <v>18</v>
      </c>
      <c r="N211" s="23" t="s">
        <v>40</v>
      </c>
      <c r="O211" s="23" t="s">
        <v>387</v>
      </c>
      <c r="P211" s="23" t="s">
        <v>40</v>
      </c>
      <c r="Q211" s="23" t="s">
        <v>40</v>
      </c>
      <c r="R211" s="23" t="s">
        <v>99</v>
      </c>
      <c r="S211" s="23" t="s">
        <v>40</v>
      </c>
      <c r="T211" s="23" t="s">
        <v>40</v>
      </c>
    </row>
    <row r="212" spans="1:20" x14ac:dyDescent="0.25">
      <c r="A212" s="23" t="s">
        <v>2194</v>
      </c>
      <c r="B212" s="23" t="s">
        <v>98</v>
      </c>
      <c r="C212" s="23" t="s">
        <v>2188</v>
      </c>
      <c r="D212" s="23" t="s">
        <v>2195</v>
      </c>
      <c r="E212" s="23" t="s">
        <v>2196</v>
      </c>
      <c r="F212" s="23" t="s">
        <v>40</v>
      </c>
      <c r="G212" s="23" t="s">
        <v>2197</v>
      </c>
      <c r="H212" s="23" t="s">
        <v>2198</v>
      </c>
      <c r="I212" s="23" t="s">
        <v>2199</v>
      </c>
      <c r="J212" s="23" t="s">
        <v>15</v>
      </c>
      <c r="K212" s="24" t="s">
        <v>386</v>
      </c>
      <c r="L212" s="23" t="s">
        <v>13</v>
      </c>
      <c r="M212" s="25" t="s">
        <v>18</v>
      </c>
      <c r="N212" s="23" t="s">
        <v>40</v>
      </c>
      <c r="O212" s="23" t="s">
        <v>387</v>
      </c>
      <c r="P212" s="23" t="s">
        <v>40</v>
      </c>
      <c r="Q212" s="23" t="s">
        <v>40</v>
      </c>
      <c r="R212" s="23" t="s">
        <v>99</v>
      </c>
      <c r="S212" s="23" t="s">
        <v>40</v>
      </c>
      <c r="T212" s="23" t="s">
        <v>2200</v>
      </c>
    </row>
    <row r="213" spans="1:20" x14ac:dyDescent="0.25">
      <c r="A213" s="23" t="s">
        <v>2201</v>
      </c>
      <c r="B213" s="23" t="s">
        <v>98</v>
      </c>
      <c r="C213" s="23" t="s">
        <v>951</v>
      </c>
      <c r="D213" s="23" t="s">
        <v>2202</v>
      </c>
      <c r="E213" s="23" t="s">
        <v>589</v>
      </c>
      <c r="F213" s="23" t="s">
        <v>40</v>
      </c>
      <c r="G213" s="23" t="s">
        <v>2203</v>
      </c>
      <c r="H213" s="23" t="s">
        <v>2204</v>
      </c>
      <c r="I213" s="23" t="s">
        <v>2205</v>
      </c>
      <c r="J213" s="23" t="s">
        <v>14</v>
      </c>
      <c r="K213" s="27" t="s">
        <v>404</v>
      </c>
      <c r="L213" s="23" t="s">
        <v>490</v>
      </c>
      <c r="M213" s="25" t="s">
        <v>18</v>
      </c>
      <c r="N213" s="23" t="s">
        <v>40</v>
      </c>
      <c r="O213" s="23" t="s">
        <v>387</v>
      </c>
      <c r="P213" s="23" t="s">
        <v>40</v>
      </c>
      <c r="Q213" s="23" t="s">
        <v>40</v>
      </c>
      <c r="R213" s="23" t="s">
        <v>99</v>
      </c>
      <c r="S213" s="23" t="s">
        <v>40</v>
      </c>
      <c r="T213" s="23" t="s">
        <v>40</v>
      </c>
    </row>
    <row r="214" spans="1:20" x14ac:dyDescent="0.25">
      <c r="A214" s="23" t="s">
        <v>2206</v>
      </c>
      <c r="B214" s="23" t="s">
        <v>98</v>
      </c>
      <c r="C214" s="23" t="s">
        <v>1788</v>
      </c>
      <c r="D214" s="23" t="s">
        <v>2207</v>
      </c>
      <c r="E214" s="23" t="s">
        <v>589</v>
      </c>
      <c r="F214" s="23" t="s">
        <v>40</v>
      </c>
      <c r="G214" s="23" t="s">
        <v>2208</v>
      </c>
      <c r="H214" s="23" t="s">
        <v>2209</v>
      </c>
      <c r="I214" s="23" t="s">
        <v>2210</v>
      </c>
      <c r="J214" s="23" t="s">
        <v>14</v>
      </c>
      <c r="K214" s="27" t="s">
        <v>404</v>
      </c>
      <c r="L214" s="23" t="s">
        <v>490</v>
      </c>
      <c r="M214" s="25" t="s">
        <v>18</v>
      </c>
      <c r="N214" s="23" t="s">
        <v>40</v>
      </c>
      <c r="O214" s="23" t="s">
        <v>387</v>
      </c>
      <c r="P214" s="23" t="s">
        <v>40</v>
      </c>
      <c r="Q214" s="23" t="s">
        <v>40</v>
      </c>
      <c r="R214" s="23" t="s">
        <v>99</v>
      </c>
      <c r="S214" s="23" t="s">
        <v>40</v>
      </c>
      <c r="T214" s="23" t="s">
        <v>40</v>
      </c>
    </row>
    <row r="215" spans="1:20" x14ac:dyDescent="0.25">
      <c r="A215" s="23" t="s">
        <v>2211</v>
      </c>
      <c r="B215" s="23" t="s">
        <v>98</v>
      </c>
      <c r="C215" s="23" t="s">
        <v>525</v>
      </c>
      <c r="D215" s="23" t="s">
        <v>2212</v>
      </c>
      <c r="E215" s="23" t="s">
        <v>647</v>
      </c>
      <c r="F215" s="23" t="s">
        <v>40</v>
      </c>
      <c r="G215" s="23" t="s">
        <v>2213</v>
      </c>
      <c r="H215" s="23" t="s">
        <v>2214</v>
      </c>
      <c r="I215" s="23" t="s">
        <v>1963</v>
      </c>
      <c r="J215" s="23" t="s">
        <v>525</v>
      </c>
      <c r="K215" s="24" t="s">
        <v>386</v>
      </c>
      <c r="L215" s="23" t="s">
        <v>405</v>
      </c>
      <c r="M215" s="25" t="s">
        <v>18</v>
      </c>
      <c r="N215" s="23" t="s">
        <v>40</v>
      </c>
      <c r="O215" s="23" t="s">
        <v>387</v>
      </c>
      <c r="P215" s="23" t="s">
        <v>40</v>
      </c>
      <c r="Q215" s="23" t="s">
        <v>40</v>
      </c>
      <c r="R215" s="23" t="s">
        <v>99</v>
      </c>
      <c r="S215" s="23" t="s">
        <v>40</v>
      </c>
      <c r="T215" s="23" t="s">
        <v>40</v>
      </c>
    </row>
    <row r="216" spans="1:20" x14ac:dyDescent="0.25">
      <c r="A216" s="23" t="s">
        <v>2215</v>
      </c>
      <c r="B216" s="23" t="s">
        <v>101</v>
      </c>
      <c r="C216" s="23" t="s">
        <v>944</v>
      </c>
      <c r="D216" s="23" t="s">
        <v>2216</v>
      </c>
      <c r="E216" s="23" t="s">
        <v>589</v>
      </c>
      <c r="F216" s="23" t="s">
        <v>40</v>
      </c>
      <c r="G216" s="23" t="s">
        <v>2217</v>
      </c>
      <c r="H216" s="23" t="s">
        <v>2218</v>
      </c>
      <c r="I216" s="23" t="s">
        <v>2219</v>
      </c>
      <c r="J216" s="23" t="s">
        <v>385</v>
      </c>
      <c r="K216" s="24" t="s">
        <v>386</v>
      </c>
      <c r="L216" s="23" t="s">
        <v>13</v>
      </c>
      <c r="M216" s="31" t="s">
        <v>17</v>
      </c>
      <c r="N216" s="23" t="s">
        <v>2220</v>
      </c>
      <c r="O216" s="29" t="s">
        <v>87</v>
      </c>
      <c r="P216" s="23" t="s">
        <v>40</v>
      </c>
      <c r="Q216" s="23" t="s">
        <v>40</v>
      </c>
      <c r="R216" s="23" t="s">
        <v>102</v>
      </c>
      <c r="S216" s="23" t="s">
        <v>40</v>
      </c>
      <c r="T216" s="23" t="s">
        <v>40</v>
      </c>
    </row>
    <row r="217" spans="1:20" x14ac:dyDescent="0.25">
      <c r="A217" s="23" t="s">
        <v>2221</v>
      </c>
      <c r="B217" s="23" t="s">
        <v>101</v>
      </c>
      <c r="C217" s="23" t="s">
        <v>2222</v>
      </c>
      <c r="D217" s="23" t="s">
        <v>2223</v>
      </c>
      <c r="E217" s="23" t="s">
        <v>2224</v>
      </c>
      <c r="F217" s="23" t="s">
        <v>40</v>
      </c>
      <c r="G217" s="23" t="s">
        <v>2225</v>
      </c>
      <c r="H217" s="23" t="s">
        <v>2226</v>
      </c>
      <c r="I217" s="23" t="s">
        <v>2227</v>
      </c>
      <c r="J217" s="23" t="s">
        <v>14</v>
      </c>
      <c r="K217" s="26" t="s">
        <v>396</v>
      </c>
      <c r="L217" s="23" t="s">
        <v>13</v>
      </c>
      <c r="M217" s="28" t="s">
        <v>16</v>
      </c>
      <c r="N217" s="23" t="s">
        <v>2228</v>
      </c>
      <c r="O217" s="29" t="s">
        <v>87</v>
      </c>
      <c r="P217" s="23" t="s">
        <v>40</v>
      </c>
      <c r="Q217" s="23" t="s">
        <v>40</v>
      </c>
      <c r="R217" s="23" t="s">
        <v>102</v>
      </c>
      <c r="S217" s="23" t="s">
        <v>40</v>
      </c>
      <c r="T217" s="23" t="s">
        <v>40</v>
      </c>
    </row>
    <row r="218" spans="1:20" x14ac:dyDescent="0.25">
      <c r="A218" s="23" t="s">
        <v>2229</v>
      </c>
      <c r="B218" s="23" t="s">
        <v>101</v>
      </c>
      <c r="C218" s="23" t="s">
        <v>2222</v>
      </c>
      <c r="D218" s="23" t="s">
        <v>2230</v>
      </c>
      <c r="E218" s="23" t="s">
        <v>2224</v>
      </c>
      <c r="F218" s="23" t="s">
        <v>40</v>
      </c>
      <c r="G218" s="23" t="s">
        <v>2231</v>
      </c>
      <c r="H218" s="23" t="s">
        <v>2232</v>
      </c>
      <c r="I218" s="23" t="s">
        <v>2233</v>
      </c>
      <c r="J218" s="23" t="s">
        <v>385</v>
      </c>
      <c r="K218" s="27" t="s">
        <v>404</v>
      </c>
      <c r="L218" s="23" t="s">
        <v>405</v>
      </c>
      <c r="M218" s="28" t="s">
        <v>16</v>
      </c>
      <c r="N218" s="23" t="s">
        <v>2228</v>
      </c>
      <c r="O218" s="29" t="s">
        <v>87</v>
      </c>
      <c r="P218" s="23" t="s">
        <v>40</v>
      </c>
      <c r="Q218" s="23" t="s">
        <v>40</v>
      </c>
      <c r="R218" s="23" t="s">
        <v>102</v>
      </c>
      <c r="S218" s="23" t="s">
        <v>40</v>
      </c>
      <c r="T218" s="23" t="s">
        <v>40</v>
      </c>
    </row>
    <row r="219" spans="1:20" x14ac:dyDescent="0.25">
      <c r="A219" s="23" t="s">
        <v>2234</v>
      </c>
      <c r="B219" s="23" t="s">
        <v>101</v>
      </c>
      <c r="C219" s="23" t="s">
        <v>2222</v>
      </c>
      <c r="D219" s="23" t="s">
        <v>2235</v>
      </c>
      <c r="E219" s="23" t="s">
        <v>2224</v>
      </c>
      <c r="F219" s="23" t="s">
        <v>40</v>
      </c>
      <c r="G219" s="23" t="s">
        <v>2236</v>
      </c>
      <c r="H219" s="23" t="s">
        <v>2237</v>
      </c>
      <c r="I219" s="23" t="s">
        <v>2238</v>
      </c>
      <c r="J219" s="23" t="s">
        <v>14</v>
      </c>
      <c r="K219" s="26" t="s">
        <v>396</v>
      </c>
      <c r="L219" s="23" t="s">
        <v>13</v>
      </c>
      <c r="M219" s="25" t="s">
        <v>18</v>
      </c>
      <c r="N219" s="23" t="s">
        <v>40</v>
      </c>
      <c r="O219" s="23" t="s">
        <v>387</v>
      </c>
      <c r="P219" s="23" t="s">
        <v>40</v>
      </c>
      <c r="Q219" s="23" t="s">
        <v>40</v>
      </c>
      <c r="R219" s="23" t="s">
        <v>102</v>
      </c>
      <c r="S219" s="23" t="s">
        <v>40</v>
      </c>
      <c r="T219" s="23" t="s">
        <v>2239</v>
      </c>
    </row>
    <row r="220" spans="1:20" x14ac:dyDescent="0.25">
      <c r="A220" s="23" t="s">
        <v>2240</v>
      </c>
      <c r="B220" s="23" t="s">
        <v>101</v>
      </c>
      <c r="C220" s="23" t="s">
        <v>2222</v>
      </c>
      <c r="D220" s="23" t="s">
        <v>2241</v>
      </c>
      <c r="E220" s="23" t="s">
        <v>2242</v>
      </c>
      <c r="F220" s="23" t="s">
        <v>40</v>
      </c>
      <c r="G220" s="23" t="s">
        <v>2243</v>
      </c>
      <c r="H220" s="23" t="s">
        <v>2244</v>
      </c>
      <c r="I220" s="23" t="s">
        <v>2245</v>
      </c>
      <c r="J220" s="23" t="s">
        <v>14</v>
      </c>
      <c r="K220" s="24" t="s">
        <v>386</v>
      </c>
      <c r="L220" s="23" t="s">
        <v>405</v>
      </c>
      <c r="M220" s="25" t="s">
        <v>18</v>
      </c>
      <c r="N220" s="23" t="s">
        <v>40</v>
      </c>
      <c r="O220" s="23" t="s">
        <v>387</v>
      </c>
      <c r="P220" s="23" t="s">
        <v>40</v>
      </c>
      <c r="Q220" s="23" t="s">
        <v>40</v>
      </c>
      <c r="R220" s="23" t="s">
        <v>102</v>
      </c>
      <c r="S220" s="23" t="s">
        <v>40</v>
      </c>
      <c r="T220" s="23" t="s">
        <v>40</v>
      </c>
    </row>
    <row r="221" spans="1:20" x14ac:dyDescent="0.25">
      <c r="A221" s="23" t="s">
        <v>2246</v>
      </c>
      <c r="B221" s="23" t="s">
        <v>101</v>
      </c>
      <c r="C221" s="23" t="s">
        <v>2222</v>
      </c>
      <c r="D221" s="23" t="s">
        <v>2247</v>
      </c>
      <c r="E221" s="23" t="s">
        <v>2248</v>
      </c>
      <c r="F221" s="23" t="s">
        <v>40</v>
      </c>
      <c r="G221" s="23" t="s">
        <v>2249</v>
      </c>
      <c r="H221" s="23" t="s">
        <v>2250</v>
      </c>
      <c r="I221" s="23" t="s">
        <v>2251</v>
      </c>
      <c r="J221" s="23" t="s">
        <v>801</v>
      </c>
      <c r="K221" s="26" t="s">
        <v>396</v>
      </c>
      <c r="L221" s="23" t="s">
        <v>13</v>
      </c>
      <c r="M221" s="25" t="s">
        <v>18</v>
      </c>
      <c r="N221" s="23" t="s">
        <v>40</v>
      </c>
      <c r="O221" s="23" t="s">
        <v>387</v>
      </c>
      <c r="P221" s="23" t="s">
        <v>40</v>
      </c>
      <c r="Q221" s="23" t="s">
        <v>40</v>
      </c>
      <c r="R221" s="23" t="s">
        <v>102</v>
      </c>
      <c r="S221" s="23" t="s">
        <v>40</v>
      </c>
      <c r="T221" s="23" t="s">
        <v>2252</v>
      </c>
    </row>
    <row r="222" spans="1:20" x14ac:dyDescent="0.25">
      <c r="A222" s="23" t="s">
        <v>2253</v>
      </c>
      <c r="B222" s="23" t="s">
        <v>101</v>
      </c>
      <c r="C222" s="23" t="s">
        <v>2222</v>
      </c>
      <c r="D222" s="23" t="s">
        <v>2254</v>
      </c>
      <c r="E222" s="23" t="s">
        <v>2248</v>
      </c>
      <c r="F222" s="23" t="s">
        <v>40</v>
      </c>
      <c r="G222" s="23" t="s">
        <v>2255</v>
      </c>
      <c r="H222" s="23" t="s">
        <v>2256</v>
      </c>
      <c r="I222" s="23" t="s">
        <v>2257</v>
      </c>
      <c r="J222" s="23" t="s">
        <v>801</v>
      </c>
      <c r="K222" s="24" t="s">
        <v>386</v>
      </c>
      <c r="L222" s="23" t="s">
        <v>405</v>
      </c>
      <c r="M222" s="25" t="s">
        <v>18</v>
      </c>
      <c r="N222" s="23" t="s">
        <v>40</v>
      </c>
      <c r="O222" s="23" t="s">
        <v>387</v>
      </c>
      <c r="P222" s="23" t="s">
        <v>40</v>
      </c>
      <c r="Q222" s="23" t="s">
        <v>40</v>
      </c>
      <c r="R222" s="23" t="s">
        <v>102</v>
      </c>
      <c r="S222" s="23" t="s">
        <v>40</v>
      </c>
      <c r="T222" s="23" t="s">
        <v>2258</v>
      </c>
    </row>
    <row r="223" spans="1:20" x14ac:dyDescent="0.25">
      <c r="A223" s="23" t="s">
        <v>2259</v>
      </c>
      <c r="B223" s="23" t="s">
        <v>101</v>
      </c>
      <c r="C223" s="23" t="s">
        <v>2222</v>
      </c>
      <c r="D223" s="23" t="s">
        <v>2260</v>
      </c>
      <c r="E223" s="23" t="s">
        <v>2261</v>
      </c>
      <c r="F223" s="23" t="s">
        <v>40</v>
      </c>
      <c r="G223" s="23" t="s">
        <v>2262</v>
      </c>
      <c r="H223" s="23" t="s">
        <v>2263</v>
      </c>
      <c r="I223" s="23" t="s">
        <v>2264</v>
      </c>
      <c r="J223" s="23" t="s">
        <v>14</v>
      </c>
      <c r="K223" s="27" t="s">
        <v>404</v>
      </c>
      <c r="L223" s="23" t="s">
        <v>490</v>
      </c>
      <c r="M223" s="25" t="s">
        <v>18</v>
      </c>
      <c r="N223" s="23" t="s">
        <v>40</v>
      </c>
      <c r="O223" s="23" t="s">
        <v>387</v>
      </c>
      <c r="P223" s="23" t="s">
        <v>40</v>
      </c>
      <c r="Q223" s="23" t="s">
        <v>40</v>
      </c>
      <c r="R223" s="23" t="s">
        <v>102</v>
      </c>
      <c r="S223" s="23" t="s">
        <v>40</v>
      </c>
      <c r="T223" s="23" t="s">
        <v>2265</v>
      </c>
    </row>
    <row r="224" spans="1:20" x14ac:dyDescent="0.25">
      <c r="A224" s="23" t="s">
        <v>2266</v>
      </c>
      <c r="B224" s="23" t="s">
        <v>101</v>
      </c>
      <c r="C224" s="23" t="s">
        <v>2222</v>
      </c>
      <c r="D224" s="23" t="s">
        <v>2267</v>
      </c>
      <c r="E224" s="23" t="s">
        <v>2268</v>
      </c>
      <c r="F224" s="23" t="s">
        <v>40</v>
      </c>
      <c r="G224" s="23" t="s">
        <v>2269</v>
      </c>
      <c r="H224" s="23" t="s">
        <v>2270</v>
      </c>
      <c r="I224" s="23" t="s">
        <v>2271</v>
      </c>
      <c r="J224" s="23" t="s">
        <v>15</v>
      </c>
      <c r="K224" s="27" t="s">
        <v>404</v>
      </c>
      <c r="L224" s="23" t="s">
        <v>405</v>
      </c>
      <c r="M224" s="25" t="s">
        <v>18</v>
      </c>
      <c r="N224" s="23" t="s">
        <v>40</v>
      </c>
      <c r="O224" s="23" t="s">
        <v>387</v>
      </c>
      <c r="P224" s="23" t="s">
        <v>40</v>
      </c>
      <c r="Q224" s="23" t="s">
        <v>40</v>
      </c>
      <c r="R224" s="23" t="s">
        <v>102</v>
      </c>
      <c r="S224" s="23" t="s">
        <v>40</v>
      </c>
      <c r="T224" s="23" t="s">
        <v>2272</v>
      </c>
    </row>
    <row r="225" spans="1:20" x14ac:dyDescent="0.25">
      <c r="A225" s="23" t="s">
        <v>2273</v>
      </c>
      <c r="B225" s="23" t="s">
        <v>101</v>
      </c>
      <c r="C225" s="23" t="s">
        <v>2222</v>
      </c>
      <c r="D225" s="23" t="s">
        <v>2274</v>
      </c>
      <c r="E225" s="23" t="s">
        <v>2275</v>
      </c>
      <c r="F225" s="23" t="s">
        <v>40</v>
      </c>
      <c r="G225" s="23" t="s">
        <v>2276</v>
      </c>
      <c r="H225" s="23" t="s">
        <v>2277</v>
      </c>
      <c r="I225" s="23" t="s">
        <v>2278</v>
      </c>
      <c r="J225" s="23" t="s">
        <v>14</v>
      </c>
      <c r="K225" s="24" t="s">
        <v>386</v>
      </c>
      <c r="L225" s="23" t="s">
        <v>405</v>
      </c>
      <c r="M225" s="25" t="s">
        <v>18</v>
      </c>
      <c r="N225" s="23" t="s">
        <v>40</v>
      </c>
      <c r="O225" s="23" t="s">
        <v>387</v>
      </c>
      <c r="P225" s="23" t="s">
        <v>40</v>
      </c>
      <c r="Q225" s="23" t="s">
        <v>40</v>
      </c>
      <c r="R225" s="23" t="s">
        <v>102</v>
      </c>
      <c r="S225" s="23" t="s">
        <v>40</v>
      </c>
      <c r="T225" s="23" t="s">
        <v>2279</v>
      </c>
    </row>
    <row r="226" spans="1:20" x14ac:dyDescent="0.25">
      <c r="A226" s="23" t="s">
        <v>2280</v>
      </c>
      <c r="B226" s="23" t="s">
        <v>101</v>
      </c>
      <c r="C226" s="23" t="s">
        <v>461</v>
      </c>
      <c r="D226" s="23" t="s">
        <v>2281</v>
      </c>
      <c r="E226" s="23" t="s">
        <v>2224</v>
      </c>
      <c r="F226" s="23" t="s">
        <v>40</v>
      </c>
      <c r="G226" s="23" t="s">
        <v>2282</v>
      </c>
      <c r="H226" s="23" t="s">
        <v>2283</v>
      </c>
      <c r="I226" s="23" t="s">
        <v>2284</v>
      </c>
      <c r="J226" s="23" t="s">
        <v>466</v>
      </c>
      <c r="K226" s="24" t="s">
        <v>386</v>
      </c>
      <c r="L226" s="23" t="s">
        <v>13</v>
      </c>
      <c r="M226" s="25" t="s">
        <v>18</v>
      </c>
      <c r="N226" s="23" t="s">
        <v>40</v>
      </c>
      <c r="O226" s="23" t="s">
        <v>387</v>
      </c>
      <c r="P226" s="23" t="s">
        <v>40</v>
      </c>
      <c r="Q226" s="23" t="s">
        <v>40</v>
      </c>
      <c r="R226" s="23" t="s">
        <v>102</v>
      </c>
      <c r="S226" s="23" t="s">
        <v>40</v>
      </c>
      <c r="T226" s="23" t="s">
        <v>40</v>
      </c>
    </row>
    <row r="227" spans="1:20" x14ac:dyDescent="0.25">
      <c r="A227" s="23" t="s">
        <v>2285</v>
      </c>
      <c r="B227" s="23" t="s">
        <v>101</v>
      </c>
      <c r="C227" s="23" t="s">
        <v>461</v>
      </c>
      <c r="D227" s="23" t="s">
        <v>2286</v>
      </c>
      <c r="E227" s="23" t="s">
        <v>2224</v>
      </c>
      <c r="F227" s="23" t="s">
        <v>40</v>
      </c>
      <c r="G227" s="23" t="s">
        <v>2287</v>
      </c>
      <c r="H227" s="23" t="s">
        <v>2288</v>
      </c>
      <c r="I227" s="23" t="s">
        <v>2289</v>
      </c>
      <c r="J227" s="23" t="s">
        <v>466</v>
      </c>
      <c r="K227" s="24" t="s">
        <v>386</v>
      </c>
      <c r="L227" s="23" t="s">
        <v>13</v>
      </c>
      <c r="M227" s="25" t="s">
        <v>18</v>
      </c>
      <c r="N227" s="23" t="s">
        <v>40</v>
      </c>
      <c r="O227" s="23" t="s">
        <v>387</v>
      </c>
      <c r="P227" s="23" t="s">
        <v>40</v>
      </c>
      <c r="Q227" s="23" t="s">
        <v>40</v>
      </c>
      <c r="R227" s="23" t="s">
        <v>102</v>
      </c>
      <c r="S227" s="23" t="s">
        <v>40</v>
      </c>
      <c r="T227" s="23" t="s">
        <v>40</v>
      </c>
    </row>
    <row r="228" spans="1:20" x14ac:dyDescent="0.25">
      <c r="A228" s="23" t="s">
        <v>2290</v>
      </c>
      <c r="B228" s="23" t="s">
        <v>101</v>
      </c>
      <c r="C228" s="23" t="s">
        <v>2291</v>
      </c>
      <c r="D228" s="23" t="s">
        <v>2292</v>
      </c>
      <c r="E228" s="23" t="s">
        <v>2224</v>
      </c>
      <c r="F228" s="23" t="s">
        <v>40</v>
      </c>
      <c r="G228" s="23" t="s">
        <v>2293</v>
      </c>
      <c r="H228" s="23" t="s">
        <v>2294</v>
      </c>
      <c r="I228" s="23" t="s">
        <v>2295</v>
      </c>
      <c r="J228" s="23" t="s">
        <v>466</v>
      </c>
      <c r="K228" s="27" t="s">
        <v>404</v>
      </c>
      <c r="L228" s="23" t="s">
        <v>405</v>
      </c>
      <c r="M228" s="25" t="s">
        <v>18</v>
      </c>
      <c r="N228" s="23" t="s">
        <v>40</v>
      </c>
      <c r="O228" s="23" t="s">
        <v>387</v>
      </c>
      <c r="P228" s="23" t="s">
        <v>40</v>
      </c>
      <c r="Q228" s="23" t="s">
        <v>40</v>
      </c>
      <c r="R228" s="23" t="s">
        <v>102</v>
      </c>
      <c r="S228" s="23" t="s">
        <v>40</v>
      </c>
      <c r="T228" s="23" t="s">
        <v>2296</v>
      </c>
    </row>
    <row r="229" spans="1:20" x14ac:dyDescent="0.25">
      <c r="A229" s="23" t="s">
        <v>2297</v>
      </c>
      <c r="B229" s="23" t="s">
        <v>101</v>
      </c>
      <c r="C229" s="23" t="s">
        <v>2291</v>
      </c>
      <c r="D229" s="23" t="s">
        <v>2298</v>
      </c>
      <c r="E229" s="23" t="s">
        <v>2224</v>
      </c>
      <c r="F229" s="23" t="s">
        <v>40</v>
      </c>
      <c r="G229" s="23" t="s">
        <v>2299</v>
      </c>
      <c r="H229" s="23" t="s">
        <v>2300</v>
      </c>
      <c r="I229" s="23" t="s">
        <v>2301</v>
      </c>
      <c r="J229" s="23" t="s">
        <v>14</v>
      </c>
      <c r="K229" s="24" t="s">
        <v>386</v>
      </c>
      <c r="L229" s="23" t="s">
        <v>405</v>
      </c>
      <c r="M229" s="25" t="s">
        <v>18</v>
      </c>
      <c r="N229" s="23" t="s">
        <v>40</v>
      </c>
      <c r="O229" s="23" t="s">
        <v>387</v>
      </c>
      <c r="P229" s="23" t="s">
        <v>40</v>
      </c>
      <c r="Q229" s="23" t="s">
        <v>40</v>
      </c>
      <c r="R229" s="23" t="s">
        <v>102</v>
      </c>
      <c r="S229" s="23" t="s">
        <v>2302</v>
      </c>
      <c r="T229" s="23" t="s">
        <v>40</v>
      </c>
    </row>
    <row r="230" spans="1:20" x14ac:dyDescent="0.25">
      <c r="A230" s="23" t="s">
        <v>2303</v>
      </c>
      <c r="B230" s="23" t="s">
        <v>101</v>
      </c>
      <c r="C230" s="23" t="s">
        <v>2304</v>
      </c>
      <c r="D230" s="23" t="s">
        <v>2305</v>
      </c>
      <c r="E230" s="23" t="s">
        <v>2224</v>
      </c>
      <c r="F230" s="23" t="s">
        <v>40</v>
      </c>
      <c r="G230" s="23" t="s">
        <v>2306</v>
      </c>
      <c r="H230" s="23" t="s">
        <v>2307</v>
      </c>
      <c r="I230" s="23" t="s">
        <v>2308</v>
      </c>
      <c r="J230" s="23" t="s">
        <v>15</v>
      </c>
      <c r="K230" s="27" t="s">
        <v>404</v>
      </c>
      <c r="L230" s="23" t="s">
        <v>490</v>
      </c>
      <c r="M230" s="25" t="s">
        <v>18</v>
      </c>
      <c r="N230" s="23" t="s">
        <v>40</v>
      </c>
      <c r="O230" s="23" t="s">
        <v>387</v>
      </c>
      <c r="P230" s="23" t="s">
        <v>40</v>
      </c>
      <c r="Q230" s="23" t="s">
        <v>40</v>
      </c>
      <c r="R230" s="23" t="s">
        <v>102</v>
      </c>
      <c r="S230" s="23" t="s">
        <v>40</v>
      </c>
      <c r="T230" s="23" t="s">
        <v>2309</v>
      </c>
    </row>
    <row r="231" spans="1:20" x14ac:dyDescent="0.25">
      <c r="A231" s="23" t="s">
        <v>2310</v>
      </c>
      <c r="B231" s="23" t="s">
        <v>101</v>
      </c>
      <c r="C231" s="23" t="s">
        <v>2304</v>
      </c>
      <c r="D231" s="23" t="s">
        <v>2311</v>
      </c>
      <c r="E231" s="23" t="s">
        <v>2312</v>
      </c>
      <c r="F231" s="23" t="s">
        <v>40</v>
      </c>
      <c r="G231" s="23" t="s">
        <v>2313</v>
      </c>
      <c r="H231" s="23" t="s">
        <v>2314</v>
      </c>
      <c r="I231" s="23" t="s">
        <v>2315</v>
      </c>
      <c r="J231" s="23" t="s">
        <v>15</v>
      </c>
      <c r="K231" s="27" t="s">
        <v>404</v>
      </c>
      <c r="L231" s="23" t="s">
        <v>405</v>
      </c>
      <c r="M231" s="25" t="s">
        <v>18</v>
      </c>
      <c r="N231" s="23" t="s">
        <v>40</v>
      </c>
      <c r="O231" s="23" t="s">
        <v>387</v>
      </c>
      <c r="P231" s="23" t="s">
        <v>40</v>
      </c>
      <c r="Q231" s="23" t="s">
        <v>40</v>
      </c>
      <c r="R231" s="23" t="s">
        <v>102</v>
      </c>
      <c r="S231" s="23" t="s">
        <v>40</v>
      </c>
      <c r="T231" s="23" t="s">
        <v>2178</v>
      </c>
    </row>
    <row r="232" spans="1:20" x14ac:dyDescent="0.25">
      <c r="A232" s="23" t="s">
        <v>2316</v>
      </c>
      <c r="B232" s="23" t="s">
        <v>101</v>
      </c>
      <c r="C232" s="23" t="s">
        <v>525</v>
      </c>
      <c r="D232" s="23" t="s">
        <v>2317</v>
      </c>
      <c r="E232" s="23" t="s">
        <v>647</v>
      </c>
      <c r="F232" s="23" t="s">
        <v>40</v>
      </c>
      <c r="G232" s="23" t="s">
        <v>2318</v>
      </c>
      <c r="H232" s="23" t="s">
        <v>2319</v>
      </c>
      <c r="I232" s="23" t="s">
        <v>1963</v>
      </c>
      <c r="J232" s="23" t="s">
        <v>525</v>
      </c>
      <c r="K232" s="24" t="s">
        <v>386</v>
      </c>
      <c r="L232" s="23" t="s">
        <v>405</v>
      </c>
      <c r="M232" s="25" t="s">
        <v>18</v>
      </c>
      <c r="N232" s="23" t="s">
        <v>40</v>
      </c>
      <c r="O232" s="23" t="s">
        <v>387</v>
      </c>
      <c r="P232" s="23" t="s">
        <v>40</v>
      </c>
      <c r="Q232" s="23" t="s">
        <v>40</v>
      </c>
      <c r="R232" s="23" t="s">
        <v>102</v>
      </c>
      <c r="S232" s="23" t="s">
        <v>40</v>
      </c>
      <c r="T232" s="23" t="s">
        <v>40</v>
      </c>
    </row>
    <row r="233" spans="1:20" x14ac:dyDescent="0.25">
      <c r="A233" s="23" t="s">
        <v>2320</v>
      </c>
      <c r="B233" s="23" t="s">
        <v>104</v>
      </c>
      <c r="C233" s="23" t="s">
        <v>944</v>
      </c>
      <c r="D233" s="23" t="s">
        <v>2321</v>
      </c>
      <c r="E233" s="23" t="s">
        <v>589</v>
      </c>
      <c r="F233" s="23" t="s">
        <v>40</v>
      </c>
      <c r="G233" s="23" t="s">
        <v>2322</v>
      </c>
      <c r="H233" s="23" t="s">
        <v>2323</v>
      </c>
      <c r="I233" s="23" t="s">
        <v>2324</v>
      </c>
      <c r="J233" s="23" t="s">
        <v>385</v>
      </c>
      <c r="K233" s="24" t="s">
        <v>386</v>
      </c>
      <c r="L233" s="23" t="s">
        <v>13</v>
      </c>
      <c r="M233" s="31" t="s">
        <v>17</v>
      </c>
      <c r="N233" s="23" t="s">
        <v>2325</v>
      </c>
      <c r="O233" s="29" t="s">
        <v>87</v>
      </c>
      <c r="P233" s="23" t="s">
        <v>40</v>
      </c>
      <c r="Q233" s="23" t="s">
        <v>40</v>
      </c>
      <c r="R233" s="23" t="s">
        <v>105</v>
      </c>
      <c r="S233" s="23" t="s">
        <v>40</v>
      </c>
      <c r="T233" s="23" t="s">
        <v>40</v>
      </c>
    </row>
    <row r="234" spans="1:20" x14ac:dyDescent="0.25">
      <c r="A234" s="23" t="s">
        <v>2326</v>
      </c>
      <c r="B234" s="23" t="s">
        <v>104</v>
      </c>
      <c r="C234" s="23" t="s">
        <v>2327</v>
      </c>
      <c r="D234" s="23" t="s">
        <v>2328</v>
      </c>
      <c r="E234" s="23" t="s">
        <v>589</v>
      </c>
      <c r="F234" s="23" t="s">
        <v>2329</v>
      </c>
      <c r="G234" s="23" t="s">
        <v>2330</v>
      </c>
      <c r="H234" s="23" t="s">
        <v>2331</v>
      </c>
      <c r="I234" s="23" t="s">
        <v>2332</v>
      </c>
      <c r="J234" s="23" t="s">
        <v>14</v>
      </c>
      <c r="K234" s="26" t="s">
        <v>396</v>
      </c>
      <c r="L234" s="23" t="s">
        <v>13</v>
      </c>
      <c r="M234" s="25" t="s">
        <v>18</v>
      </c>
      <c r="N234" s="23" t="s">
        <v>40</v>
      </c>
      <c r="O234" s="23" t="s">
        <v>387</v>
      </c>
      <c r="P234" s="23" t="s">
        <v>40</v>
      </c>
      <c r="Q234" s="23" t="s">
        <v>40</v>
      </c>
      <c r="R234" s="23" t="s">
        <v>105</v>
      </c>
      <c r="S234" s="23" t="s">
        <v>40</v>
      </c>
      <c r="T234" s="23" t="s">
        <v>2333</v>
      </c>
    </row>
    <row r="235" spans="1:20" x14ac:dyDescent="0.25">
      <c r="A235" s="23" t="s">
        <v>2334</v>
      </c>
      <c r="B235" s="23" t="s">
        <v>104</v>
      </c>
      <c r="C235" s="23" t="s">
        <v>2327</v>
      </c>
      <c r="D235" s="23" t="s">
        <v>2335</v>
      </c>
      <c r="E235" s="23" t="s">
        <v>589</v>
      </c>
      <c r="F235" s="23" t="s">
        <v>40</v>
      </c>
      <c r="G235" s="23" t="s">
        <v>2336</v>
      </c>
      <c r="H235" s="23" t="s">
        <v>2337</v>
      </c>
      <c r="I235" s="23" t="s">
        <v>2338</v>
      </c>
      <c r="J235" s="23" t="s">
        <v>466</v>
      </c>
      <c r="K235" s="24" t="s">
        <v>386</v>
      </c>
      <c r="L235" s="23" t="s">
        <v>13</v>
      </c>
      <c r="M235" s="25" t="s">
        <v>18</v>
      </c>
      <c r="N235" s="23" t="s">
        <v>40</v>
      </c>
      <c r="O235" s="23" t="s">
        <v>387</v>
      </c>
      <c r="P235" s="23" t="s">
        <v>40</v>
      </c>
      <c r="Q235" s="23" t="s">
        <v>40</v>
      </c>
      <c r="R235" s="23" t="s">
        <v>105</v>
      </c>
      <c r="S235" s="23" t="s">
        <v>40</v>
      </c>
      <c r="T235" s="23" t="s">
        <v>40</v>
      </c>
    </row>
    <row r="236" spans="1:20" x14ac:dyDescent="0.25">
      <c r="A236" s="23" t="s">
        <v>2339</v>
      </c>
      <c r="B236" s="23" t="s">
        <v>104</v>
      </c>
      <c r="C236" s="23" t="s">
        <v>2327</v>
      </c>
      <c r="D236" s="23" t="s">
        <v>2340</v>
      </c>
      <c r="E236" s="23" t="s">
        <v>2341</v>
      </c>
      <c r="F236" s="23" t="s">
        <v>40</v>
      </c>
      <c r="G236" s="23" t="s">
        <v>2342</v>
      </c>
      <c r="H236" s="23" t="s">
        <v>2343</v>
      </c>
      <c r="I236" s="23" t="s">
        <v>2344</v>
      </c>
      <c r="J236" s="23" t="s">
        <v>15</v>
      </c>
      <c r="K236" s="27" t="s">
        <v>404</v>
      </c>
      <c r="L236" s="23" t="s">
        <v>405</v>
      </c>
      <c r="M236" s="25" t="s">
        <v>18</v>
      </c>
      <c r="N236" s="23" t="s">
        <v>40</v>
      </c>
      <c r="O236" s="23" t="s">
        <v>387</v>
      </c>
      <c r="P236" s="23" t="s">
        <v>40</v>
      </c>
      <c r="Q236" s="23" t="s">
        <v>40</v>
      </c>
      <c r="R236" s="23" t="s">
        <v>105</v>
      </c>
      <c r="S236" s="23" t="s">
        <v>40</v>
      </c>
      <c r="T236" s="23" t="s">
        <v>2345</v>
      </c>
    </row>
    <row r="237" spans="1:20" x14ac:dyDescent="0.25">
      <c r="A237" s="23" t="s">
        <v>2346</v>
      </c>
      <c r="B237" s="23" t="s">
        <v>104</v>
      </c>
      <c r="C237" s="23" t="s">
        <v>2327</v>
      </c>
      <c r="D237" s="23" t="s">
        <v>2347</v>
      </c>
      <c r="E237" s="23" t="s">
        <v>589</v>
      </c>
      <c r="F237" s="23" t="s">
        <v>40</v>
      </c>
      <c r="G237" s="23" t="s">
        <v>2348</v>
      </c>
      <c r="H237" s="23" t="s">
        <v>2349</v>
      </c>
      <c r="I237" s="23" t="s">
        <v>2350</v>
      </c>
      <c r="J237" s="23" t="s">
        <v>15</v>
      </c>
      <c r="K237" s="27" t="s">
        <v>404</v>
      </c>
      <c r="L237" s="23" t="s">
        <v>405</v>
      </c>
      <c r="M237" s="25" t="s">
        <v>18</v>
      </c>
      <c r="N237" s="23" t="s">
        <v>40</v>
      </c>
      <c r="O237" s="23" t="s">
        <v>387</v>
      </c>
      <c r="P237" s="23" t="s">
        <v>40</v>
      </c>
      <c r="Q237" s="23" t="s">
        <v>40</v>
      </c>
      <c r="R237" s="23" t="s">
        <v>105</v>
      </c>
      <c r="S237" s="23" t="s">
        <v>40</v>
      </c>
      <c r="T237" s="23" t="s">
        <v>2351</v>
      </c>
    </row>
    <row r="238" spans="1:20" x14ac:dyDescent="0.25">
      <c r="A238" s="23" t="s">
        <v>2352</v>
      </c>
      <c r="B238" s="23" t="s">
        <v>104</v>
      </c>
      <c r="C238" s="23" t="s">
        <v>2327</v>
      </c>
      <c r="D238" s="23" t="s">
        <v>2353</v>
      </c>
      <c r="E238" s="23" t="s">
        <v>589</v>
      </c>
      <c r="F238" s="23" t="s">
        <v>40</v>
      </c>
      <c r="G238" s="23" t="s">
        <v>2354</v>
      </c>
      <c r="H238" s="23" t="s">
        <v>2355</v>
      </c>
      <c r="I238" s="23" t="s">
        <v>2356</v>
      </c>
      <c r="J238" s="23" t="s">
        <v>489</v>
      </c>
      <c r="K238" s="27" t="s">
        <v>404</v>
      </c>
      <c r="L238" s="23" t="s">
        <v>490</v>
      </c>
      <c r="M238" s="25" t="s">
        <v>18</v>
      </c>
      <c r="N238" s="23" t="s">
        <v>40</v>
      </c>
      <c r="O238" s="23" t="s">
        <v>387</v>
      </c>
      <c r="P238" s="23" t="s">
        <v>40</v>
      </c>
      <c r="Q238" s="23" t="s">
        <v>40</v>
      </c>
      <c r="R238" s="23" t="s">
        <v>105</v>
      </c>
      <c r="S238" s="23" t="s">
        <v>40</v>
      </c>
      <c r="T238" s="23" t="s">
        <v>1235</v>
      </c>
    </row>
    <row r="239" spans="1:20" x14ac:dyDescent="0.25">
      <c r="A239" s="23" t="s">
        <v>2357</v>
      </c>
      <c r="B239" s="23" t="s">
        <v>104</v>
      </c>
      <c r="C239" s="23" t="s">
        <v>2327</v>
      </c>
      <c r="D239" s="23" t="s">
        <v>2358</v>
      </c>
      <c r="E239" s="23" t="s">
        <v>589</v>
      </c>
      <c r="F239" s="23" t="s">
        <v>40</v>
      </c>
      <c r="G239" s="23" t="s">
        <v>2359</v>
      </c>
      <c r="H239" s="23" t="s">
        <v>2360</v>
      </c>
      <c r="I239" s="23" t="s">
        <v>2361</v>
      </c>
      <c r="J239" s="23" t="s">
        <v>14</v>
      </c>
      <c r="K239" s="27" t="s">
        <v>404</v>
      </c>
      <c r="L239" s="23" t="s">
        <v>490</v>
      </c>
      <c r="M239" s="25" t="s">
        <v>18</v>
      </c>
      <c r="N239" s="23" t="s">
        <v>40</v>
      </c>
      <c r="O239" s="23" t="s">
        <v>387</v>
      </c>
      <c r="P239" s="23" t="s">
        <v>40</v>
      </c>
      <c r="Q239" s="23" t="s">
        <v>40</v>
      </c>
      <c r="R239" s="23" t="s">
        <v>105</v>
      </c>
      <c r="S239" s="23" t="s">
        <v>40</v>
      </c>
      <c r="T239" s="23" t="s">
        <v>40</v>
      </c>
    </row>
    <row r="240" spans="1:20" x14ac:dyDescent="0.25">
      <c r="A240" s="23" t="s">
        <v>2362</v>
      </c>
      <c r="B240" s="23" t="s">
        <v>104</v>
      </c>
      <c r="C240" s="23" t="s">
        <v>2363</v>
      </c>
      <c r="D240" s="23" t="s">
        <v>2364</v>
      </c>
      <c r="E240" s="23" t="s">
        <v>2365</v>
      </c>
      <c r="F240" s="23" t="s">
        <v>40</v>
      </c>
      <c r="G240" s="23" t="s">
        <v>2366</v>
      </c>
      <c r="H240" s="23" t="s">
        <v>2367</v>
      </c>
      <c r="I240" s="23" t="s">
        <v>2368</v>
      </c>
      <c r="J240" s="23" t="s">
        <v>14</v>
      </c>
      <c r="K240" s="24" t="s">
        <v>386</v>
      </c>
      <c r="L240" s="23" t="s">
        <v>405</v>
      </c>
      <c r="M240" s="25" t="s">
        <v>18</v>
      </c>
      <c r="N240" s="23" t="s">
        <v>40</v>
      </c>
      <c r="O240" s="23" t="s">
        <v>387</v>
      </c>
      <c r="P240" s="23" t="s">
        <v>40</v>
      </c>
      <c r="Q240" s="23" t="s">
        <v>40</v>
      </c>
      <c r="R240" s="23" t="s">
        <v>105</v>
      </c>
      <c r="S240" s="23" t="s">
        <v>40</v>
      </c>
      <c r="T240" s="23" t="s">
        <v>2369</v>
      </c>
    </row>
    <row r="241" spans="1:20" x14ac:dyDescent="0.25">
      <c r="A241" s="23" t="s">
        <v>2370</v>
      </c>
      <c r="B241" s="23" t="s">
        <v>104</v>
      </c>
      <c r="C241" s="23" t="s">
        <v>2188</v>
      </c>
      <c r="D241" s="23" t="s">
        <v>2371</v>
      </c>
      <c r="E241" s="23" t="s">
        <v>2372</v>
      </c>
      <c r="F241" s="23" t="s">
        <v>40</v>
      </c>
      <c r="G241" s="23" t="s">
        <v>2373</v>
      </c>
      <c r="H241" s="23" t="s">
        <v>2374</v>
      </c>
      <c r="I241" s="23" t="s">
        <v>2375</v>
      </c>
      <c r="J241" s="23" t="s">
        <v>15</v>
      </c>
      <c r="K241" s="24" t="s">
        <v>386</v>
      </c>
      <c r="L241" s="23" t="s">
        <v>13</v>
      </c>
      <c r="M241" s="25" t="s">
        <v>18</v>
      </c>
      <c r="N241" s="23" t="s">
        <v>40</v>
      </c>
      <c r="O241" s="23" t="s">
        <v>387</v>
      </c>
      <c r="P241" s="23" t="s">
        <v>40</v>
      </c>
      <c r="Q241" s="23" t="s">
        <v>40</v>
      </c>
      <c r="R241" s="23" t="s">
        <v>105</v>
      </c>
      <c r="S241" s="23" t="s">
        <v>40</v>
      </c>
      <c r="T241" s="23" t="s">
        <v>2376</v>
      </c>
    </row>
    <row r="242" spans="1:20" x14ac:dyDescent="0.25">
      <c r="A242" s="23" t="s">
        <v>2377</v>
      </c>
      <c r="B242" s="23" t="s">
        <v>104</v>
      </c>
      <c r="C242" s="23" t="s">
        <v>2188</v>
      </c>
      <c r="D242" s="23" t="s">
        <v>2378</v>
      </c>
      <c r="E242" s="23" t="s">
        <v>2379</v>
      </c>
      <c r="F242" s="23" t="s">
        <v>40</v>
      </c>
      <c r="G242" s="23" t="s">
        <v>2380</v>
      </c>
      <c r="H242" s="23" t="s">
        <v>2381</v>
      </c>
      <c r="I242" s="23" t="s">
        <v>2382</v>
      </c>
      <c r="J242" s="23" t="s">
        <v>14</v>
      </c>
      <c r="K242" s="27" t="s">
        <v>404</v>
      </c>
      <c r="L242" s="23" t="s">
        <v>490</v>
      </c>
      <c r="M242" s="25" t="s">
        <v>18</v>
      </c>
      <c r="N242" s="23" t="s">
        <v>40</v>
      </c>
      <c r="O242" s="23" t="s">
        <v>387</v>
      </c>
      <c r="P242" s="23" t="s">
        <v>40</v>
      </c>
      <c r="Q242" s="23" t="s">
        <v>40</v>
      </c>
      <c r="R242" s="23" t="s">
        <v>105</v>
      </c>
      <c r="S242" s="23" t="s">
        <v>40</v>
      </c>
      <c r="T242" s="23" t="s">
        <v>40</v>
      </c>
    </row>
    <row r="243" spans="1:20" x14ac:dyDescent="0.25">
      <c r="A243" s="23" t="s">
        <v>2383</v>
      </c>
      <c r="B243" s="23" t="s">
        <v>104</v>
      </c>
      <c r="C243" s="23" t="s">
        <v>2384</v>
      </c>
      <c r="D243" s="23" t="s">
        <v>2385</v>
      </c>
      <c r="E243" s="23" t="s">
        <v>2386</v>
      </c>
      <c r="F243" s="23" t="s">
        <v>40</v>
      </c>
      <c r="G243" s="23" t="s">
        <v>2387</v>
      </c>
      <c r="H243" s="23" t="s">
        <v>2388</v>
      </c>
      <c r="I243" s="23" t="s">
        <v>2389</v>
      </c>
      <c r="J243" s="23" t="s">
        <v>801</v>
      </c>
      <c r="K243" s="27" t="s">
        <v>404</v>
      </c>
      <c r="L243" s="23" t="s">
        <v>490</v>
      </c>
      <c r="M243" s="25" t="s">
        <v>18</v>
      </c>
      <c r="N243" s="23" t="s">
        <v>40</v>
      </c>
      <c r="O243" s="23" t="s">
        <v>387</v>
      </c>
      <c r="P243" s="23" t="s">
        <v>40</v>
      </c>
      <c r="Q243" s="23" t="s">
        <v>40</v>
      </c>
      <c r="R243" s="23" t="s">
        <v>105</v>
      </c>
      <c r="S243" s="23" t="s">
        <v>40</v>
      </c>
      <c r="T243" s="23" t="s">
        <v>2390</v>
      </c>
    </row>
    <row r="244" spans="1:20" x14ac:dyDescent="0.25">
      <c r="A244" s="23" t="s">
        <v>2391</v>
      </c>
      <c r="B244" s="23" t="s">
        <v>106</v>
      </c>
      <c r="C244" s="23" t="s">
        <v>944</v>
      </c>
      <c r="D244" s="23" t="s">
        <v>2392</v>
      </c>
      <c r="E244" s="23" t="s">
        <v>589</v>
      </c>
      <c r="F244" s="23" t="s">
        <v>40</v>
      </c>
      <c r="G244" s="23" t="s">
        <v>2393</v>
      </c>
      <c r="H244" s="23" t="s">
        <v>2394</v>
      </c>
      <c r="I244" s="23" t="s">
        <v>2395</v>
      </c>
      <c r="J244" s="23" t="s">
        <v>385</v>
      </c>
      <c r="K244" s="24" t="s">
        <v>386</v>
      </c>
      <c r="L244" s="23" t="s">
        <v>13</v>
      </c>
      <c r="M244" s="31" t="s">
        <v>17</v>
      </c>
      <c r="N244" s="23" t="s">
        <v>2396</v>
      </c>
      <c r="O244" s="29" t="s">
        <v>87</v>
      </c>
      <c r="P244" s="23" t="s">
        <v>40</v>
      </c>
      <c r="Q244" s="23" t="s">
        <v>40</v>
      </c>
      <c r="R244" s="23" t="s">
        <v>107</v>
      </c>
      <c r="S244" s="23" t="s">
        <v>40</v>
      </c>
      <c r="T244" s="23" t="s">
        <v>40</v>
      </c>
    </row>
    <row r="245" spans="1:20" x14ac:dyDescent="0.25">
      <c r="A245" s="23" t="s">
        <v>2397</v>
      </c>
      <c r="B245" s="23" t="s">
        <v>106</v>
      </c>
      <c r="C245" s="23" t="s">
        <v>2327</v>
      </c>
      <c r="D245" s="23" t="s">
        <v>2398</v>
      </c>
      <c r="E245" s="23" t="s">
        <v>589</v>
      </c>
      <c r="F245" s="23" t="s">
        <v>2399</v>
      </c>
      <c r="G245" s="23" t="s">
        <v>2400</v>
      </c>
      <c r="H245" s="23" t="s">
        <v>2401</v>
      </c>
      <c r="I245" s="23" t="s">
        <v>2402</v>
      </c>
      <c r="J245" s="23" t="s">
        <v>14</v>
      </c>
      <c r="K245" s="26" t="s">
        <v>396</v>
      </c>
      <c r="L245" s="23" t="s">
        <v>13</v>
      </c>
      <c r="M245" s="25" t="s">
        <v>18</v>
      </c>
      <c r="N245" s="23" t="s">
        <v>40</v>
      </c>
      <c r="O245" s="23" t="s">
        <v>387</v>
      </c>
      <c r="P245" s="23" t="s">
        <v>40</v>
      </c>
      <c r="Q245" s="23" t="s">
        <v>40</v>
      </c>
      <c r="R245" s="23" t="s">
        <v>107</v>
      </c>
      <c r="S245" s="23" t="s">
        <v>40</v>
      </c>
      <c r="T245" s="23" t="s">
        <v>2403</v>
      </c>
    </row>
    <row r="246" spans="1:20" x14ac:dyDescent="0.25">
      <c r="A246" s="23" t="s">
        <v>2404</v>
      </c>
      <c r="B246" s="23" t="s">
        <v>106</v>
      </c>
      <c r="C246" s="23" t="s">
        <v>2327</v>
      </c>
      <c r="D246" s="23" t="s">
        <v>2405</v>
      </c>
      <c r="E246" s="23" t="s">
        <v>589</v>
      </c>
      <c r="F246" s="23" t="s">
        <v>40</v>
      </c>
      <c r="G246" s="23" t="s">
        <v>2406</v>
      </c>
      <c r="H246" s="23" t="s">
        <v>2407</v>
      </c>
      <c r="I246" s="23" t="s">
        <v>2408</v>
      </c>
      <c r="J246" s="23" t="s">
        <v>14</v>
      </c>
      <c r="K246" s="24" t="s">
        <v>386</v>
      </c>
      <c r="L246" s="23" t="s">
        <v>405</v>
      </c>
      <c r="M246" s="25" t="s">
        <v>18</v>
      </c>
      <c r="N246" s="23" t="s">
        <v>40</v>
      </c>
      <c r="O246" s="23" t="s">
        <v>387</v>
      </c>
      <c r="P246" s="23" t="s">
        <v>40</v>
      </c>
      <c r="Q246" s="23" t="s">
        <v>40</v>
      </c>
      <c r="R246" s="23" t="s">
        <v>107</v>
      </c>
      <c r="S246" s="23" t="s">
        <v>40</v>
      </c>
      <c r="T246" s="23" t="s">
        <v>2409</v>
      </c>
    </row>
    <row r="247" spans="1:20" x14ac:dyDescent="0.25">
      <c r="A247" s="23" t="s">
        <v>2410</v>
      </c>
      <c r="B247" s="23" t="s">
        <v>106</v>
      </c>
      <c r="C247" s="23" t="s">
        <v>466</v>
      </c>
      <c r="D247" s="23" t="s">
        <v>2411</v>
      </c>
      <c r="E247" s="23" t="s">
        <v>589</v>
      </c>
      <c r="F247" s="23" t="s">
        <v>40</v>
      </c>
      <c r="G247" s="23" t="s">
        <v>2412</v>
      </c>
      <c r="H247" s="23" t="s">
        <v>2413</v>
      </c>
      <c r="I247" s="23" t="s">
        <v>2414</v>
      </c>
      <c r="J247" s="23" t="s">
        <v>466</v>
      </c>
      <c r="K247" s="27" t="s">
        <v>404</v>
      </c>
      <c r="L247" s="23" t="s">
        <v>405</v>
      </c>
      <c r="M247" s="25" t="s">
        <v>18</v>
      </c>
      <c r="N247" s="23" t="s">
        <v>40</v>
      </c>
      <c r="O247" s="23" t="s">
        <v>387</v>
      </c>
      <c r="P247" s="23" t="s">
        <v>40</v>
      </c>
      <c r="Q247" s="23" t="s">
        <v>40</v>
      </c>
      <c r="R247" s="23" t="s">
        <v>107</v>
      </c>
      <c r="S247" s="23" t="s">
        <v>40</v>
      </c>
      <c r="T247" s="23" t="s">
        <v>1308</v>
      </c>
    </row>
    <row r="248" spans="1:20" x14ac:dyDescent="0.25">
      <c r="A248" s="23" t="s">
        <v>2415</v>
      </c>
      <c r="B248" s="23" t="s">
        <v>106</v>
      </c>
      <c r="C248" s="23" t="s">
        <v>466</v>
      </c>
      <c r="D248" s="23" t="s">
        <v>2416</v>
      </c>
      <c r="E248" s="23" t="s">
        <v>2417</v>
      </c>
      <c r="F248" s="23" t="s">
        <v>40</v>
      </c>
      <c r="G248" s="23" t="s">
        <v>2418</v>
      </c>
      <c r="H248" s="23" t="s">
        <v>2419</v>
      </c>
      <c r="I248" s="23" t="s">
        <v>2420</v>
      </c>
      <c r="J248" s="23" t="s">
        <v>15</v>
      </c>
      <c r="K248" s="27" t="s">
        <v>404</v>
      </c>
      <c r="L248" s="23" t="s">
        <v>405</v>
      </c>
      <c r="M248" s="25" t="s">
        <v>18</v>
      </c>
      <c r="N248" s="23" t="s">
        <v>40</v>
      </c>
      <c r="O248" s="23" t="s">
        <v>387</v>
      </c>
      <c r="P248" s="23" t="s">
        <v>40</v>
      </c>
      <c r="Q248" s="23" t="s">
        <v>40</v>
      </c>
      <c r="R248" s="23" t="s">
        <v>107</v>
      </c>
      <c r="S248" s="23" t="s">
        <v>40</v>
      </c>
      <c r="T248" s="23" t="s">
        <v>2421</v>
      </c>
    </row>
    <row r="249" spans="1:20" x14ac:dyDescent="0.25">
      <c r="A249" s="23" t="s">
        <v>2422</v>
      </c>
      <c r="B249" s="23" t="s">
        <v>106</v>
      </c>
      <c r="C249" s="23" t="s">
        <v>466</v>
      </c>
      <c r="D249" s="23" t="s">
        <v>2423</v>
      </c>
      <c r="E249" s="23" t="s">
        <v>589</v>
      </c>
      <c r="F249" s="23" t="s">
        <v>40</v>
      </c>
      <c r="G249" s="23" t="s">
        <v>2424</v>
      </c>
      <c r="H249" s="23" t="s">
        <v>2425</v>
      </c>
      <c r="I249" s="23" t="s">
        <v>2426</v>
      </c>
      <c r="J249" s="23" t="s">
        <v>466</v>
      </c>
      <c r="K249" s="27" t="s">
        <v>404</v>
      </c>
      <c r="L249" s="23" t="s">
        <v>490</v>
      </c>
      <c r="M249" s="25" t="s">
        <v>18</v>
      </c>
      <c r="N249" s="23" t="s">
        <v>40</v>
      </c>
      <c r="O249" s="23" t="s">
        <v>387</v>
      </c>
      <c r="P249" s="23" t="s">
        <v>40</v>
      </c>
      <c r="Q249" s="23" t="s">
        <v>40</v>
      </c>
      <c r="R249" s="23" t="s">
        <v>107</v>
      </c>
      <c r="S249" s="23" t="s">
        <v>40</v>
      </c>
      <c r="T249" s="23" t="s">
        <v>40</v>
      </c>
    </row>
    <row r="250" spans="1:20" x14ac:dyDescent="0.25">
      <c r="A250" s="23" t="s">
        <v>2427</v>
      </c>
      <c r="B250" s="23" t="s">
        <v>106</v>
      </c>
      <c r="C250" s="23" t="s">
        <v>2428</v>
      </c>
      <c r="D250" s="23" t="s">
        <v>2429</v>
      </c>
      <c r="E250" s="23" t="s">
        <v>2430</v>
      </c>
      <c r="F250" s="23" t="s">
        <v>40</v>
      </c>
      <c r="G250" s="23" t="s">
        <v>2431</v>
      </c>
      <c r="H250" s="23" t="s">
        <v>2432</v>
      </c>
      <c r="I250" s="23" t="s">
        <v>2433</v>
      </c>
      <c r="J250" s="23" t="s">
        <v>801</v>
      </c>
      <c r="K250" s="27" t="s">
        <v>404</v>
      </c>
      <c r="L250" s="23" t="s">
        <v>490</v>
      </c>
      <c r="M250" s="25" t="s">
        <v>18</v>
      </c>
      <c r="N250" s="23" t="s">
        <v>40</v>
      </c>
      <c r="O250" s="23" t="s">
        <v>387</v>
      </c>
      <c r="P250" s="23" t="s">
        <v>40</v>
      </c>
      <c r="Q250" s="23" t="s">
        <v>40</v>
      </c>
      <c r="R250" s="23" t="s">
        <v>107</v>
      </c>
      <c r="S250" s="23" t="s">
        <v>40</v>
      </c>
      <c r="T250" s="23" t="s">
        <v>2434</v>
      </c>
    </row>
    <row r="251" spans="1:20" x14ac:dyDescent="0.25">
      <c r="A251" s="23" t="s">
        <v>2435</v>
      </c>
      <c r="B251" s="23" t="s">
        <v>106</v>
      </c>
      <c r="C251" s="23" t="s">
        <v>2384</v>
      </c>
      <c r="D251" s="23" t="s">
        <v>2436</v>
      </c>
      <c r="E251" s="23" t="s">
        <v>589</v>
      </c>
      <c r="F251" s="23" t="s">
        <v>40</v>
      </c>
      <c r="G251" s="23" t="s">
        <v>2437</v>
      </c>
      <c r="H251" s="23" t="s">
        <v>2438</v>
      </c>
      <c r="I251" s="23" t="s">
        <v>2439</v>
      </c>
      <c r="J251" s="23" t="s">
        <v>15</v>
      </c>
      <c r="K251" s="27" t="s">
        <v>404</v>
      </c>
      <c r="L251" s="23" t="s">
        <v>490</v>
      </c>
      <c r="M251" s="25" t="s">
        <v>18</v>
      </c>
      <c r="N251" s="23" t="s">
        <v>40</v>
      </c>
      <c r="O251" s="23" t="s">
        <v>387</v>
      </c>
      <c r="P251" s="23" t="s">
        <v>40</v>
      </c>
      <c r="Q251" s="23" t="s">
        <v>40</v>
      </c>
      <c r="R251" s="23" t="s">
        <v>107</v>
      </c>
      <c r="S251" s="23" t="s">
        <v>40</v>
      </c>
      <c r="T251" s="23" t="s">
        <v>40</v>
      </c>
    </row>
    <row r="252" spans="1:20" x14ac:dyDescent="0.25">
      <c r="A252" s="23" t="s">
        <v>2440</v>
      </c>
      <c r="B252" s="23" t="s">
        <v>106</v>
      </c>
      <c r="C252" s="23" t="s">
        <v>2188</v>
      </c>
      <c r="D252" s="23" t="s">
        <v>2441</v>
      </c>
      <c r="E252" s="23" t="s">
        <v>589</v>
      </c>
      <c r="F252" s="23" t="s">
        <v>40</v>
      </c>
      <c r="G252" s="23" t="s">
        <v>2442</v>
      </c>
      <c r="H252" s="23" t="s">
        <v>2443</v>
      </c>
      <c r="I252" s="23" t="s">
        <v>2382</v>
      </c>
      <c r="J252" s="23" t="s">
        <v>14</v>
      </c>
      <c r="K252" s="27" t="s">
        <v>404</v>
      </c>
      <c r="L252" s="23" t="s">
        <v>490</v>
      </c>
      <c r="M252" s="25" t="s">
        <v>18</v>
      </c>
      <c r="N252" s="23" t="s">
        <v>40</v>
      </c>
      <c r="O252" s="23" t="s">
        <v>387</v>
      </c>
      <c r="P252" s="23" t="s">
        <v>40</v>
      </c>
      <c r="Q252" s="23" t="s">
        <v>40</v>
      </c>
      <c r="R252" s="23" t="s">
        <v>107</v>
      </c>
      <c r="S252" s="23" t="s">
        <v>40</v>
      </c>
      <c r="T252" s="23" t="s">
        <v>40</v>
      </c>
    </row>
    <row r="253" spans="1:20" x14ac:dyDescent="0.25">
      <c r="A253" s="23" t="s">
        <v>2444</v>
      </c>
      <c r="B253" s="23" t="s">
        <v>106</v>
      </c>
      <c r="C253" s="23" t="s">
        <v>395</v>
      </c>
      <c r="D253" s="23" t="s">
        <v>2445</v>
      </c>
      <c r="E253" s="23" t="s">
        <v>2446</v>
      </c>
      <c r="F253" s="23" t="s">
        <v>40</v>
      </c>
      <c r="G253" s="23" t="s">
        <v>2447</v>
      </c>
      <c r="H253" s="23" t="s">
        <v>2448</v>
      </c>
      <c r="I253" s="23" t="s">
        <v>2449</v>
      </c>
      <c r="J253" s="23" t="s">
        <v>395</v>
      </c>
      <c r="K253" s="27" t="s">
        <v>404</v>
      </c>
      <c r="L253" s="23" t="s">
        <v>490</v>
      </c>
      <c r="M253" s="25" t="s">
        <v>18</v>
      </c>
      <c r="N253" s="23" t="s">
        <v>40</v>
      </c>
      <c r="O253" s="23" t="s">
        <v>387</v>
      </c>
      <c r="P253" s="23" t="s">
        <v>40</v>
      </c>
      <c r="Q253" s="23" t="s">
        <v>40</v>
      </c>
      <c r="R253" s="23" t="s">
        <v>107</v>
      </c>
      <c r="S253" s="23" t="s">
        <v>2450</v>
      </c>
      <c r="T253" s="23" t="s">
        <v>2451</v>
      </c>
    </row>
    <row r="254" spans="1:20" x14ac:dyDescent="0.25">
      <c r="A254" s="23" t="s">
        <v>2452</v>
      </c>
      <c r="B254" s="23" t="s">
        <v>108</v>
      </c>
      <c r="C254" s="23" t="s">
        <v>944</v>
      </c>
      <c r="D254" s="23" t="s">
        <v>2453</v>
      </c>
      <c r="E254" s="23" t="s">
        <v>589</v>
      </c>
      <c r="F254" s="23" t="s">
        <v>40</v>
      </c>
      <c r="G254" s="23" t="s">
        <v>2454</v>
      </c>
      <c r="H254" s="23" t="s">
        <v>2455</v>
      </c>
      <c r="I254" s="23" t="s">
        <v>2456</v>
      </c>
      <c r="J254" s="23" t="s">
        <v>385</v>
      </c>
      <c r="K254" s="24" t="s">
        <v>386</v>
      </c>
      <c r="L254" s="23" t="s">
        <v>13</v>
      </c>
      <c r="M254" s="31" t="s">
        <v>17</v>
      </c>
      <c r="N254" s="23" t="s">
        <v>2457</v>
      </c>
      <c r="O254" s="29" t="s">
        <v>87</v>
      </c>
      <c r="P254" s="23" t="s">
        <v>40</v>
      </c>
      <c r="Q254" s="23" t="s">
        <v>40</v>
      </c>
      <c r="R254" s="23" t="s">
        <v>109</v>
      </c>
      <c r="S254" s="23" t="s">
        <v>40</v>
      </c>
      <c r="T254" s="23" t="s">
        <v>40</v>
      </c>
    </row>
    <row r="255" spans="1:20" x14ac:dyDescent="0.25">
      <c r="A255" s="23" t="s">
        <v>2458</v>
      </c>
      <c r="B255" s="23" t="s">
        <v>108</v>
      </c>
      <c r="C255" s="23" t="s">
        <v>2459</v>
      </c>
      <c r="D255" s="23" t="s">
        <v>2460</v>
      </c>
      <c r="E255" s="23" t="s">
        <v>2461</v>
      </c>
      <c r="F255" s="23" t="s">
        <v>2462</v>
      </c>
      <c r="G255" s="23" t="s">
        <v>2463</v>
      </c>
      <c r="H255" s="23" t="s">
        <v>2464</v>
      </c>
      <c r="I255" s="23" t="s">
        <v>2465</v>
      </c>
      <c r="J255" s="23" t="s">
        <v>14</v>
      </c>
      <c r="K255" s="26" t="s">
        <v>396</v>
      </c>
      <c r="L255" s="23" t="s">
        <v>13</v>
      </c>
      <c r="M255" s="25" t="s">
        <v>18</v>
      </c>
      <c r="N255" s="23" t="s">
        <v>40</v>
      </c>
      <c r="O255" s="23" t="s">
        <v>387</v>
      </c>
      <c r="P255" s="23" t="s">
        <v>40</v>
      </c>
      <c r="Q255" s="23" t="s">
        <v>40</v>
      </c>
      <c r="R255" s="23" t="s">
        <v>109</v>
      </c>
      <c r="S255" s="23" t="s">
        <v>40</v>
      </c>
      <c r="T255" s="23" t="s">
        <v>2466</v>
      </c>
    </row>
    <row r="256" spans="1:20" x14ac:dyDescent="0.25">
      <c r="A256" s="23" t="s">
        <v>2467</v>
      </c>
      <c r="B256" s="23" t="s">
        <v>108</v>
      </c>
      <c r="C256" s="23" t="s">
        <v>2459</v>
      </c>
      <c r="D256" s="23" t="s">
        <v>2468</v>
      </c>
      <c r="E256" s="23" t="s">
        <v>2461</v>
      </c>
      <c r="F256" s="23" t="s">
        <v>2469</v>
      </c>
      <c r="G256" s="23" t="s">
        <v>2470</v>
      </c>
      <c r="H256" s="23" t="s">
        <v>2471</v>
      </c>
      <c r="I256" s="23" t="s">
        <v>2472</v>
      </c>
      <c r="J256" s="23" t="s">
        <v>14</v>
      </c>
      <c r="K256" s="26" t="s">
        <v>396</v>
      </c>
      <c r="L256" s="23" t="s">
        <v>13</v>
      </c>
      <c r="M256" s="25" t="s">
        <v>18</v>
      </c>
      <c r="N256" s="23" t="s">
        <v>40</v>
      </c>
      <c r="O256" s="23" t="s">
        <v>387</v>
      </c>
      <c r="P256" s="23" t="s">
        <v>40</v>
      </c>
      <c r="Q256" s="23" t="s">
        <v>40</v>
      </c>
      <c r="R256" s="23" t="s">
        <v>109</v>
      </c>
      <c r="S256" s="23" t="s">
        <v>40</v>
      </c>
      <c r="T256" s="23" t="s">
        <v>2473</v>
      </c>
    </row>
    <row r="257" spans="1:20" x14ac:dyDescent="0.25">
      <c r="A257" s="23" t="s">
        <v>2474</v>
      </c>
      <c r="B257" s="23" t="s">
        <v>108</v>
      </c>
      <c r="C257" s="23" t="s">
        <v>2459</v>
      </c>
      <c r="D257" s="23" t="s">
        <v>2475</v>
      </c>
      <c r="E257" s="23" t="s">
        <v>2461</v>
      </c>
      <c r="F257" s="23" t="s">
        <v>40</v>
      </c>
      <c r="G257" s="23" t="s">
        <v>2476</v>
      </c>
      <c r="H257" s="23" t="s">
        <v>2477</v>
      </c>
      <c r="I257" s="23" t="s">
        <v>2478</v>
      </c>
      <c r="J257" s="23" t="s">
        <v>385</v>
      </c>
      <c r="K257" s="27" t="s">
        <v>404</v>
      </c>
      <c r="L257" s="23" t="s">
        <v>405</v>
      </c>
      <c r="M257" s="25" t="s">
        <v>18</v>
      </c>
      <c r="N257" s="23" t="s">
        <v>40</v>
      </c>
      <c r="O257" s="23" t="s">
        <v>387</v>
      </c>
      <c r="P257" s="23" t="s">
        <v>40</v>
      </c>
      <c r="Q257" s="23" t="s">
        <v>40</v>
      </c>
      <c r="R257" s="23" t="s">
        <v>109</v>
      </c>
      <c r="S257" s="23" t="s">
        <v>40</v>
      </c>
      <c r="T257" s="23" t="s">
        <v>40</v>
      </c>
    </row>
    <row r="258" spans="1:20" x14ac:dyDescent="0.25">
      <c r="A258" s="23" t="s">
        <v>2479</v>
      </c>
      <c r="B258" s="23" t="s">
        <v>108</v>
      </c>
      <c r="C258" s="23" t="s">
        <v>2459</v>
      </c>
      <c r="D258" s="23" t="s">
        <v>2480</v>
      </c>
      <c r="E258" s="23" t="s">
        <v>2461</v>
      </c>
      <c r="F258" s="23" t="s">
        <v>40</v>
      </c>
      <c r="G258" s="23" t="s">
        <v>2481</v>
      </c>
      <c r="H258" s="23" t="s">
        <v>2482</v>
      </c>
      <c r="I258" s="23" t="s">
        <v>2483</v>
      </c>
      <c r="J258" s="23" t="s">
        <v>385</v>
      </c>
      <c r="K258" s="27" t="s">
        <v>404</v>
      </c>
      <c r="L258" s="23" t="s">
        <v>405</v>
      </c>
      <c r="M258" s="25" t="s">
        <v>18</v>
      </c>
      <c r="N258" s="23" t="s">
        <v>40</v>
      </c>
      <c r="O258" s="23" t="s">
        <v>387</v>
      </c>
      <c r="P258" s="23" t="s">
        <v>40</v>
      </c>
      <c r="Q258" s="23" t="s">
        <v>40</v>
      </c>
      <c r="R258" s="23" t="s">
        <v>109</v>
      </c>
      <c r="S258" s="23" t="s">
        <v>40</v>
      </c>
      <c r="T258" s="23" t="s">
        <v>2484</v>
      </c>
    </row>
    <row r="259" spans="1:20" x14ac:dyDescent="0.25">
      <c r="A259" s="23" t="s">
        <v>2485</v>
      </c>
      <c r="B259" s="23" t="s">
        <v>108</v>
      </c>
      <c r="C259" s="23" t="s">
        <v>466</v>
      </c>
      <c r="D259" s="23" t="s">
        <v>2486</v>
      </c>
      <c r="E259" s="23" t="s">
        <v>2461</v>
      </c>
      <c r="F259" s="23" t="s">
        <v>40</v>
      </c>
      <c r="G259" s="23" t="s">
        <v>2487</v>
      </c>
      <c r="H259" s="23" t="s">
        <v>2488</v>
      </c>
      <c r="I259" s="23" t="s">
        <v>2489</v>
      </c>
      <c r="J259" s="23" t="s">
        <v>466</v>
      </c>
      <c r="K259" s="24" t="s">
        <v>386</v>
      </c>
      <c r="L259" s="23" t="s">
        <v>13</v>
      </c>
      <c r="M259" s="25" t="s">
        <v>18</v>
      </c>
      <c r="N259" s="23" t="s">
        <v>40</v>
      </c>
      <c r="O259" s="23" t="s">
        <v>387</v>
      </c>
      <c r="P259" s="23" t="s">
        <v>40</v>
      </c>
      <c r="Q259" s="23" t="s">
        <v>40</v>
      </c>
      <c r="R259" s="23" t="s">
        <v>109</v>
      </c>
      <c r="S259" s="23" t="s">
        <v>40</v>
      </c>
      <c r="T259" s="23" t="s">
        <v>2142</v>
      </c>
    </row>
    <row r="260" spans="1:20" x14ac:dyDescent="0.25">
      <c r="A260" s="23" t="s">
        <v>2490</v>
      </c>
      <c r="B260" s="23" t="s">
        <v>108</v>
      </c>
      <c r="C260" s="23" t="s">
        <v>466</v>
      </c>
      <c r="D260" s="23" t="s">
        <v>2491</v>
      </c>
      <c r="E260" s="23" t="s">
        <v>2461</v>
      </c>
      <c r="F260" s="23" t="s">
        <v>40</v>
      </c>
      <c r="G260" s="23" t="s">
        <v>2492</v>
      </c>
      <c r="H260" s="23" t="s">
        <v>2493</v>
      </c>
      <c r="I260" s="23" t="s">
        <v>2494</v>
      </c>
      <c r="J260" s="23" t="s">
        <v>466</v>
      </c>
      <c r="K260" s="24" t="s">
        <v>386</v>
      </c>
      <c r="L260" s="23" t="s">
        <v>13</v>
      </c>
      <c r="M260" s="25" t="s">
        <v>18</v>
      </c>
      <c r="N260" s="23" t="s">
        <v>40</v>
      </c>
      <c r="O260" s="23" t="s">
        <v>387</v>
      </c>
      <c r="P260" s="23" t="s">
        <v>40</v>
      </c>
      <c r="Q260" s="23" t="s">
        <v>40</v>
      </c>
      <c r="R260" s="23" t="s">
        <v>109</v>
      </c>
      <c r="S260" s="23" t="s">
        <v>40</v>
      </c>
      <c r="T260" s="23" t="s">
        <v>2142</v>
      </c>
    </row>
    <row r="261" spans="1:20" x14ac:dyDescent="0.25">
      <c r="A261" s="23" t="s">
        <v>2495</v>
      </c>
      <c r="B261" s="23" t="s">
        <v>108</v>
      </c>
      <c r="C261" s="23" t="s">
        <v>466</v>
      </c>
      <c r="D261" s="23" t="s">
        <v>2496</v>
      </c>
      <c r="E261" s="23" t="s">
        <v>2461</v>
      </c>
      <c r="F261" s="23" t="s">
        <v>40</v>
      </c>
      <c r="G261" s="23" t="s">
        <v>2497</v>
      </c>
      <c r="H261" s="23" t="s">
        <v>2498</v>
      </c>
      <c r="I261" s="23" t="s">
        <v>2499</v>
      </c>
      <c r="J261" s="23" t="s">
        <v>466</v>
      </c>
      <c r="K261" s="27" t="s">
        <v>404</v>
      </c>
      <c r="L261" s="23" t="s">
        <v>405</v>
      </c>
      <c r="M261" s="25" t="s">
        <v>18</v>
      </c>
      <c r="N261" s="23" t="s">
        <v>40</v>
      </c>
      <c r="O261" s="23" t="s">
        <v>387</v>
      </c>
      <c r="P261" s="23" t="s">
        <v>40</v>
      </c>
      <c r="Q261" s="23" t="s">
        <v>40</v>
      </c>
      <c r="R261" s="23" t="s">
        <v>109</v>
      </c>
      <c r="S261" s="23" t="s">
        <v>40</v>
      </c>
      <c r="T261" s="23" t="s">
        <v>2114</v>
      </c>
    </row>
    <row r="262" spans="1:20" x14ac:dyDescent="0.25">
      <c r="A262" s="23" t="s">
        <v>2500</v>
      </c>
      <c r="B262" s="23" t="s">
        <v>108</v>
      </c>
      <c r="C262" s="23" t="s">
        <v>466</v>
      </c>
      <c r="D262" s="23" t="s">
        <v>2501</v>
      </c>
      <c r="E262" s="23" t="s">
        <v>2461</v>
      </c>
      <c r="F262" s="23" t="s">
        <v>40</v>
      </c>
      <c r="G262" s="23" t="s">
        <v>2502</v>
      </c>
      <c r="H262" s="23" t="s">
        <v>2503</v>
      </c>
      <c r="I262" s="23" t="s">
        <v>2504</v>
      </c>
      <c r="J262" s="23" t="s">
        <v>466</v>
      </c>
      <c r="K262" s="27" t="s">
        <v>404</v>
      </c>
      <c r="L262" s="23" t="s">
        <v>405</v>
      </c>
      <c r="M262" s="25" t="s">
        <v>18</v>
      </c>
      <c r="N262" s="23" t="s">
        <v>40</v>
      </c>
      <c r="O262" s="23" t="s">
        <v>387</v>
      </c>
      <c r="P262" s="23" t="s">
        <v>40</v>
      </c>
      <c r="Q262" s="23" t="s">
        <v>40</v>
      </c>
      <c r="R262" s="23" t="s">
        <v>109</v>
      </c>
      <c r="S262" s="23" t="s">
        <v>40</v>
      </c>
      <c r="T262" s="23" t="s">
        <v>2114</v>
      </c>
    </row>
    <row r="263" spans="1:20" x14ac:dyDescent="0.25">
      <c r="A263" s="23" t="s">
        <v>2505</v>
      </c>
      <c r="B263" s="23" t="s">
        <v>108</v>
      </c>
      <c r="C263" s="23" t="s">
        <v>466</v>
      </c>
      <c r="D263" s="23" t="s">
        <v>2506</v>
      </c>
      <c r="E263" s="23" t="s">
        <v>2461</v>
      </c>
      <c r="F263" s="23" t="s">
        <v>40</v>
      </c>
      <c r="G263" s="23" t="s">
        <v>2507</v>
      </c>
      <c r="H263" s="23" t="s">
        <v>2508</v>
      </c>
      <c r="I263" s="23" t="s">
        <v>2509</v>
      </c>
      <c r="J263" s="23" t="s">
        <v>15</v>
      </c>
      <c r="K263" s="24" t="s">
        <v>386</v>
      </c>
      <c r="L263" s="23" t="s">
        <v>13</v>
      </c>
      <c r="M263" s="25" t="s">
        <v>18</v>
      </c>
      <c r="N263" s="23" t="s">
        <v>40</v>
      </c>
      <c r="O263" s="23" t="s">
        <v>387</v>
      </c>
      <c r="P263" s="23" t="s">
        <v>40</v>
      </c>
      <c r="Q263" s="23" t="s">
        <v>40</v>
      </c>
      <c r="R263" s="23" t="s">
        <v>109</v>
      </c>
      <c r="S263" s="23" t="s">
        <v>40</v>
      </c>
      <c r="T263" s="23" t="s">
        <v>2510</v>
      </c>
    </row>
    <row r="264" spans="1:20" x14ac:dyDescent="0.25">
      <c r="A264" s="23" t="s">
        <v>2511</v>
      </c>
      <c r="B264" s="23" t="s">
        <v>108</v>
      </c>
      <c r="C264" s="23" t="s">
        <v>466</v>
      </c>
      <c r="D264" s="23" t="s">
        <v>2512</v>
      </c>
      <c r="E264" s="23" t="s">
        <v>2513</v>
      </c>
      <c r="F264" s="23" t="s">
        <v>40</v>
      </c>
      <c r="G264" s="23" t="s">
        <v>2514</v>
      </c>
      <c r="H264" s="23" t="s">
        <v>2515</v>
      </c>
      <c r="I264" s="23" t="s">
        <v>2516</v>
      </c>
      <c r="J264" s="23" t="s">
        <v>15</v>
      </c>
      <c r="K264" s="27" t="s">
        <v>404</v>
      </c>
      <c r="L264" s="23" t="s">
        <v>405</v>
      </c>
      <c r="M264" s="25" t="s">
        <v>18</v>
      </c>
      <c r="N264" s="23" t="s">
        <v>40</v>
      </c>
      <c r="O264" s="23" t="s">
        <v>387</v>
      </c>
      <c r="P264" s="23" t="s">
        <v>40</v>
      </c>
      <c r="Q264" s="23" t="s">
        <v>40</v>
      </c>
      <c r="R264" s="23" t="s">
        <v>109</v>
      </c>
      <c r="S264" s="23" t="s">
        <v>40</v>
      </c>
      <c r="T264" s="23" t="s">
        <v>2517</v>
      </c>
    </row>
    <row r="265" spans="1:20" x14ac:dyDescent="0.25">
      <c r="A265" s="23" t="s">
        <v>2518</v>
      </c>
      <c r="B265" s="23" t="s">
        <v>108</v>
      </c>
      <c r="C265" s="23" t="s">
        <v>2519</v>
      </c>
      <c r="D265" s="23" t="s">
        <v>2520</v>
      </c>
      <c r="E265" s="23" t="s">
        <v>2461</v>
      </c>
      <c r="F265" s="23" t="s">
        <v>40</v>
      </c>
      <c r="G265" s="23" t="s">
        <v>2521</v>
      </c>
      <c r="H265" s="23" t="s">
        <v>2522</v>
      </c>
      <c r="I265" s="23" t="s">
        <v>2523</v>
      </c>
      <c r="J265" s="23" t="s">
        <v>14</v>
      </c>
      <c r="K265" s="27" t="s">
        <v>404</v>
      </c>
      <c r="L265" s="23" t="s">
        <v>490</v>
      </c>
      <c r="M265" s="25" t="s">
        <v>18</v>
      </c>
      <c r="N265" s="23" t="s">
        <v>40</v>
      </c>
      <c r="O265" s="23" t="s">
        <v>387</v>
      </c>
      <c r="P265" s="23" t="s">
        <v>40</v>
      </c>
      <c r="Q265" s="23" t="s">
        <v>40</v>
      </c>
      <c r="R265" s="23" t="s">
        <v>109</v>
      </c>
      <c r="S265" s="23" t="s">
        <v>40</v>
      </c>
      <c r="T265" s="23" t="s">
        <v>2524</v>
      </c>
    </row>
    <row r="266" spans="1:20" x14ac:dyDescent="0.25">
      <c r="A266" s="23" t="s">
        <v>2525</v>
      </c>
      <c r="B266" s="23" t="s">
        <v>108</v>
      </c>
      <c r="C266" s="23" t="s">
        <v>2363</v>
      </c>
      <c r="D266" s="23" t="s">
        <v>2526</v>
      </c>
      <c r="E266" s="23" t="s">
        <v>2527</v>
      </c>
      <c r="F266" s="23" t="s">
        <v>40</v>
      </c>
      <c r="G266" s="23" t="s">
        <v>2528</v>
      </c>
      <c r="H266" s="23" t="s">
        <v>2529</v>
      </c>
      <c r="I266" s="23" t="s">
        <v>2530</v>
      </c>
      <c r="J266" s="23" t="s">
        <v>14</v>
      </c>
      <c r="K266" s="24" t="s">
        <v>386</v>
      </c>
      <c r="L266" s="23" t="s">
        <v>405</v>
      </c>
      <c r="M266" s="25" t="s">
        <v>18</v>
      </c>
      <c r="N266" s="23" t="s">
        <v>40</v>
      </c>
      <c r="O266" s="23" t="s">
        <v>387</v>
      </c>
      <c r="P266" s="23" t="s">
        <v>40</v>
      </c>
      <c r="Q266" s="23" t="s">
        <v>40</v>
      </c>
      <c r="R266" s="23" t="s">
        <v>109</v>
      </c>
      <c r="S266" s="23" t="s">
        <v>40</v>
      </c>
      <c r="T266" s="23" t="s">
        <v>2531</v>
      </c>
    </row>
    <row r="267" spans="1:20" x14ac:dyDescent="0.25">
      <c r="A267" s="23" t="s">
        <v>2532</v>
      </c>
      <c r="B267" s="23" t="s">
        <v>108</v>
      </c>
      <c r="C267" s="23" t="s">
        <v>2166</v>
      </c>
      <c r="D267" s="23" t="s">
        <v>2533</v>
      </c>
      <c r="E267" s="23" t="s">
        <v>2534</v>
      </c>
      <c r="F267" s="23" t="s">
        <v>40</v>
      </c>
      <c r="G267" s="23" t="s">
        <v>2535</v>
      </c>
      <c r="H267" s="23" t="s">
        <v>2536</v>
      </c>
      <c r="I267" s="23" t="s">
        <v>2537</v>
      </c>
      <c r="J267" s="23" t="s">
        <v>801</v>
      </c>
      <c r="K267" s="24" t="s">
        <v>386</v>
      </c>
      <c r="L267" s="23" t="s">
        <v>405</v>
      </c>
      <c r="M267" s="25" t="s">
        <v>18</v>
      </c>
      <c r="N267" s="23" t="s">
        <v>40</v>
      </c>
      <c r="O267" s="23" t="s">
        <v>387</v>
      </c>
      <c r="P267" s="23" t="s">
        <v>40</v>
      </c>
      <c r="Q267" s="23" t="s">
        <v>40</v>
      </c>
      <c r="R267" s="23" t="s">
        <v>109</v>
      </c>
      <c r="S267" s="23" t="s">
        <v>40</v>
      </c>
      <c r="T267" s="23" t="s">
        <v>2538</v>
      </c>
    </row>
    <row r="268" spans="1:20" x14ac:dyDescent="0.25">
      <c r="A268" s="23" t="s">
        <v>2539</v>
      </c>
      <c r="B268" s="23" t="s">
        <v>108</v>
      </c>
      <c r="C268" s="23" t="s">
        <v>2188</v>
      </c>
      <c r="D268" s="23" t="s">
        <v>2540</v>
      </c>
      <c r="E268" s="23" t="s">
        <v>2541</v>
      </c>
      <c r="F268" s="23" t="s">
        <v>40</v>
      </c>
      <c r="G268" s="23" t="s">
        <v>2542</v>
      </c>
      <c r="H268" s="23" t="s">
        <v>2543</v>
      </c>
      <c r="I268" s="23" t="s">
        <v>2544</v>
      </c>
      <c r="J268" s="23" t="s">
        <v>14</v>
      </c>
      <c r="K268" s="24" t="s">
        <v>386</v>
      </c>
      <c r="L268" s="23" t="s">
        <v>405</v>
      </c>
      <c r="M268" s="25" t="s">
        <v>18</v>
      </c>
      <c r="N268" s="23" t="s">
        <v>40</v>
      </c>
      <c r="O268" s="23" t="s">
        <v>387</v>
      </c>
      <c r="P268" s="23" t="s">
        <v>40</v>
      </c>
      <c r="Q268" s="23" t="s">
        <v>40</v>
      </c>
      <c r="R268" s="23" t="s">
        <v>109</v>
      </c>
      <c r="S268" s="23" t="s">
        <v>40</v>
      </c>
      <c r="T268" s="23" t="s">
        <v>40</v>
      </c>
    </row>
    <row r="269" spans="1:20" x14ac:dyDescent="0.25">
      <c r="A269" s="23" t="s">
        <v>2545</v>
      </c>
      <c r="B269" s="23" t="s">
        <v>108</v>
      </c>
      <c r="C269" s="23" t="s">
        <v>2188</v>
      </c>
      <c r="D269" s="23" t="s">
        <v>2546</v>
      </c>
      <c r="E269" s="23" t="s">
        <v>2547</v>
      </c>
      <c r="F269" s="23" t="s">
        <v>40</v>
      </c>
      <c r="G269" s="23" t="s">
        <v>2542</v>
      </c>
      <c r="H269" s="23" t="s">
        <v>2548</v>
      </c>
      <c r="I269" s="23" t="s">
        <v>2549</v>
      </c>
      <c r="J269" s="23" t="s">
        <v>15</v>
      </c>
      <c r="K269" s="24" t="s">
        <v>386</v>
      </c>
      <c r="L269" s="23" t="s">
        <v>13</v>
      </c>
      <c r="M269" s="25" t="s">
        <v>18</v>
      </c>
      <c r="N269" s="23" t="s">
        <v>40</v>
      </c>
      <c r="O269" s="23" t="s">
        <v>387</v>
      </c>
      <c r="P269" s="23" t="s">
        <v>40</v>
      </c>
      <c r="Q269" s="23" t="s">
        <v>40</v>
      </c>
      <c r="R269" s="23" t="s">
        <v>109</v>
      </c>
      <c r="S269" s="23" t="s">
        <v>40</v>
      </c>
      <c r="T269" s="23" t="s">
        <v>2550</v>
      </c>
    </row>
    <row r="270" spans="1:20" x14ac:dyDescent="0.25">
      <c r="A270" s="23" t="s">
        <v>2551</v>
      </c>
      <c r="B270" s="23" t="s">
        <v>108</v>
      </c>
      <c r="C270" s="23" t="s">
        <v>951</v>
      </c>
      <c r="D270" s="23" t="s">
        <v>2552</v>
      </c>
      <c r="E270" s="23" t="s">
        <v>2461</v>
      </c>
      <c r="F270" s="23" t="s">
        <v>40</v>
      </c>
      <c r="G270" s="23" t="s">
        <v>2553</v>
      </c>
      <c r="H270" s="23" t="s">
        <v>2554</v>
      </c>
      <c r="I270" s="23" t="s">
        <v>2555</v>
      </c>
      <c r="J270" s="23" t="s">
        <v>14</v>
      </c>
      <c r="K270" s="27" t="s">
        <v>404</v>
      </c>
      <c r="L270" s="23" t="s">
        <v>490</v>
      </c>
      <c r="M270" s="25" t="s">
        <v>18</v>
      </c>
      <c r="N270" s="23" t="s">
        <v>40</v>
      </c>
      <c r="O270" s="23" t="s">
        <v>387</v>
      </c>
      <c r="P270" s="23" t="s">
        <v>40</v>
      </c>
      <c r="Q270" s="23" t="s">
        <v>40</v>
      </c>
      <c r="R270" s="23" t="s">
        <v>109</v>
      </c>
      <c r="S270" s="23" t="s">
        <v>40</v>
      </c>
      <c r="T270" s="23" t="s">
        <v>2556</v>
      </c>
    </row>
    <row r="271" spans="1:20" x14ac:dyDescent="0.25">
      <c r="A271" s="23" t="s">
        <v>2557</v>
      </c>
      <c r="B271" s="23" t="s">
        <v>108</v>
      </c>
      <c r="C271" s="23" t="s">
        <v>801</v>
      </c>
      <c r="D271" s="23" t="s">
        <v>2558</v>
      </c>
      <c r="E271" s="23" t="s">
        <v>2559</v>
      </c>
      <c r="F271" s="23" t="s">
        <v>40</v>
      </c>
      <c r="G271" s="23" t="s">
        <v>2560</v>
      </c>
      <c r="H271" s="23" t="s">
        <v>2561</v>
      </c>
      <c r="I271" s="23" t="s">
        <v>2562</v>
      </c>
      <c r="J271" s="23" t="s">
        <v>801</v>
      </c>
      <c r="K271" s="26" t="s">
        <v>396</v>
      </c>
      <c r="L271" s="23" t="s">
        <v>13</v>
      </c>
      <c r="M271" s="28" t="s">
        <v>16</v>
      </c>
      <c r="N271" s="23" t="s">
        <v>1457</v>
      </c>
      <c r="O271" s="29" t="s">
        <v>87</v>
      </c>
      <c r="P271" s="23" t="s">
        <v>40</v>
      </c>
      <c r="Q271" s="23" t="s">
        <v>40</v>
      </c>
      <c r="R271" s="23" t="s">
        <v>109</v>
      </c>
      <c r="S271" s="23" t="s">
        <v>40</v>
      </c>
      <c r="T271" s="23" t="s">
        <v>40</v>
      </c>
    </row>
    <row r="272" spans="1:20" x14ac:dyDescent="0.25">
      <c r="A272" s="23" t="s">
        <v>2563</v>
      </c>
      <c r="B272" s="23" t="s">
        <v>108</v>
      </c>
      <c r="C272" s="23" t="s">
        <v>525</v>
      </c>
      <c r="D272" s="23" t="s">
        <v>2564</v>
      </c>
      <c r="E272" s="23" t="s">
        <v>647</v>
      </c>
      <c r="F272" s="23" t="s">
        <v>40</v>
      </c>
      <c r="G272" s="23" t="s">
        <v>864</v>
      </c>
      <c r="H272" s="23" t="s">
        <v>865</v>
      </c>
      <c r="I272" s="23" t="s">
        <v>1963</v>
      </c>
      <c r="J272" s="23" t="s">
        <v>525</v>
      </c>
      <c r="K272" s="24" t="s">
        <v>386</v>
      </c>
      <c r="L272" s="23" t="s">
        <v>405</v>
      </c>
      <c r="M272" s="25" t="s">
        <v>18</v>
      </c>
      <c r="N272" s="23" t="s">
        <v>40</v>
      </c>
      <c r="O272" s="23" t="s">
        <v>387</v>
      </c>
      <c r="P272" s="23" t="s">
        <v>40</v>
      </c>
      <c r="Q272" s="23" t="s">
        <v>40</v>
      </c>
      <c r="R272" s="23" t="s">
        <v>109</v>
      </c>
      <c r="S272" s="23" t="s">
        <v>2565</v>
      </c>
      <c r="T272" s="23" t="s">
        <v>40</v>
      </c>
    </row>
    <row r="273" spans="1:20" x14ac:dyDescent="0.25">
      <c r="A273" s="23" t="s">
        <v>2566</v>
      </c>
      <c r="B273" s="23" t="s">
        <v>110</v>
      </c>
      <c r="C273" s="23" t="s">
        <v>944</v>
      </c>
      <c r="D273" s="23" t="s">
        <v>2567</v>
      </c>
      <c r="E273" s="23" t="s">
        <v>589</v>
      </c>
      <c r="F273" s="23" t="s">
        <v>40</v>
      </c>
      <c r="G273" s="23" t="s">
        <v>2568</v>
      </c>
      <c r="H273" s="23" t="s">
        <v>2569</v>
      </c>
      <c r="I273" s="23" t="s">
        <v>2570</v>
      </c>
      <c r="J273" s="23" t="s">
        <v>385</v>
      </c>
      <c r="K273" s="24" t="s">
        <v>386</v>
      </c>
      <c r="L273" s="23" t="s">
        <v>13</v>
      </c>
      <c r="M273" s="31" t="s">
        <v>17</v>
      </c>
      <c r="N273" s="23" t="s">
        <v>2571</v>
      </c>
      <c r="O273" s="29" t="s">
        <v>87</v>
      </c>
      <c r="P273" s="23" t="s">
        <v>40</v>
      </c>
      <c r="Q273" s="23" t="s">
        <v>40</v>
      </c>
      <c r="R273" s="23" t="s">
        <v>111</v>
      </c>
      <c r="S273" s="23" t="s">
        <v>40</v>
      </c>
      <c r="T273" s="23" t="s">
        <v>40</v>
      </c>
    </row>
    <row r="274" spans="1:20" x14ac:dyDescent="0.25">
      <c r="A274" s="23" t="s">
        <v>2572</v>
      </c>
      <c r="B274" s="23" t="s">
        <v>110</v>
      </c>
      <c r="C274" s="23" t="s">
        <v>2573</v>
      </c>
      <c r="D274" s="23" t="s">
        <v>2574</v>
      </c>
      <c r="E274" s="23" t="s">
        <v>2575</v>
      </c>
      <c r="F274" s="23" t="s">
        <v>2576</v>
      </c>
      <c r="G274" s="23" t="s">
        <v>2577</v>
      </c>
      <c r="H274" s="23" t="s">
        <v>2578</v>
      </c>
      <c r="I274" s="23" t="s">
        <v>2579</v>
      </c>
      <c r="J274" s="23" t="s">
        <v>14</v>
      </c>
      <c r="K274" s="26" t="s">
        <v>396</v>
      </c>
      <c r="L274" s="23" t="s">
        <v>13</v>
      </c>
      <c r="M274" s="28" t="s">
        <v>16</v>
      </c>
      <c r="N274" s="23" t="s">
        <v>2580</v>
      </c>
      <c r="O274" s="29" t="s">
        <v>87</v>
      </c>
      <c r="P274" s="23" t="s">
        <v>40</v>
      </c>
      <c r="Q274" s="23" t="s">
        <v>40</v>
      </c>
      <c r="R274" s="23" t="s">
        <v>111</v>
      </c>
      <c r="S274" s="23" t="s">
        <v>40</v>
      </c>
      <c r="T274" s="23" t="s">
        <v>40</v>
      </c>
    </row>
    <row r="275" spans="1:20" x14ac:dyDescent="0.25">
      <c r="A275" s="23" t="s">
        <v>2581</v>
      </c>
      <c r="B275" s="23" t="s">
        <v>110</v>
      </c>
      <c r="C275" s="23" t="s">
        <v>2573</v>
      </c>
      <c r="D275" s="23" t="s">
        <v>2582</v>
      </c>
      <c r="E275" s="23" t="s">
        <v>2583</v>
      </c>
      <c r="F275" s="23" t="s">
        <v>40</v>
      </c>
      <c r="G275" s="23" t="s">
        <v>2584</v>
      </c>
      <c r="H275" s="23" t="s">
        <v>2585</v>
      </c>
      <c r="I275" s="23" t="s">
        <v>2586</v>
      </c>
      <c r="J275" s="23" t="s">
        <v>14</v>
      </c>
      <c r="K275" s="24" t="s">
        <v>386</v>
      </c>
      <c r="L275" s="23" t="s">
        <v>405</v>
      </c>
      <c r="M275" s="25" t="s">
        <v>18</v>
      </c>
      <c r="N275" s="23" t="s">
        <v>40</v>
      </c>
      <c r="O275" s="23" t="s">
        <v>387</v>
      </c>
      <c r="P275" s="23" t="s">
        <v>40</v>
      </c>
      <c r="Q275" s="23" t="s">
        <v>40</v>
      </c>
      <c r="R275" s="23" t="s">
        <v>111</v>
      </c>
      <c r="S275" s="23" t="s">
        <v>40</v>
      </c>
      <c r="T275" s="23" t="s">
        <v>40</v>
      </c>
    </row>
    <row r="276" spans="1:20" x14ac:dyDescent="0.25">
      <c r="A276" s="23" t="s">
        <v>2587</v>
      </c>
      <c r="B276" s="23" t="s">
        <v>110</v>
      </c>
      <c r="C276" s="23" t="s">
        <v>461</v>
      </c>
      <c r="D276" s="23" t="s">
        <v>2588</v>
      </c>
      <c r="E276" s="23" t="s">
        <v>2583</v>
      </c>
      <c r="F276" s="23" t="s">
        <v>40</v>
      </c>
      <c r="G276" s="23" t="s">
        <v>2589</v>
      </c>
      <c r="H276" s="23" t="s">
        <v>2590</v>
      </c>
      <c r="I276" s="23" t="s">
        <v>2591</v>
      </c>
      <c r="J276" s="23" t="s">
        <v>466</v>
      </c>
      <c r="K276" s="24" t="s">
        <v>386</v>
      </c>
      <c r="L276" s="23" t="s">
        <v>13</v>
      </c>
      <c r="M276" s="25" t="s">
        <v>18</v>
      </c>
      <c r="N276" s="23" t="s">
        <v>40</v>
      </c>
      <c r="O276" s="23" t="s">
        <v>387</v>
      </c>
      <c r="P276" s="23" t="s">
        <v>40</v>
      </c>
      <c r="Q276" s="23" t="s">
        <v>40</v>
      </c>
      <c r="R276" s="23" t="s">
        <v>111</v>
      </c>
      <c r="S276" s="23" t="s">
        <v>40</v>
      </c>
      <c r="T276" s="23" t="s">
        <v>40</v>
      </c>
    </row>
    <row r="277" spans="1:20" x14ac:dyDescent="0.25">
      <c r="A277" s="23" t="s">
        <v>2592</v>
      </c>
      <c r="B277" s="23" t="s">
        <v>110</v>
      </c>
      <c r="C277" s="23" t="s">
        <v>461</v>
      </c>
      <c r="D277" s="23" t="s">
        <v>2593</v>
      </c>
      <c r="E277" s="23" t="s">
        <v>2583</v>
      </c>
      <c r="F277" s="23" t="s">
        <v>40</v>
      </c>
      <c r="G277" s="23" t="s">
        <v>2594</v>
      </c>
      <c r="H277" s="23" t="s">
        <v>2595</v>
      </c>
      <c r="I277" s="23" t="s">
        <v>2591</v>
      </c>
      <c r="J277" s="23" t="s">
        <v>466</v>
      </c>
      <c r="K277" s="24" t="s">
        <v>386</v>
      </c>
      <c r="L277" s="23" t="s">
        <v>13</v>
      </c>
      <c r="M277" s="25" t="s">
        <v>18</v>
      </c>
      <c r="N277" s="23" t="s">
        <v>40</v>
      </c>
      <c r="O277" s="23" t="s">
        <v>387</v>
      </c>
      <c r="P277" s="23" t="s">
        <v>40</v>
      </c>
      <c r="Q277" s="23" t="s">
        <v>40</v>
      </c>
      <c r="R277" s="23" t="s">
        <v>111</v>
      </c>
      <c r="S277" s="23" t="s">
        <v>40</v>
      </c>
      <c r="T277" s="23" t="s">
        <v>40</v>
      </c>
    </row>
    <row r="278" spans="1:20" x14ac:dyDescent="0.25">
      <c r="A278" s="23" t="s">
        <v>2596</v>
      </c>
      <c r="B278" s="23" t="s">
        <v>110</v>
      </c>
      <c r="C278" s="23" t="s">
        <v>461</v>
      </c>
      <c r="D278" s="23" t="s">
        <v>2597</v>
      </c>
      <c r="E278" s="23" t="s">
        <v>2583</v>
      </c>
      <c r="F278" s="23" t="s">
        <v>40</v>
      </c>
      <c r="G278" s="23" t="s">
        <v>2598</v>
      </c>
      <c r="H278" s="23" t="s">
        <v>2599</v>
      </c>
      <c r="I278" s="23" t="s">
        <v>2600</v>
      </c>
      <c r="J278" s="23" t="s">
        <v>466</v>
      </c>
      <c r="K278" s="24" t="s">
        <v>386</v>
      </c>
      <c r="L278" s="23" t="s">
        <v>13</v>
      </c>
      <c r="M278" s="25" t="s">
        <v>18</v>
      </c>
      <c r="N278" s="23" t="s">
        <v>40</v>
      </c>
      <c r="O278" s="23" t="s">
        <v>387</v>
      </c>
      <c r="P278" s="23" t="s">
        <v>40</v>
      </c>
      <c r="Q278" s="23" t="s">
        <v>40</v>
      </c>
      <c r="R278" s="23" t="s">
        <v>111</v>
      </c>
      <c r="S278" s="23" t="s">
        <v>40</v>
      </c>
      <c r="T278" s="23" t="s">
        <v>40</v>
      </c>
    </row>
    <row r="279" spans="1:20" x14ac:dyDescent="0.25">
      <c r="A279" s="23" t="s">
        <v>2601</v>
      </c>
      <c r="B279" s="23" t="s">
        <v>110</v>
      </c>
      <c r="C279" s="23" t="s">
        <v>466</v>
      </c>
      <c r="D279" s="23" t="s">
        <v>2602</v>
      </c>
      <c r="E279" s="23" t="s">
        <v>2583</v>
      </c>
      <c r="F279" s="23" t="s">
        <v>40</v>
      </c>
      <c r="G279" s="23" t="s">
        <v>2603</v>
      </c>
      <c r="H279" s="23" t="s">
        <v>2604</v>
      </c>
      <c r="I279" s="23" t="s">
        <v>2605</v>
      </c>
      <c r="J279" s="23" t="s">
        <v>15</v>
      </c>
      <c r="K279" s="24" t="s">
        <v>386</v>
      </c>
      <c r="L279" s="23" t="s">
        <v>13</v>
      </c>
      <c r="M279" s="25" t="s">
        <v>18</v>
      </c>
      <c r="N279" s="23" t="s">
        <v>40</v>
      </c>
      <c r="O279" s="23" t="s">
        <v>387</v>
      </c>
      <c r="P279" s="23" t="s">
        <v>40</v>
      </c>
      <c r="Q279" s="23" t="s">
        <v>40</v>
      </c>
      <c r="R279" s="23" t="s">
        <v>111</v>
      </c>
      <c r="S279" s="23" t="s">
        <v>40</v>
      </c>
      <c r="T279" s="23" t="s">
        <v>40</v>
      </c>
    </row>
    <row r="280" spans="1:20" x14ac:dyDescent="0.25">
      <c r="A280" s="23" t="s">
        <v>2606</v>
      </c>
      <c r="B280" s="23" t="s">
        <v>110</v>
      </c>
      <c r="C280" s="23" t="s">
        <v>466</v>
      </c>
      <c r="D280" s="23" t="s">
        <v>2607</v>
      </c>
      <c r="E280" s="23" t="s">
        <v>2583</v>
      </c>
      <c r="F280" s="23" t="s">
        <v>40</v>
      </c>
      <c r="G280" s="23" t="s">
        <v>2608</v>
      </c>
      <c r="H280" s="23" t="s">
        <v>2609</v>
      </c>
      <c r="I280" s="23" t="s">
        <v>2610</v>
      </c>
      <c r="J280" s="23" t="s">
        <v>15</v>
      </c>
      <c r="K280" s="24" t="s">
        <v>386</v>
      </c>
      <c r="L280" s="23" t="s">
        <v>13</v>
      </c>
      <c r="M280" s="25" t="s">
        <v>18</v>
      </c>
      <c r="N280" s="23" t="s">
        <v>40</v>
      </c>
      <c r="O280" s="23" t="s">
        <v>387</v>
      </c>
      <c r="P280" s="23" t="s">
        <v>40</v>
      </c>
      <c r="Q280" s="23" t="s">
        <v>40</v>
      </c>
      <c r="R280" s="23" t="s">
        <v>111</v>
      </c>
      <c r="S280" s="23" t="s">
        <v>40</v>
      </c>
      <c r="T280" s="23" t="s">
        <v>40</v>
      </c>
    </row>
    <row r="281" spans="1:20" x14ac:dyDescent="0.25">
      <c r="A281" s="23" t="s">
        <v>2611</v>
      </c>
      <c r="B281" s="23" t="s">
        <v>110</v>
      </c>
      <c r="C281" s="23" t="s">
        <v>466</v>
      </c>
      <c r="D281" s="23" t="s">
        <v>2612</v>
      </c>
      <c r="E281" s="23" t="s">
        <v>2583</v>
      </c>
      <c r="F281" s="23" t="s">
        <v>40</v>
      </c>
      <c r="G281" s="23" t="s">
        <v>2613</v>
      </c>
      <c r="H281" s="23" t="s">
        <v>2614</v>
      </c>
      <c r="I281" s="23" t="s">
        <v>2615</v>
      </c>
      <c r="J281" s="23" t="s">
        <v>489</v>
      </c>
      <c r="K281" s="27" t="s">
        <v>404</v>
      </c>
      <c r="L281" s="23" t="s">
        <v>490</v>
      </c>
      <c r="M281" s="25" t="s">
        <v>18</v>
      </c>
      <c r="N281" s="23" t="s">
        <v>40</v>
      </c>
      <c r="O281" s="23" t="s">
        <v>387</v>
      </c>
      <c r="P281" s="23" t="s">
        <v>40</v>
      </c>
      <c r="Q281" s="23" t="s">
        <v>40</v>
      </c>
      <c r="R281" s="23" t="s">
        <v>111</v>
      </c>
      <c r="S281" s="23" t="s">
        <v>40</v>
      </c>
      <c r="T281" s="23" t="s">
        <v>40</v>
      </c>
    </row>
    <row r="282" spans="1:20" x14ac:dyDescent="0.25">
      <c r="A282" s="23" t="s">
        <v>2616</v>
      </c>
      <c r="B282" s="23" t="s">
        <v>110</v>
      </c>
      <c r="C282" s="23" t="s">
        <v>466</v>
      </c>
      <c r="D282" s="23" t="s">
        <v>2617</v>
      </c>
      <c r="E282" s="23" t="s">
        <v>2583</v>
      </c>
      <c r="F282" s="23" t="s">
        <v>40</v>
      </c>
      <c r="G282" s="23" t="s">
        <v>2618</v>
      </c>
      <c r="H282" s="23" t="s">
        <v>2619</v>
      </c>
      <c r="I282" s="23" t="s">
        <v>2620</v>
      </c>
      <c r="J282" s="23" t="s">
        <v>489</v>
      </c>
      <c r="K282" s="27" t="s">
        <v>404</v>
      </c>
      <c r="L282" s="23" t="s">
        <v>405</v>
      </c>
      <c r="M282" s="25" t="s">
        <v>18</v>
      </c>
      <c r="N282" s="23" t="s">
        <v>40</v>
      </c>
      <c r="O282" s="23" t="s">
        <v>387</v>
      </c>
      <c r="P282" s="23" t="s">
        <v>40</v>
      </c>
      <c r="Q282" s="23" t="s">
        <v>40</v>
      </c>
      <c r="R282" s="23" t="s">
        <v>111</v>
      </c>
      <c r="S282" s="23" t="s">
        <v>40</v>
      </c>
      <c r="T282" s="23" t="s">
        <v>40</v>
      </c>
    </row>
    <row r="283" spans="1:20" x14ac:dyDescent="0.25">
      <c r="A283" s="23" t="s">
        <v>2621</v>
      </c>
      <c r="B283" s="23" t="s">
        <v>110</v>
      </c>
      <c r="C283" s="23" t="s">
        <v>1345</v>
      </c>
      <c r="D283" s="23" t="s">
        <v>2622</v>
      </c>
      <c r="E283" s="23" t="s">
        <v>2623</v>
      </c>
      <c r="F283" s="23" t="s">
        <v>40</v>
      </c>
      <c r="G283" s="23" t="s">
        <v>2624</v>
      </c>
      <c r="H283" s="23" t="s">
        <v>2625</v>
      </c>
      <c r="I283" s="23" t="s">
        <v>2626</v>
      </c>
      <c r="J283" s="23" t="s">
        <v>15</v>
      </c>
      <c r="K283" s="24" t="s">
        <v>386</v>
      </c>
      <c r="L283" s="23" t="s">
        <v>13</v>
      </c>
      <c r="M283" s="25" t="s">
        <v>18</v>
      </c>
      <c r="N283" s="23" t="s">
        <v>40</v>
      </c>
      <c r="O283" s="23" t="s">
        <v>387</v>
      </c>
      <c r="P283" s="23" t="s">
        <v>40</v>
      </c>
      <c r="Q283" s="23" t="s">
        <v>40</v>
      </c>
      <c r="R283" s="23" t="s">
        <v>111</v>
      </c>
      <c r="S283" s="23" t="s">
        <v>2627</v>
      </c>
      <c r="T283" s="23" t="s">
        <v>40</v>
      </c>
    </row>
    <row r="284" spans="1:20" x14ac:dyDescent="0.25">
      <c r="A284" s="23" t="s">
        <v>2628</v>
      </c>
      <c r="B284" s="23" t="s">
        <v>110</v>
      </c>
      <c r="C284" s="23" t="s">
        <v>1345</v>
      </c>
      <c r="D284" s="23" t="s">
        <v>2629</v>
      </c>
      <c r="E284" s="23" t="s">
        <v>2630</v>
      </c>
      <c r="F284" s="23" t="s">
        <v>40</v>
      </c>
      <c r="G284" s="23" t="s">
        <v>2631</v>
      </c>
      <c r="H284" s="23" t="s">
        <v>2632</v>
      </c>
      <c r="I284" s="23" t="s">
        <v>2633</v>
      </c>
      <c r="J284" s="23" t="s">
        <v>14</v>
      </c>
      <c r="K284" s="27" t="s">
        <v>404</v>
      </c>
      <c r="L284" s="23" t="s">
        <v>490</v>
      </c>
      <c r="M284" s="25" t="s">
        <v>18</v>
      </c>
      <c r="N284" s="23" t="s">
        <v>40</v>
      </c>
      <c r="O284" s="23" t="s">
        <v>387</v>
      </c>
      <c r="P284" s="23" t="s">
        <v>40</v>
      </c>
      <c r="Q284" s="23" t="s">
        <v>40</v>
      </c>
      <c r="R284" s="23" t="s">
        <v>111</v>
      </c>
      <c r="S284" s="23" t="s">
        <v>40</v>
      </c>
      <c r="T284" s="23" t="s">
        <v>40</v>
      </c>
    </row>
    <row r="285" spans="1:20" x14ac:dyDescent="0.25">
      <c r="A285" s="23" t="s">
        <v>2634</v>
      </c>
      <c r="B285" s="23" t="s">
        <v>110</v>
      </c>
      <c r="C285" s="23" t="s">
        <v>2635</v>
      </c>
      <c r="D285" s="23" t="s">
        <v>2636</v>
      </c>
      <c r="E285" s="23" t="s">
        <v>2583</v>
      </c>
      <c r="F285" s="23" t="s">
        <v>40</v>
      </c>
      <c r="G285" s="23" t="s">
        <v>2637</v>
      </c>
      <c r="H285" s="23" t="s">
        <v>2638</v>
      </c>
      <c r="I285" s="23" t="s">
        <v>2639</v>
      </c>
      <c r="J285" s="23" t="s">
        <v>385</v>
      </c>
      <c r="K285" s="32" t="s">
        <v>747</v>
      </c>
      <c r="L285" s="23" t="s">
        <v>490</v>
      </c>
      <c r="M285" s="25" t="s">
        <v>18</v>
      </c>
      <c r="N285" s="23" t="s">
        <v>40</v>
      </c>
      <c r="O285" s="23" t="s">
        <v>387</v>
      </c>
      <c r="P285" s="23" t="s">
        <v>40</v>
      </c>
      <c r="Q285" s="23" t="s">
        <v>40</v>
      </c>
      <c r="R285" s="23" t="s">
        <v>111</v>
      </c>
      <c r="S285" s="23" t="s">
        <v>40</v>
      </c>
      <c r="T285" s="23" t="s">
        <v>40</v>
      </c>
    </row>
    <row r="286" spans="1:20" x14ac:dyDescent="0.25">
      <c r="A286" s="23" t="s">
        <v>2640</v>
      </c>
      <c r="B286" s="23" t="s">
        <v>110</v>
      </c>
      <c r="C286" s="23" t="s">
        <v>951</v>
      </c>
      <c r="D286" s="23" t="s">
        <v>2641</v>
      </c>
      <c r="E286" s="23" t="s">
        <v>2583</v>
      </c>
      <c r="F286" s="23" t="s">
        <v>40</v>
      </c>
      <c r="G286" s="23" t="s">
        <v>2642</v>
      </c>
      <c r="H286" s="23" t="s">
        <v>2643</v>
      </c>
      <c r="I286" s="23" t="s">
        <v>2644</v>
      </c>
      <c r="J286" s="23" t="s">
        <v>14</v>
      </c>
      <c r="K286" s="24" t="s">
        <v>386</v>
      </c>
      <c r="L286" s="23" t="s">
        <v>405</v>
      </c>
      <c r="M286" s="25" t="s">
        <v>18</v>
      </c>
      <c r="N286" s="23" t="s">
        <v>40</v>
      </c>
      <c r="O286" s="23" t="s">
        <v>387</v>
      </c>
      <c r="P286" s="23" t="s">
        <v>40</v>
      </c>
      <c r="Q286" s="23" t="s">
        <v>40</v>
      </c>
      <c r="R286" s="23" t="s">
        <v>111</v>
      </c>
      <c r="S286" s="23" t="s">
        <v>40</v>
      </c>
      <c r="T286" s="23" t="s">
        <v>40</v>
      </c>
    </row>
    <row r="287" spans="1:20" x14ac:dyDescent="0.25">
      <c r="A287" s="23" t="s">
        <v>2645</v>
      </c>
      <c r="B287" s="23" t="s">
        <v>110</v>
      </c>
      <c r="C287" s="23" t="s">
        <v>951</v>
      </c>
      <c r="D287" s="23" t="s">
        <v>2646</v>
      </c>
      <c r="E287" s="23" t="s">
        <v>2583</v>
      </c>
      <c r="F287" s="23" t="s">
        <v>40</v>
      </c>
      <c r="G287" s="23" t="s">
        <v>2647</v>
      </c>
      <c r="H287" s="23" t="s">
        <v>2648</v>
      </c>
      <c r="I287" s="23" t="s">
        <v>2649</v>
      </c>
      <c r="J287" s="23" t="s">
        <v>14</v>
      </c>
      <c r="K287" s="24" t="s">
        <v>386</v>
      </c>
      <c r="L287" s="23" t="s">
        <v>405</v>
      </c>
      <c r="M287" s="28" t="s">
        <v>16</v>
      </c>
      <c r="N287" s="23" t="s">
        <v>2580</v>
      </c>
      <c r="O287" s="29" t="s">
        <v>87</v>
      </c>
      <c r="P287" s="23" t="s">
        <v>40</v>
      </c>
      <c r="Q287" s="23" t="s">
        <v>40</v>
      </c>
      <c r="R287" s="23" t="s">
        <v>111</v>
      </c>
      <c r="S287" s="23" t="s">
        <v>40</v>
      </c>
      <c r="T287" s="23" t="s">
        <v>40</v>
      </c>
    </row>
    <row r="288" spans="1:20" x14ac:dyDescent="0.25">
      <c r="A288" s="23" t="s">
        <v>2650</v>
      </c>
      <c r="B288" s="23" t="s">
        <v>110</v>
      </c>
      <c r="C288" s="23" t="s">
        <v>2651</v>
      </c>
      <c r="D288" s="23" t="s">
        <v>2652</v>
      </c>
      <c r="E288" s="23" t="s">
        <v>2653</v>
      </c>
      <c r="F288" s="23" t="s">
        <v>40</v>
      </c>
      <c r="G288" s="23" t="s">
        <v>2654</v>
      </c>
      <c r="H288" s="23" t="s">
        <v>2655</v>
      </c>
      <c r="I288" s="23" t="s">
        <v>2656</v>
      </c>
      <c r="J288" s="23" t="s">
        <v>563</v>
      </c>
      <c r="K288" s="26" t="s">
        <v>396</v>
      </c>
      <c r="L288" s="23" t="s">
        <v>13</v>
      </c>
      <c r="M288" s="25" t="s">
        <v>18</v>
      </c>
      <c r="N288" s="23" t="s">
        <v>40</v>
      </c>
      <c r="O288" s="23" t="s">
        <v>387</v>
      </c>
      <c r="P288" s="23" t="s">
        <v>40</v>
      </c>
      <c r="Q288" s="23" t="s">
        <v>40</v>
      </c>
      <c r="R288" s="23" t="s">
        <v>111</v>
      </c>
      <c r="S288" s="23" t="s">
        <v>40</v>
      </c>
      <c r="T288" s="23" t="s">
        <v>40</v>
      </c>
    </row>
    <row r="289" spans="1:20" x14ac:dyDescent="0.25">
      <c r="A289" s="23" t="s">
        <v>2657</v>
      </c>
      <c r="B289" s="23" t="s">
        <v>110</v>
      </c>
      <c r="C289" s="23" t="s">
        <v>2651</v>
      </c>
      <c r="D289" s="23" t="s">
        <v>2658</v>
      </c>
      <c r="E289" s="23" t="s">
        <v>2659</v>
      </c>
      <c r="F289" s="23" t="s">
        <v>40</v>
      </c>
      <c r="G289" s="23" t="s">
        <v>2660</v>
      </c>
      <c r="H289" s="23" t="s">
        <v>2661</v>
      </c>
      <c r="I289" s="23" t="s">
        <v>2662</v>
      </c>
      <c r="J289" s="23" t="s">
        <v>14</v>
      </c>
      <c r="K289" s="24" t="s">
        <v>386</v>
      </c>
      <c r="L289" s="23" t="s">
        <v>405</v>
      </c>
      <c r="M289" s="25" t="s">
        <v>18</v>
      </c>
      <c r="N289" s="23" t="s">
        <v>40</v>
      </c>
      <c r="O289" s="23" t="s">
        <v>387</v>
      </c>
      <c r="P289" s="23" t="s">
        <v>40</v>
      </c>
      <c r="Q289" s="23" t="s">
        <v>40</v>
      </c>
      <c r="R289" s="23" t="s">
        <v>111</v>
      </c>
      <c r="S289" s="23" t="s">
        <v>40</v>
      </c>
      <c r="T289" s="23" t="s">
        <v>40</v>
      </c>
    </row>
    <row r="290" spans="1:20" x14ac:dyDescent="0.25">
      <c r="A290" s="23" t="s">
        <v>2663</v>
      </c>
      <c r="B290" s="23" t="s">
        <v>110</v>
      </c>
      <c r="C290" s="23" t="s">
        <v>2651</v>
      </c>
      <c r="D290" s="23" t="s">
        <v>2664</v>
      </c>
      <c r="E290" s="23" t="s">
        <v>2665</v>
      </c>
      <c r="F290" s="23" t="s">
        <v>40</v>
      </c>
      <c r="G290" s="23" t="s">
        <v>2666</v>
      </c>
      <c r="H290" s="23" t="s">
        <v>2667</v>
      </c>
      <c r="I290" s="23" t="s">
        <v>2668</v>
      </c>
      <c r="J290" s="23" t="s">
        <v>14</v>
      </c>
      <c r="K290" s="24" t="s">
        <v>386</v>
      </c>
      <c r="L290" s="23" t="s">
        <v>405</v>
      </c>
      <c r="M290" s="25" t="s">
        <v>18</v>
      </c>
      <c r="N290" s="23" t="s">
        <v>40</v>
      </c>
      <c r="O290" s="23" t="s">
        <v>387</v>
      </c>
      <c r="P290" s="23" t="s">
        <v>40</v>
      </c>
      <c r="Q290" s="23" t="s">
        <v>40</v>
      </c>
      <c r="R290" s="23" t="s">
        <v>111</v>
      </c>
      <c r="S290" s="23" t="s">
        <v>40</v>
      </c>
      <c r="T290" s="23" t="s">
        <v>40</v>
      </c>
    </row>
    <row r="291" spans="1:20" x14ac:dyDescent="0.25">
      <c r="A291" s="23" t="s">
        <v>2669</v>
      </c>
      <c r="B291" s="23" t="s">
        <v>110</v>
      </c>
      <c r="C291" s="23" t="s">
        <v>2651</v>
      </c>
      <c r="D291" s="23" t="s">
        <v>2670</v>
      </c>
      <c r="E291" s="23" t="s">
        <v>2671</v>
      </c>
      <c r="F291" s="23" t="s">
        <v>40</v>
      </c>
      <c r="G291" s="23" t="s">
        <v>2672</v>
      </c>
      <c r="H291" s="23" t="s">
        <v>2673</v>
      </c>
      <c r="I291" s="23" t="s">
        <v>2674</v>
      </c>
      <c r="J291" s="23" t="s">
        <v>489</v>
      </c>
      <c r="K291" s="27" t="s">
        <v>404</v>
      </c>
      <c r="L291" s="23" t="s">
        <v>490</v>
      </c>
      <c r="M291" s="25" t="s">
        <v>18</v>
      </c>
      <c r="N291" s="23" t="s">
        <v>40</v>
      </c>
      <c r="O291" s="23" t="s">
        <v>387</v>
      </c>
      <c r="P291" s="23" t="s">
        <v>40</v>
      </c>
      <c r="Q291" s="23" t="s">
        <v>40</v>
      </c>
      <c r="R291" s="23" t="s">
        <v>111</v>
      </c>
      <c r="S291" s="23" t="s">
        <v>40</v>
      </c>
      <c r="T291" s="23" t="s">
        <v>40</v>
      </c>
    </row>
    <row r="292" spans="1:20" x14ac:dyDescent="0.25">
      <c r="A292" s="23" t="s">
        <v>2675</v>
      </c>
      <c r="B292" s="23" t="s">
        <v>110</v>
      </c>
      <c r="C292" s="23" t="s">
        <v>2676</v>
      </c>
      <c r="D292" s="23" t="s">
        <v>2677</v>
      </c>
      <c r="E292" s="23" t="s">
        <v>2678</v>
      </c>
      <c r="F292" s="23" t="s">
        <v>40</v>
      </c>
      <c r="G292" s="23" t="s">
        <v>2679</v>
      </c>
      <c r="H292" s="23" t="s">
        <v>2680</v>
      </c>
      <c r="I292" s="23" t="s">
        <v>2681</v>
      </c>
      <c r="J292" s="23" t="s">
        <v>801</v>
      </c>
      <c r="K292" s="26" t="s">
        <v>396</v>
      </c>
      <c r="L292" s="23" t="s">
        <v>13</v>
      </c>
      <c r="M292" s="25" t="s">
        <v>18</v>
      </c>
      <c r="N292" s="23" t="s">
        <v>40</v>
      </c>
      <c r="O292" s="23" t="s">
        <v>387</v>
      </c>
      <c r="P292" s="23" t="s">
        <v>40</v>
      </c>
      <c r="Q292" s="23" t="s">
        <v>40</v>
      </c>
      <c r="R292" s="23" t="s">
        <v>111</v>
      </c>
      <c r="S292" s="23" t="s">
        <v>40</v>
      </c>
      <c r="T292" s="23" t="s">
        <v>2682</v>
      </c>
    </row>
    <row r="293" spans="1:20" x14ac:dyDescent="0.25">
      <c r="A293" s="23" t="s">
        <v>2683</v>
      </c>
      <c r="B293" s="23" t="s">
        <v>110</v>
      </c>
      <c r="C293" s="23" t="s">
        <v>2676</v>
      </c>
      <c r="D293" s="23" t="s">
        <v>2684</v>
      </c>
      <c r="E293" s="23" t="s">
        <v>2685</v>
      </c>
      <c r="F293" s="23" t="s">
        <v>40</v>
      </c>
      <c r="G293" s="23" t="s">
        <v>2679</v>
      </c>
      <c r="H293" s="23" t="s">
        <v>2686</v>
      </c>
      <c r="I293" s="23" t="s">
        <v>2687</v>
      </c>
      <c r="J293" s="23" t="s">
        <v>15</v>
      </c>
      <c r="K293" s="27" t="s">
        <v>404</v>
      </c>
      <c r="L293" s="23" t="s">
        <v>405</v>
      </c>
      <c r="M293" s="25" t="s">
        <v>18</v>
      </c>
      <c r="N293" s="23" t="s">
        <v>40</v>
      </c>
      <c r="O293" s="23" t="s">
        <v>387</v>
      </c>
      <c r="P293" s="23" t="s">
        <v>40</v>
      </c>
      <c r="Q293" s="23" t="s">
        <v>40</v>
      </c>
      <c r="R293" s="23" t="s">
        <v>111</v>
      </c>
      <c r="S293" s="23" t="s">
        <v>40</v>
      </c>
      <c r="T293" s="23" t="s">
        <v>40</v>
      </c>
    </row>
    <row r="294" spans="1:20" x14ac:dyDescent="0.25">
      <c r="A294" s="23" t="s">
        <v>2688</v>
      </c>
      <c r="B294" s="23" t="s">
        <v>110</v>
      </c>
      <c r="C294" s="23" t="s">
        <v>783</v>
      </c>
      <c r="D294" s="23" t="s">
        <v>2689</v>
      </c>
      <c r="E294" s="23" t="s">
        <v>2690</v>
      </c>
      <c r="F294" s="23" t="s">
        <v>40</v>
      </c>
      <c r="G294" s="23" t="s">
        <v>2691</v>
      </c>
      <c r="H294" s="23" t="s">
        <v>2692</v>
      </c>
      <c r="I294" s="23" t="s">
        <v>2693</v>
      </c>
      <c r="J294" s="23" t="s">
        <v>801</v>
      </c>
      <c r="K294" s="27" t="s">
        <v>404</v>
      </c>
      <c r="L294" s="23" t="s">
        <v>490</v>
      </c>
      <c r="M294" s="25" t="s">
        <v>18</v>
      </c>
      <c r="N294" s="23" t="s">
        <v>40</v>
      </c>
      <c r="O294" s="23" t="s">
        <v>387</v>
      </c>
      <c r="P294" s="23" t="s">
        <v>40</v>
      </c>
      <c r="Q294" s="23" t="s">
        <v>40</v>
      </c>
      <c r="R294" s="23" t="s">
        <v>111</v>
      </c>
      <c r="S294" s="23" t="s">
        <v>40</v>
      </c>
      <c r="T294" s="23" t="s">
        <v>2694</v>
      </c>
    </row>
    <row r="295" spans="1:20" x14ac:dyDescent="0.25">
      <c r="A295" s="23" t="s">
        <v>2695</v>
      </c>
      <c r="B295" s="23" t="s">
        <v>110</v>
      </c>
      <c r="C295" s="23" t="s">
        <v>525</v>
      </c>
      <c r="D295" s="23" t="s">
        <v>2696</v>
      </c>
      <c r="E295" s="23" t="s">
        <v>647</v>
      </c>
      <c r="F295" s="23" t="s">
        <v>40</v>
      </c>
      <c r="G295" s="23" t="s">
        <v>2697</v>
      </c>
      <c r="H295" s="23" t="s">
        <v>2698</v>
      </c>
      <c r="I295" s="23" t="s">
        <v>2699</v>
      </c>
      <c r="J295" s="23" t="s">
        <v>525</v>
      </c>
      <c r="K295" s="24" t="s">
        <v>386</v>
      </c>
      <c r="L295" s="23" t="s">
        <v>405</v>
      </c>
      <c r="M295" s="25" t="s">
        <v>18</v>
      </c>
      <c r="N295" s="23" t="s">
        <v>40</v>
      </c>
      <c r="O295" s="23" t="s">
        <v>387</v>
      </c>
      <c r="P295" s="23" t="s">
        <v>40</v>
      </c>
      <c r="Q295" s="23" t="s">
        <v>40</v>
      </c>
      <c r="R295" s="23" t="s">
        <v>111</v>
      </c>
      <c r="S295" s="23" t="s">
        <v>40</v>
      </c>
      <c r="T295" s="23" t="s">
        <v>40</v>
      </c>
    </row>
  </sheetData>
  <autoFilter ref="A1:T295"/>
  <dataValidations count="2">
    <dataValidation type="list" allowBlank="1" sqref="O10:O295">
      <formula1>"Passed,Failed,Blocked,Not Executed,Passed (19 Oct 2026)"</formula1>
    </dataValidation>
    <dataValidation type="list" allowBlank="1" sqref="O2:O295">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41"/>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2700</v>
      </c>
      <c r="B2" s="23" t="s">
        <v>113</v>
      </c>
      <c r="C2" s="23" t="s">
        <v>944</v>
      </c>
      <c r="D2" s="23" t="s">
        <v>2701</v>
      </c>
      <c r="E2" s="23" t="s">
        <v>2702</v>
      </c>
      <c r="F2" s="23" t="s">
        <v>40</v>
      </c>
      <c r="G2" s="23" t="s">
        <v>2703</v>
      </c>
      <c r="H2" s="23" t="s">
        <v>2704</v>
      </c>
      <c r="I2" s="23" t="s">
        <v>2705</v>
      </c>
      <c r="J2" s="23" t="s">
        <v>385</v>
      </c>
      <c r="K2" s="24" t="s">
        <v>386</v>
      </c>
      <c r="L2" s="23" t="s">
        <v>13</v>
      </c>
      <c r="M2" s="31" t="s">
        <v>17</v>
      </c>
      <c r="N2" s="23" t="s">
        <v>2706</v>
      </c>
      <c r="O2" s="29" t="s">
        <v>87</v>
      </c>
      <c r="P2" s="23" t="s">
        <v>40</v>
      </c>
      <c r="Q2" s="23" t="s">
        <v>40</v>
      </c>
      <c r="R2" s="23" t="s">
        <v>114</v>
      </c>
      <c r="S2" s="23" t="s">
        <v>40</v>
      </c>
      <c r="T2" s="23" t="s">
        <v>40</v>
      </c>
    </row>
    <row r="3" spans="1:20" x14ac:dyDescent="0.25">
      <c r="A3" s="23" t="s">
        <v>2707</v>
      </c>
      <c r="B3" s="23" t="s">
        <v>113</v>
      </c>
      <c r="C3" s="23" t="s">
        <v>944</v>
      </c>
      <c r="D3" s="23" t="s">
        <v>2708</v>
      </c>
      <c r="E3" s="23" t="s">
        <v>2702</v>
      </c>
      <c r="F3" s="23" t="s">
        <v>40</v>
      </c>
      <c r="G3" s="23" t="s">
        <v>2709</v>
      </c>
      <c r="H3" s="23" t="s">
        <v>2710</v>
      </c>
      <c r="I3" s="23" t="s">
        <v>2711</v>
      </c>
      <c r="J3" s="23" t="s">
        <v>385</v>
      </c>
      <c r="K3" s="32" t="s">
        <v>747</v>
      </c>
      <c r="L3" s="23" t="s">
        <v>490</v>
      </c>
      <c r="M3" s="25" t="s">
        <v>18</v>
      </c>
      <c r="N3" s="23" t="s">
        <v>40</v>
      </c>
      <c r="O3" s="23" t="s">
        <v>387</v>
      </c>
      <c r="P3" s="23" t="s">
        <v>40</v>
      </c>
      <c r="Q3" s="23" t="s">
        <v>40</v>
      </c>
      <c r="R3" s="23" t="s">
        <v>114</v>
      </c>
      <c r="S3" s="23" t="s">
        <v>40</v>
      </c>
      <c r="T3" s="23" t="s">
        <v>2712</v>
      </c>
    </row>
    <row r="4" spans="1:20" x14ac:dyDescent="0.25">
      <c r="A4" s="23" t="s">
        <v>2713</v>
      </c>
      <c r="B4" s="23" t="s">
        <v>113</v>
      </c>
      <c r="C4" s="23" t="s">
        <v>2714</v>
      </c>
      <c r="D4" s="23" t="s">
        <v>2715</v>
      </c>
      <c r="E4" s="23" t="s">
        <v>2702</v>
      </c>
      <c r="F4" s="23" t="s">
        <v>2716</v>
      </c>
      <c r="G4" s="23" t="s">
        <v>2717</v>
      </c>
      <c r="H4" s="23" t="s">
        <v>2718</v>
      </c>
      <c r="I4" s="23" t="s">
        <v>2719</v>
      </c>
      <c r="J4" s="23" t="s">
        <v>14</v>
      </c>
      <c r="K4" s="26" t="s">
        <v>396</v>
      </c>
      <c r="L4" s="23" t="s">
        <v>13</v>
      </c>
      <c r="M4" s="28" t="s">
        <v>16</v>
      </c>
      <c r="N4" s="23" t="s">
        <v>2720</v>
      </c>
      <c r="O4" s="29" t="s">
        <v>87</v>
      </c>
      <c r="P4" s="23" t="s">
        <v>40</v>
      </c>
      <c r="Q4" s="23" t="s">
        <v>40</v>
      </c>
      <c r="R4" s="23" t="s">
        <v>114</v>
      </c>
      <c r="S4" s="23" t="s">
        <v>40</v>
      </c>
      <c r="T4" s="23" t="s">
        <v>2721</v>
      </c>
    </row>
    <row r="5" spans="1:20" x14ac:dyDescent="0.25">
      <c r="A5" s="23" t="s">
        <v>2722</v>
      </c>
      <c r="B5" s="23" t="s">
        <v>113</v>
      </c>
      <c r="C5" s="23" t="s">
        <v>2714</v>
      </c>
      <c r="D5" s="23" t="s">
        <v>2723</v>
      </c>
      <c r="E5" s="23" t="s">
        <v>2702</v>
      </c>
      <c r="F5" s="23" t="s">
        <v>2724</v>
      </c>
      <c r="G5" s="23" t="s">
        <v>2725</v>
      </c>
      <c r="H5" s="23" t="s">
        <v>2726</v>
      </c>
      <c r="I5" s="23" t="s">
        <v>2727</v>
      </c>
      <c r="J5" s="23" t="s">
        <v>14</v>
      </c>
      <c r="K5" s="24" t="s">
        <v>386</v>
      </c>
      <c r="L5" s="23" t="s">
        <v>405</v>
      </c>
      <c r="M5" s="25" t="s">
        <v>18</v>
      </c>
      <c r="N5" s="23" t="s">
        <v>40</v>
      </c>
      <c r="O5" s="23" t="s">
        <v>387</v>
      </c>
      <c r="P5" s="23" t="s">
        <v>40</v>
      </c>
      <c r="Q5" s="23" t="s">
        <v>40</v>
      </c>
      <c r="R5" s="23" t="s">
        <v>114</v>
      </c>
      <c r="S5" s="23" t="s">
        <v>40</v>
      </c>
      <c r="T5" s="23" t="s">
        <v>2728</v>
      </c>
    </row>
    <row r="6" spans="1:20" x14ac:dyDescent="0.25">
      <c r="A6" s="23" t="s">
        <v>2729</v>
      </c>
      <c r="B6" s="23" t="s">
        <v>113</v>
      </c>
      <c r="C6" s="23" t="s">
        <v>2714</v>
      </c>
      <c r="D6" s="23" t="s">
        <v>2730</v>
      </c>
      <c r="E6" s="23" t="s">
        <v>2702</v>
      </c>
      <c r="F6" s="23" t="s">
        <v>40</v>
      </c>
      <c r="G6" s="23" t="s">
        <v>2731</v>
      </c>
      <c r="H6" s="23" t="s">
        <v>2732</v>
      </c>
      <c r="I6" s="23" t="s">
        <v>2733</v>
      </c>
      <c r="J6" s="23" t="s">
        <v>14</v>
      </c>
      <c r="K6" s="24" t="s">
        <v>386</v>
      </c>
      <c r="L6" s="23" t="s">
        <v>405</v>
      </c>
      <c r="M6" s="25" t="s">
        <v>18</v>
      </c>
      <c r="N6" s="23" t="s">
        <v>40</v>
      </c>
      <c r="O6" s="23" t="s">
        <v>387</v>
      </c>
      <c r="P6" s="23" t="s">
        <v>40</v>
      </c>
      <c r="Q6" s="23" t="s">
        <v>40</v>
      </c>
      <c r="R6" s="23" t="s">
        <v>114</v>
      </c>
      <c r="S6" s="23" t="s">
        <v>40</v>
      </c>
      <c r="T6" s="23" t="s">
        <v>2734</v>
      </c>
    </row>
    <row r="7" spans="1:20" x14ac:dyDescent="0.25">
      <c r="A7" s="23" t="s">
        <v>2735</v>
      </c>
      <c r="B7" s="23" t="s">
        <v>113</v>
      </c>
      <c r="C7" s="23" t="s">
        <v>2714</v>
      </c>
      <c r="D7" s="23" t="s">
        <v>2736</v>
      </c>
      <c r="E7" s="23" t="s">
        <v>2702</v>
      </c>
      <c r="F7" s="23" t="s">
        <v>40</v>
      </c>
      <c r="G7" s="23" t="s">
        <v>2737</v>
      </c>
      <c r="H7" s="23" t="s">
        <v>2738</v>
      </c>
      <c r="I7" s="23" t="s">
        <v>2739</v>
      </c>
      <c r="J7" s="23" t="s">
        <v>385</v>
      </c>
      <c r="K7" s="27" t="s">
        <v>404</v>
      </c>
      <c r="L7" s="23" t="s">
        <v>405</v>
      </c>
      <c r="M7" s="25" t="s">
        <v>18</v>
      </c>
      <c r="N7" s="23" t="s">
        <v>40</v>
      </c>
      <c r="O7" s="23" t="s">
        <v>387</v>
      </c>
      <c r="P7" s="23" t="s">
        <v>40</v>
      </c>
      <c r="Q7" s="23" t="s">
        <v>40</v>
      </c>
      <c r="R7" s="23" t="s">
        <v>114</v>
      </c>
      <c r="S7" s="23" t="s">
        <v>40</v>
      </c>
      <c r="T7" s="23" t="s">
        <v>40</v>
      </c>
    </row>
    <row r="8" spans="1:20" x14ac:dyDescent="0.25">
      <c r="A8" s="23" t="s">
        <v>2740</v>
      </c>
      <c r="B8" s="23" t="s">
        <v>113</v>
      </c>
      <c r="C8" s="23" t="s">
        <v>2714</v>
      </c>
      <c r="D8" s="23" t="s">
        <v>2741</v>
      </c>
      <c r="E8" s="23" t="s">
        <v>2702</v>
      </c>
      <c r="F8" s="23" t="s">
        <v>40</v>
      </c>
      <c r="G8" s="23" t="s">
        <v>2742</v>
      </c>
      <c r="H8" s="23" t="s">
        <v>2743</v>
      </c>
      <c r="I8" s="23" t="s">
        <v>2744</v>
      </c>
      <c r="J8" s="23" t="s">
        <v>466</v>
      </c>
      <c r="K8" s="27" t="s">
        <v>404</v>
      </c>
      <c r="L8" s="23" t="s">
        <v>490</v>
      </c>
      <c r="M8" s="25" t="s">
        <v>18</v>
      </c>
      <c r="N8" s="23" t="s">
        <v>40</v>
      </c>
      <c r="O8" s="23" t="s">
        <v>387</v>
      </c>
      <c r="P8" s="23" t="s">
        <v>40</v>
      </c>
      <c r="Q8" s="23" t="s">
        <v>40</v>
      </c>
      <c r="R8" s="23" t="s">
        <v>114</v>
      </c>
      <c r="S8" s="23" t="s">
        <v>40</v>
      </c>
      <c r="T8" s="23" t="s">
        <v>40</v>
      </c>
    </row>
    <row r="9" spans="1:20" x14ac:dyDescent="0.25">
      <c r="A9" s="23" t="s">
        <v>2745</v>
      </c>
      <c r="B9" s="23" t="s">
        <v>113</v>
      </c>
      <c r="C9" s="23" t="s">
        <v>2714</v>
      </c>
      <c r="D9" s="23" t="s">
        <v>2746</v>
      </c>
      <c r="E9" s="23" t="s">
        <v>2702</v>
      </c>
      <c r="F9" s="23" t="s">
        <v>40</v>
      </c>
      <c r="G9" s="23" t="s">
        <v>2747</v>
      </c>
      <c r="H9" s="23" t="s">
        <v>2748</v>
      </c>
      <c r="I9" s="23" t="s">
        <v>2749</v>
      </c>
      <c r="J9" s="23" t="s">
        <v>15</v>
      </c>
      <c r="K9" s="24" t="s">
        <v>386</v>
      </c>
      <c r="L9" s="23" t="s">
        <v>13</v>
      </c>
      <c r="M9" s="28" t="s">
        <v>16</v>
      </c>
      <c r="N9" s="23" t="s">
        <v>2720</v>
      </c>
      <c r="O9" s="29" t="s">
        <v>87</v>
      </c>
      <c r="P9" s="23" t="s">
        <v>40</v>
      </c>
      <c r="Q9" s="23" t="s">
        <v>40</v>
      </c>
      <c r="R9" s="23" t="s">
        <v>114</v>
      </c>
      <c r="S9" s="23" t="s">
        <v>2750</v>
      </c>
      <c r="T9" s="23" t="s">
        <v>40</v>
      </c>
    </row>
    <row r="10" spans="1:20" x14ac:dyDescent="0.25">
      <c r="A10" s="23" t="s">
        <v>2751</v>
      </c>
      <c r="B10" s="23" t="s">
        <v>113</v>
      </c>
      <c r="C10" s="23" t="s">
        <v>2714</v>
      </c>
      <c r="D10" s="23" t="s">
        <v>2752</v>
      </c>
      <c r="E10" s="23" t="s">
        <v>2702</v>
      </c>
      <c r="F10" s="23" t="s">
        <v>40</v>
      </c>
      <c r="G10" s="23" t="s">
        <v>2753</v>
      </c>
      <c r="H10" s="23" t="s">
        <v>2754</v>
      </c>
      <c r="I10" s="23" t="s">
        <v>2755</v>
      </c>
      <c r="J10" s="23" t="s">
        <v>15</v>
      </c>
      <c r="K10" s="27" t="s">
        <v>404</v>
      </c>
      <c r="L10" s="23" t="s">
        <v>405</v>
      </c>
      <c r="M10" s="25" t="s">
        <v>18</v>
      </c>
      <c r="N10" s="23" t="s">
        <v>40</v>
      </c>
      <c r="O10" s="23" t="s">
        <v>387</v>
      </c>
      <c r="P10" s="23" t="s">
        <v>40</v>
      </c>
      <c r="Q10" s="23" t="s">
        <v>40</v>
      </c>
      <c r="R10" s="23" t="s">
        <v>114</v>
      </c>
      <c r="S10" s="23" t="s">
        <v>40</v>
      </c>
      <c r="T10" s="23" t="s">
        <v>40</v>
      </c>
    </row>
    <row r="11" spans="1:20" x14ac:dyDescent="0.25">
      <c r="A11" s="23" t="s">
        <v>2756</v>
      </c>
      <c r="B11" s="23" t="s">
        <v>113</v>
      </c>
      <c r="C11" s="23" t="s">
        <v>2714</v>
      </c>
      <c r="D11" s="23" t="s">
        <v>2757</v>
      </c>
      <c r="E11" s="23" t="s">
        <v>2702</v>
      </c>
      <c r="F11" s="23" t="s">
        <v>40</v>
      </c>
      <c r="G11" s="23" t="s">
        <v>2758</v>
      </c>
      <c r="H11" s="23" t="s">
        <v>2759</v>
      </c>
      <c r="I11" s="23" t="s">
        <v>2760</v>
      </c>
      <c r="J11" s="23" t="s">
        <v>466</v>
      </c>
      <c r="K11" s="27" t="s">
        <v>404</v>
      </c>
      <c r="L11" s="23" t="s">
        <v>405</v>
      </c>
      <c r="M11" s="25" t="s">
        <v>18</v>
      </c>
      <c r="N11" s="23" t="s">
        <v>40</v>
      </c>
      <c r="O11" s="23" t="s">
        <v>387</v>
      </c>
      <c r="P11" s="23" t="s">
        <v>40</v>
      </c>
      <c r="Q11" s="23" t="s">
        <v>40</v>
      </c>
      <c r="R11" s="23" t="s">
        <v>114</v>
      </c>
      <c r="S11" s="23" t="s">
        <v>40</v>
      </c>
      <c r="T11" s="23" t="s">
        <v>2761</v>
      </c>
    </row>
    <row r="12" spans="1:20" x14ac:dyDescent="0.25">
      <c r="A12" s="23" t="s">
        <v>2762</v>
      </c>
      <c r="B12" s="23" t="s">
        <v>113</v>
      </c>
      <c r="C12" s="23" t="s">
        <v>2763</v>
      </c>
      <c r="D12" s="23" t="s">
        <v>2764</v>
      </c>
      <c r="E12" s="23" t="s">
        <v>2702</v>
      </c>
      <c r="F12" s="23" t="s">
        <v>40</v>
      </c>
      <c r="G12" s="23" t="s">
        <v>2765</v>
      </c>
      <c r="H12" s="23" t="s">
        <v>2766</v>
      </c>
      <c r="I12" s="23" t="s">
        <v>2767</v>
      </c>
      <c r="J12" s="23" t="s">
        <v>466</v>
      </c>
      <c r="K12" s="24" t="s">
        <v>386</v>
      </c>
      <c r="L12" s="23" t="s">
        <v>13</v>
      </c>
      <c r="M12" s="25" t="s">
        <v>18</v>
      </c>
      <c r="N12" s="23" t="s">
        <v>40</v>
      </c>
      <c r="O12" s="23" t="s">
        <v>387</v>
      </c>
      <c r="P12" s="23" t="s">
        <v>40</v>
      </c>
      <c r="Q12" s="23" t="s">
        <v>40</v>
      </c>
      <c r="R12" s="23" t="s">
        <v>114</v>
      </c>
      <c r="S12" s="23" t="s">
        <v>40</v>
      </c>
      <c r="T12" s="23" t="s">
        <v>2768</v>
      </c>
    </row>
    <row r="13" spans="1:20" x14ac:dyDescent="0.25">
      <c r="A13" s="23" t="s">
        <v>2769</v>
      </c>
      <c r="B13" s="23" t="s">
        <v>113</v>
      </c>
      <c r="C13" s="23" t="s">
        <v>2763</v>
      </c>
      <c r="D13" s="23" t="s">
        <v>2770</v>
      </c>
      <c r="E13" s="23" t="s">
        <v>2702</v>
      </c>
      <c r="F13" s="23" t="s">
        <v>40</v>
      </c>
      <c r="G13" s="23" t="s">
        <v>2771</v>
      </c>
      <c r="H13" s="23" t="s">
        <v>2772</v>
      </c>
      <c r="I13" s="23" t="s">
        <v>2773</v>
      </c>
      <c r="J13" s="23" t="s">
        <v>466</v>
      </c>
      <c r="K13" s="24" t="s">
        <v>386</v>
      </c>
      <c r="L13" s="23" t="s">
        <v>13</v>
      </c>
      <c r="M13" s="25" t="s">
        <v>18</v>
      </c>
      <c r="N13" s="23" t="s">
        <v>40</v>
      </c>
      <c r="O13" s="23" t="s">
        <v>387</v>
      </c>
      <c r="P13" s="23" t="s">
        <v>40</v>
      </c>
      <c r="Q13" s="23" t="s">
        <v>40</v>
      </c>
      <c r="R13" s="23" t="s">
        <v>114</v>
      </c>
      <c r="S13" s="23" t="s">
        <v>40</v>
      </c>
      <c r="T13" s="23" t="s">
        <v>2768</v>
      </c>
    </row>
    <row r="14" spans="1:20" x14ac:dyDescent="0.25">
      <c r="A14" s="23" t="s">
        <v>2774</v>
      </c>
      <c r="B14" s="23" t="s">
        <v>113</v>
      </c>
      <c r="C14" s="23" t="s">
        <v>2763</v>
      </c>
      <c r="D14" s="23" t="s">
        <v>2775</v>
      </c>
      <c r="E14" s="23" t="s">
        <v>2702</v>
      </c>
      <c r="F14" s="23" t="s">
        <v>40</v>
      </c>
      <c r="G14" s="23" t="s">
        <v>2776</v>
      </c>
      <c r="H14" s="23" t="s">
        <v>2777</v>
      </c>
      <c r="I14" s="23" t="s">
        <v>2778</v>
      </c>
      <c r="J14" s="23" t="s">
        <v>466</v>
      </c>
      <c r="K14" s="24" t="s">
        <v>386</v>
      </c>
      <c r="L14" s="23" t="s">
        <v>13</v>
      </c>
      <c r="M14" s="25" t="s">
        <v>18</v>
      </c>
      <c r="N14" s="23" t="s">
        <v>40</v>
      </c>
      <c r="O14" s="23" t="s">
        <v>387</v>
      </c>
      <c r="P14" s="23" t="s">
        <v>40</v>
      </c>
      <c r="Q14" s="23" t="s">
        <v>40</v>
      </c>
      <c r="R14" s="23" t="s">
        <v>114</v>
      </c>
      <c r="S14" s="23" t="s">
        <v>40</v>
      </c>
      <c r="T14" s="23" t="s">
        <v>2768</v>
      </c>
    </row>
    <row r="15" spans="1:20" x14ac:dyDescent="0.25">
      <c r="A15" s="23" t="s">
        <v>2779</v>
      </c>
      <c r="B15" s="23" t="s">
        <v>113</v>
      </c>
      <c r="C15" s="23" t="s">
        <v>2763</v>
      </c>
      <c r="D15" s="23" t="s">
        <v>2780</v>
      </c>
      <c r="E15" s="23" t="s">
        <v>2702</v>
      </c>
      <c r="F15" s="23" t="s">
        <v>40</v>
      </c>
      <c r="G15" s="23" t="s">
        <v>2781</v>
      </c>
      <c r="H15" s="23" t="s">
        <v>2782</v>
      </c>
      <c r="I15" s="23" t="s">
        <v>2783</v>
      </c>
      <c r="J15" s="23" t="s">
        <v>466</v>
      </c>
      <c r="K15" s="24" t="s">
        <v>386</v>
      </c>
      <c r="L15" s="23" t="s">
        <v>13</v>
      </c>
      <c r="M15" s="25" t="s">
        <v>18</v>
      </c>
      <c r="N15" s="23" t="s">
        <v>40</v>
      </c>
      <c r="O15" s="23" t="s">
        <v>387</v>
      </c>
      <c r="P15" s="23" t="s">
        <v>40</v>
      </c>
      <c r="Q15" s="23" t="s">
        <v>40</v>
      </c>
      <c r="R15" s="23" t="s">
        <v>114</v>
      </c>
      <c r="S15" s="23" t="s">
        <v>40</v>
      </c>
      <c r="T15" s="23" t="s">
        <v>2768</v>
      </c>
    </row>
    <row r="16" spans="1:20" x14ac:dyDescent="0.25">
      <c r="A16" s="23" t="s">
        <v>2784</v>
      </c>
      <c r="B16" s="23" t="s">
        <v>113</v>
      </c>
      <c r="C16" s="23" t="s">
        <v>2763</v>
      </c>
      <c r="D16" s="23" t="s">
        <v>2785</v>
      </c>
      <c r="E16" s="23" t="s">
        <v>2702</v>
      </c>
      <c r="F16" s="23" t="s">
        <v>40</v>
      </c>
      <c r="G16" s="23" t="s">
        <v>2786</v>
      </c>
      <c r="H16" s="23" t="s">
        <v>2787</v>
      </c>
      <c r="I16" s="23" t="s">
        <v>2788</v>
      </c>
      <c r="J16" s="23" t="s">
        <v>466</v>
      </c>
      <c r="K16" s="24" t="s">
        <v>386</v>
      </c>
      <c r="L16" s="23" t="s">
        <v>13</v>
      </c>
      <c r="M16" s="25" t="s">
        <v>18</v>
      </c>
      <c r="N16" s="23" t="s">
        <v>40</v>
      </c>
      <c r="O16" s="23" t="s">
        <v>387</v>
      </c>
      <c r="P16" s="23" t="s">
        <v>40</v>
      </c>
      <c r="Q16" s="23" t="s">
        <v>40</v>
      </c>
      <c r="R16" s="23" t="s">
        <v>114</v>
      </c>
      <c r="S16" s="23" t="s">
        <v>40</v>
      </c>
      <c r="T16" s="23" t="s">
        <v>2768</v>
      </c>
    </row>
    <row r="17" spans="1:20" x14ac:dyDescent="0.25">
      <c r="A17" s="23" t="s">
        <v>2789</v>
      </c>
      <c r="B17" s="23" t="s">
        <v>113</v>
      </c>
      <c r="C17" s="23" t="s">
        <v>2763</v>
      </c>
      <c r="D17" s="23" t="s">
        <v>2790</v>
      </c>
      <c r="E17" s="23" t="s">
        <v>2702</v>
      </c>
      <c r="F17" s="23" t="s">
        <v>40</v>
      </c>
      <c r="G17" s="23" t="s">
        <v>2791</v>
      </c>
      <c r="H17" s="23" t="s">
        <v>2792</v>
      </c>
      <c r="I17" s="23" t="s">
        <v>2793</v>
      </c>
      <c r="J17" s="23" t="s">
        <v>466</v>
      </c>
      <c r="K17" s="24" t="s">
        <v>386</v>
      </c>
      <c r="L17" s="23" t="s">
        <v>13</v>
      </c>
      <c r="M17" s="25" t="s">
        <v>18</v>
      </c>
      <c r="N17" s="23" t="s">
        <v>40</v>
      </c>
      <c r="O17" s="23" t="s">
        <v>387</v>
      </c>
      <c r="P17" s="23" t="s">
        <v>40</v>
      </c>
      <c r="Q17" s="23" t="s">
        <v>40</v>
      </c>
      <c r="R17" s="23" t="s">
        <v>114</v>
      </c>
      <c r="S17" s="23" t="s">
        <v>40</v>
      </c>
      <c r="T17" s="23" t="s">
        <v>2768</v>
      </c>
    </row>
    <row r="18" spans="1:20" x14ac:dyDescent="0.25">
      <c r="A18" s="23" t="s">
        <v>2794</v>
      </c>
      <c r="B18" s="23" t="s">
        <v>113</v>
      </c>
      <c r="C18" s="23" t="s">
        <v>2763</v>
      </c>
      <c r="D18" s="23" t="s">
        <v>2795</v>
      </c>
      <c r="E18" s="23" t="s">
        <v>2702</v>
      </c>
      <c r="F18" s="23" t="s">
        <v>40</v>
      </c>
      <c r="G18" s="23" t="s">
        <v>2796</v>
      </c>
      <c r="H18" s="23" t="s">
        <v>2797</v>
      </c>
      <c r="I18" s="23" t="s">
        <v>2798</v>
      </c>
      <c r="J18" s="23" t="s">
        <v>466</v>
      </c>
      <c r="K18" s="27" t="s">
        <v>404</v>
      </c>
      <c r="L18" s="23" t="s">
        <v>405</v>
      </c>
      <c r="M18" s="25" t="s">
        <v>18</v>
      </c>
      <c r="N18" s="23" t="s">
        <v>40</v>
      </c>
      <c r="O18" s="23" t="s">
        <v>387</v>
      </c>
      <c r="P18" s="23" t="s">
        <v>40</v>
      </c>
      <c r="Q18" s="23" t="s">
        <v>40</v>
      </c>
      <c r="R18" s="23" t="s">
        <v>114</v>
      </c>
      <c r="S18" s="23" t="s">
        <v>40</v>
      </c>
      <c r="T18" s="23" t="s">
        <v>40</v>
      </c>
    </row>
    <row r="19" spans="1:20" x14ac:dyDescent="0.25">
      <c r="A19" s="23" t="s">
        <v>2799</v>
      </c>
      <c r="B19" s="23" t="s">
        <v>113</v>
      </c>
      <c r="C19" s="23" t="s">
        <v>2800</v>
      </c>
      <c r="D19" s="23" t="s">
        <v>2801</v>
      </c>
      <c r="E19" s="23" t="s">
        <v>2702</v>
      </c>
      <c r="F19" s="23" t="s">
        <v>2802</v>
      </c>
      <c r="G19" s="23" t="s">
        <v>2803</v>
      </c>
      <c r="H19" s="23" t="s">
        <v>2804</v>
      </c>
      <c r="I19" s="23" t="s">
        <v>2805</v>
      </c>
      <c r="J19" s="23" t="s">
        <v>489</v>
      </c>
      <c r="K19" s="24" t="s">
        <v>386</v>
      </c>
      <c r="L19" s="23" t="s">
        <v>13</v>
      </c>
      <c r="M19" s="25" t="s">
        <v>18</v>
      </c>
      <c r="N19" s="23" t="s">
        <v>40</v>
      </c>
      <c r="O19" s="23" t="s">
        <v>387</v>
      </c>
      <c r="P19" s="23" t="s">
        <v>40</v>
      </c>
      <c r="Q19" s="23" t="s">
        <v>40</v>
      </c>
      <c r="R19" s="23" t="s">
        <v>114</v>
      </c>
      <c r="S19" s="23" t="s">
        <v>40</v>
      </c>
      <c r="T19" s="23" t="s">
        <v>2806</v>
      </c>
    </row>
    <row r="20" spans="1:20" x14ac:dyDescent="0.25">
      <c r="A20" s="23" t="s">
        <v>2807</v>
      </c>
      <c r="B20" s="23" t="s">
        <v>113</v>
      </c>
      <c r="C20" s="23" t="s">
        <v>2800</v>
      </c>
      <c r="D20" s="23" t="s">
        <v>2808</v>
      </c>
      <c r="E20" s="23" t="s">
        <v>2702</v>
      </c>
      <c r="F20" s="23" t="s">
        <v>2809</v>
      </c>
      <c r="G20" s="23" t="s">
        <v>2810</v>
      </c>
      <c r="H20" s="23" t="s">
        <v>2811</v>
      </c>
      <c r="I20" s="23" t="s">
        <v>2812</v>
      </c>
      <c r="J20" s="23" t="s">
        <v>489</v>
      </c>
      <c r="K20" s="27" t="s">
        <v>404</v>
      </c>
      <c r="L20" s="23" t="s">
        <v>405</v>
      </c>
      <c r="M20" s="25" t="s">
        <v>18</v>
      </c>
      <c r="N20" s="23" t="s">
        <v>40</v>
      </c>
      <c r="O20" s="23" t="s">
        <v>387</v>
      </c>
      <c r="P20" s="23" t="s">
        <v>40</v>
      </c>
      <c r="Q20" s="23" t="s">
        <v>40</v>
      </c>
      <c r="R20" s="23" t="s">
        <v>114</v>
      </c>
      <c r="S20" s="23" t="s">
        <v>40</v>
      </c>
      <c r="T20" s="23" t="s">
        <v>40</v>
      </c>
    </row>
    <row r="21" spans="1:20" x14ac:dyDescent="0.25">
      <c r="A21" s="23" t="s">
        <v>2813</v>
      </c>
      <c r="B21" s="23" t="s">
        <v>113</v>
      </c>
      <c r="C21" s="23" t="s">
        <v>2800</v>
      </c>
      <c r="D21" s="23" t="s">
        <v>2814</v>
      </c>
      <c r="E21" s="23" t="s">
        <v>2702</v>
      </c>
      <c r="F21" s="23" t="s">
        <v>2815</v>
      </c>
      <c r="G21" s="23" t="s">
        <v>2816</v>
      </c>
      <c r="H21" s="23" t="s">
        <v>2817</v>
      </c>
      <c r="I21" s="23" t="s">
        <v>2818</v>
      </c>
      <c r="J21" s="23" t="s">
        <v>489</v>
      </c>
      <c r="K21" s="27" t="s">
        <v>404</v>
      </c>
      <c r="L21" s="23" t="s">
        <v>405</v>
      </c>
      <c r="M21" s="25" t="s">
        <v>18</v>
      </c>
      <c r="N21" s="23" t="s">
        <v>40</v>
      </c>
      <c r="O21" s="23" t="s">
        <v>387</v>
      </c>
      <c r="P21" s="23" t="s">
        <v>40</v>
      </c>
      <c r="Q21" s="23" t="s">
        <v>40</v>
      </c>
      <c r="R21" s="23" t="s">
        <v>114</v>
      </c>
      <c r="S21" s="23" t="s">
        <v>40</v>
      </c>
      <c r="T21" s="23" t="s">
        <v>40</v>
      </c>
    </row>
    <row r="22" spans="1:20" x14ac:dyDescent="0.25">
      <c r="A22" s="23" t="s">
        <v>2819</v>
      </c>
      <c r="B22" s="23" t="s">
        <v>113</v>
      </c>
      <c r="C22" s="23" t="s">
        <v>2800</v>
      </c>
      <c r="D22" s="23" t="s">
        <v>2820</v>
      </c>
      <c r="E22" s="23" t="s">
        <v>2702</v>
      </c>
      <c r="F22" s="23" t="s">
        <v>2821</v>
      </c>
      <c r="G22" s="23" t="s">
        <v>2822</v>
      </c>
      <c r="H22" s="23" t="s">
        <v>2823</v>
      </c>
      <c r="I22" s="23" t="s">
        <v>2824</v>
      </c>
      <c r="J22" s="23" t="s">
        <v>489</v>
      </c>
      <c r="K22" s="27" t="s">
        <v>404</v>
      </c>
      <c r="L22" s="23" t="s">
        <v>405</v>
      </c>
      <c r="M22" s="25" t="s">
        <v>18</v>
      </c>
      <c r="N22" s="23" t="s">
        <v>40</v>
      </c>
      <c r="O22" s="23" t="s">
        <v>387</v>
      </c>
      <c r="P22" s="23" t="s">
        <v>40</v>
      </c>
      <c r="Q22" s="23" t="s">
        <v>40</v>
      </c>
      <c r="R22" s="23" t="s">
        <v>114</v>
      </c>
      <c r="S22" s="23" t="s">
        <v>40</v>
      </c>
      <c r="T22" s="23" t="s">
        <v>40</v>
      </c>
    </row>
    <row r="23" spans="1:20" x14ac:dyDescent="0.25">
      <c r="A23" s="23" t="s">
        <v>2825</v>
      </c>
      <c r="B23" s="23" t="s">
        <v>113</v>
      </c>
      <c r="C23" s="23" t="s">
        <v>2800</v>
      </c>
      <c r="D23" s="23" t="s">
        <v>2826</v>
      </c>
      <c r="E23" s="23" t="s">
        <v>2702</v>
      </c>
      <c r="F23" s="23" t="s">
        <v>2827</v>
      </c>
      <c r="G23" s="23" t="s">
        <v>2828</v>
      </c>
      <c r="H23" s="23" t="s">
        <v>2829</v>
      </c>
      <c r="I23" s="23" t="s">
        <v>2830</v>
      </c>
      <c r="J23" s="23" t="s">
        <v>489</v>
      </c>
      <c r="K23" s="27" t="s">
        <v>404</v>
      </c>
      <c r="L23" s="23" t="s">
        <v>490</v>
      </c>
      <c r="M23" s="25" t="s">
        <v>18</v>
      </c>
      <c r="N23" s="23" t="s">
        <v>40</v>
      </c>
      <c r="O23" s="23" t="s">
        <v>387</v>
      </c>
      <c r="P23" s="23" t="s">
        <v>40</v>
      </c>
      <c r="Q23" s="23" t="s">
        <v>40</v>
      </c>
      <c r="R23" s="23" t="s">
        <v>114</v>
      </c>
      <c r="S23" s="23" t="s">
        <v>40</v>
      </c>
      <c r="T23" s="23" t="s">
        <v>40</v>
      </c>
    </row>
    <row r="24" spans="1:20" x14ac:dyDescent="0.25">
      <c r="A24" s="23" t="s">
        <v>2831</v>
      </c>
      <c r="B24" s="23" t="s">
        <v>113</v>
      </c>
      <c r="C24" s="23" t="s">
        <v>2800</v>
      </c>
      <c r="D24" s="23" t="s">
        <v>2832</v>
      </c>
      <c r="E24" s="23" t="s">
        <v>2702</v>
      </c>
      <c r="F24" s="23" t="s">
        <v>2833</v>
      </c>
      <c r="G24" s="23" t="s">
        <v>2834</v>
      </c>
      <c r="H24" s="23" t="s">
        <v>2835</v>
      </c>
      <c r="I24" s="23" t="s">
        <v>2836</v>
      </c>
      <c r="J24" s="23" t="s">
        <v>466</v>
      </c>
      <c r="K24" s="27" t="s">
        <v>404</v>
      </c>
      <c r="L24" s="23" t="s">
        <v>405</v>
      </c>
      <c r="M24" s="25" t="s">
        <v>18</v>
      </c>
      <c r="N24" s="23" t="s">
        <v>40</v>
      </c>
      <c r="O24" s="23" t="s">
        <v>387</v>
      </c>
      <c r="P24" s="23" t="s">
        <v>40</v>
      </c>
      <c r="Q24" s="23" t="s">
        <v>40</v>
      </c>
      <c r="R24" s="23" t="s">
        <v>114</v>
      </c>
      <c r="S24" s="23" t="s">
        <v>40</v>
      </c>
      <c r="T24" s="23" t="s">
        <v>40</v>
      </c>
    </row>
    <row r="25" spans="1:20" x14ac:dyDescent="0.25">
      <c r="A25" s="23" t="s">
        <v>2837</v>
      </c>
      <c r="B25" s="23" t="s">
        <v>113</v>
      </c>
      <c r="C25" s="23" t="s">
        <v>2800</v>
      </c>
      <c r="D25" s="23" t="s">
        <v>2838</v>
      </c>
      <c r="E25" s="23" t="s">
        <v>2702</v>
      </c>
      <c r="F25" s="23" t="s">
        <v>2839</v>
      </c>
      <c r="G25" s="23" t="s">
        <v>2840</v>
      </c>
      <c r="H25" s="23" t="s">
        <v>2841</v>
      </c>
      <c r="I25" s="23" t="s">
        <v>2842</v>
      </c>
      <c r="J25" s="23" t="s">
        <v>466</v>
      </c>
      <c r="K25" s="27" t="s">
        <v>404</v>
      </c>
      <c r="L25" s="23" t="s">
        <v>405</v>
      </c>
      <c r="M25" s="25" t="s">
        <v>18</v>
      </c>
      <c r="N25" s="23" t="s">
        <v>40</v>
      </c>
      <c r="O25" s="23" t="s">
        <v>387</v>
      </c>
      <c r="P25" s="23" t="s">
        <v>40</v>
      </c>
      <c r="Q25" s="23" t="s">
        <v>40</v>
      </c>
      <c r="R25" s="23" t="s">
        <v>114</v>
      </c>
      <c r="S25" s="23" t="s">
        <v>40</v>
      </c>
      <c r="T25" s="23" t="s">
        <v>40</v>
      </c>
    </row>
    <row r="26" spans="1:20" x14ac:dyDescent="0.25">
      <c r="A26" s="23" t="s">
        <v>2843</v>
      </c>
      <c r="B26" s="23" t="s">
        <v>113</v>
      </c>
      <c r="C26" s="23" t="s">
        <v>2800</v>
      </c>
      <c r="D26" s="23" t="s">
        <v>2844</v>
      </c>
      <c r="E26" s="23" t="s">
        <v>2702</v>
      </c>
      <c r="F26" s="23" t="s">
        <v>2845</v>
      </c>
      <c r="G26" s="23" t="s">
        <v>2846</v>
      </c>
      <c r="H26" s="23" t="s">
        <v>2847</v>
      </c>
      <c r="I26" s="23" t="s">
        <v>2848</v>
      </c>
      <c r="J26" s="23" t="s">
        <v>466</v>
      </c>
      <c r="K26" s="27" t="s">
        <v>404</v>
      </c>
      <c r="L26" s="23" t="s">
        <v>405</v>
      </c>
      <c r="M26" s="25" t="s">
        <v>18</v>
      </c>
      <c r="N26" s="23" t="s">
        <v>40</v>
      </c>
      <c r="O26" s="23" t="s">
        <v>387</v>
      </c>
      <c r="P26" s="23" t="s">
        <v>40</v>
      </c>
      <c r="Q26" s="23" t="s">
        <v>40</v>
      </c>
      <c r="R26" s="23" t="s">
        <v>114</v>
      </c>
      <c r="S26" s="23" t="s">
        <v>40</v>
      </c>
      <c r="T26" s="23" t="s">
        <v>40</v>
      </c>
    </row>
    <row r="27" spans="1:20" x14ac:dyDescent="0.25">
      <c r="A27" s="23" t="s">
        <v>2849</v>
      </c>
      <c r="B27" s="23" t="s">
        <v>113</v>
      </c>
      <c r="C27" s="23" t="s">
        <v>2800</v>
      </c>
      <c r="D27" s="23" t="s">
        <v>2850</v>
      </c>
      <c r="E27" s="23" t="s">
        <v>2702</v>
      </c>
      <c r="F27" s="23" t="s">
        <v>2851</v>
      </c>
      <c r="G27" s="23" t="s">
        <v>2852</v>
      </c>
      <c r="H27" s="23" t="s">
        <v>2853</v>
      </c>
      <c r="I27" s="23" t="s">
        <v>2854</v>
      </c>
      <c r="J27" s="23" t="s">
        <v>489</v>
      </c>
      <c r="K27" s="27" t="s">
        <v>404</v>
      </c>
      <c r="L27" s="23" t="s">
        <v>490</v>
      </c>
      <c r="M27" s="25" t="s">
        <v>18</v>
      </c>
      <c r="N27" s="23" t="s">
        <v>40</v>
      </c>
      <c r="O27" s="23" t="s">
        <v>387</v>
      </c>
      <c r="P27" s="23" t="s">
        <v>40</v>
      </c>
      <c r="Q27" s="23" t="s">
        <v>40</v>
      </c>
      <c r="R27" s="23" t="s">
        <v>114</v>
      </c>
      <c r="S27" s="23" t="s">
        <v>40</v>
      </c>
      <c r="T27" s="23" t="s">
        <v>40</v>
      </c>
    </row>
    <row r="28" spans="1:20" x14ac:dyDescent="0.25">
      <c r="A28" s="23" t="s">
        <v>2855</v>
      </c>
      <c r="B28" s="23" t="s">
        <v>113</v>
      </c>
      <c r="C28" s="23" t="s">
        <v>2856</v>
      </c>
      <c r="D28" s="23" t="s">
        <v>2857</v>
      </c>
      <c r="E28" s="23" t="s">
        <v>2702</v>
      </c>
      <c r="F28" s="23" t="s">
        <v>40</v>
      </c>
      <c r="G28" s="23" t="s">
        <v>2858</v>
      </c>
      <c r="H28" s="23" t="s">
        <v>2859</v>
      </c>
      <c r="I28" s="23" t="s">
        <v>2860</v>
      </c>
      <c r="J28" s="23" t="s">
        <v>14</v>
      </c>
      <c r="K28" s="24" t="s">
        <v>386</v>
      </c>
      <c r="L28" s="23" t="s">
        <v>405</v>
      </c>
      <c r="M28" s="25" t="s">
        <v>18</v>
      </c>
      <c r="N28" s="23" t="s">
        <v>40</v>
      </c>
      <c r="O28" s="23" t="s">
        <v>387</v>
      </c>
      <c r="P28" s="23" t="s">
        <v>40</v>
      </c>
      <c r="Q28" s="23" t="s">
        <v>40</v>
      </c>
      <c r="R28" s="23" t="s">
        <v>114</v>
      </c>
      <c r="S28" s="23" t="s">
        <v>40</v>
      </c>
      <c r="T28" s="23" t="s">
        <v>40</v>
      </c>
    </row>
    <row r="29" spans="1:20" x14ac:dyDescent="0.25">
      <c r="A29" s="23" t="s">
        <v>2861</v>
      </c>
      <c r="B29" s="23" t="s">
        <v>113</v>
      </c>
      <c r="C29" s="23" t="s">
        <v>2856</v>
      </c>
      <c r="D29" s="23" t="s">
        <v>2862</v>
      </c>
      <c r="E29" s="23" t="s">
        <v>2702</v>
      </c>
      <c r="F29" s="23" t="s">
        <v>40</v>
      </c>
      <c r="G29" s="23" t="s">
        <v>2863</v>
      </c>
      <c r="H29" s="23" t="s">
        <v>2864</v>
      </c>
      <c r="I29" s="23" t="s">
        <v>2865</v>
      </c>
      <c r="J29" s="23" t="s">
        <v>15</v>
      </c>
      <c r="K29" s="24" t="s">
        <v>386</v>
      </c>
      <c r="L29" s="23" t="s">
        <v>13</v>
      </c>
      <c r="M29" s="25" t="s">
        <v>18</v>
      </c>
      <c r="N29" s="23" t="s">
        <v>40</v>
      </c>
      <c r="O29" s="23" t="s">
        <v>387</v>
      </c>
      <c r="P29" s="23" t="s">
        <v>40</v>
      </c>
      <c r="Q29" s="23" t="s">
        <v>40</v>
      </c>
      <c r="R29" s="23" t="s">
        <v>114</v>
      </c>
      <c r="S29" s="23" t="s">
        <v>40</v>
      </c>
      <c r="T29" s="23" t="s">
        <v>2768</v>
      </c>
    </row>
    <row r="30" spans="1:20" x14ac:dyDescent="0.25">
      <c r="A30" s="23" t="s">
        <v>2866</v>
      </c>
      <c r="B30" s="23" t="s">
        <v>113</v>
      </c>
      <c r="C30" s="23" t="s">
        <v>2856</v>
      </c>
      <c r="D30" s="23" t="s">
        <v>2867</v>
      </c>
      <c r="E30" s="23" t="s">
        <v>2702</v>
      </c>
      <c r="F30" s="23" t="s">
        <v>40</v>
      </c>
      <c r="G30" s="23" t="s">
        <v>2868</v>
      </c>
      <c r="H30" s="23" t="s">
        <v>2869</v>
      </c>
      <c r="I30" s="23" t="s">
        <v>2870</v>
      </c>
      <c r="J30" s="23" t="s">
        <v>14</v>
      </c>
      <c r="K30" s="27" t="s">
        <v>404</v>
      </c>
      <c r="L30" s="23" t="s">
        <v>490</v>
      </c>
      <c r="M30" s="25" t="s">
        <v>18</v>
      </c>
      <c r="N30" s="23" t="s">
        <v>40</v>
      </c>
      <c r="O30" s="23" t="s">
        <v>387</v>
      </c>
      <c r="P30" s="23" t="s">
        <v>40</v>
      </c>
      <c r="Q30" s="23" t="s">
        <v>40</v>
      </c>
      <c r="R30" s="23" t="s">
        <v>114</v>
      </c>
      <c r="S30" s="23" t="s">
        <v>40</v>
      </c>
      <c r="T30" s="23" t="s">
        <v>40</v>
      </c>
    </row>
    <row r="31" spans="1:20" x14ac:dyDescent="0.25">
      <c r="A31" s="23" t="s">
        <v>2871</v>
      </c>
      <c r="B31" s="23" t="s">
        <v>113</v>
      </c>
      <c r="C31" s="23" t="s">
        <v>2856</v>
      </c>
      <c r="D31" s="23" t="s">
        <v>2872</v>
      </c>
      <c r="E31" s="23" t="s">
        <v>2702</v>
      </c>
      <c r="F31" s="23" t="s">
        <v>40</v>
      </c>
      <c r="G31" s="23" t="s">
        <v>2873</v>
      </c>
      <c r="H31" s="23" t="s">
        <v>2874</v>
      </c>
      <c r="I31" s="23" t="s">
        <v>2875</v>
      </c>
      <c r="J31" s="23" t="s">
        <v>14</v>
      </c>
      <c r="K31" s="24" t="s">
        <v>386</v>
      </c>
      <c r="L31" s="23" t="s">
        <v>405</v>
      </c>
      <c r="M31" s="25" t="s">
        <v>18</v>
      </c>
      <c r="N31" s="23" t="s">
        <v>40</v>
      </c>
      <c r="O31" s="23" t="s">
        <v>387</v>
      </c>
      <c r="P31" s="23" t="s">
        <v>40</v>
      </c>
      <c r="Q31" s="23" t="s">
        <v>40</v>
      </c>
      <c r="R31" s="23" t="s">
        <v>114</v>
      </c>
      <c r="S31" s="23" t="s">
        <v>40</v>
      </c>
      <c r="T31" s="23" t="s">
        <v>40</v>
      </c>
    </row>
    <row r="32" spans="1:20" x14ac:dyDescent="0.25">
      <c r="A32" s="23" t="s">
        <v>2876</v>
      </c>
      <c r="B32" s="23" t="s">
        <v>113</v>
      </c>
      <c r="C32" s="23" t="s">
        <v>2856</v>
      </c>
      <c r="D32" s="23" t="s">
        <v>2877</v>
      </c>
      <c r="E32" s="23" t="s">
        <v>2702</v>
      </c>
      <c r="F32" s="23" t="s">
        <v>40</v>
      </c>
      <c r="G32" s="23" t="s">
        <v>2878</v>
      </c>
      <c r="H32" s="23" t="s">
        <v>2879</v>
      </c>
      <c r="I32" s="23" t="s">
        <v>2880</v>
      </c>
      <c r="J32" s="23" t="s">
        <v>15</v>
      </c>
      <c r="K32" s="27" t="s">
        <v>404</v>
      </c>
      <c r="L32" s="23" t="s">
        <v>490</v>
      </c>
      <c r="M32" s="25" t="s">
        <v>18</v>
      </c>
      <c r="N32" s="23" t="s">
        <v>40</v>
      </c>
      <c r="O32" s="23" t="s">
        <v>387</v>
      </c>
      <c r="P32" s="23" t="s">
        <v>40</v>
      </c>
      <c r="Q32" s="23" t="s">
        <v>40</v>
      </c>
      <c r="R32" s="23" t="s">
        <v>114</v>
      </c>
      <c r="S32" s="23" t="s">
        <v>40</v>
      </c>
      <c r="T32" s="23" t="s">
        <v>40</v>
      </c>
    </row>
    <row r="33" spans="1:20" x14ac:dyDescent="0.25">
      <c r="A33" s="23" t="s">
        <v>2881</v>
      </c>
      <c r="B33" s="23" t="s">
        <v>113</v>
      </c>
      <c r="C33" s="23" t="s">
        <v>2856</v>
      </c>
      <c r="D33" s="23" t="s">
        <v>2882</v>
      </c>
      <c r="E33" s="23" t="s">
        <v>2702</v>
      </c>
      <c r="F33" s="23" t="s">
        <v>40</v>
      </c>
      <c r="G33" s="23" t="s">
        <v>2883</v>
      </c>
      <c r="H33" s="23" t="s">
        <v>2884</v>
      </c>
      <c r="I33" s="23" t="s">
        <v>2885</v>
      </c>
      <c r="J33" s="23" t="s">
        <v>14</v>
      </c>
      <c r="K33" s="24" t="s">
        <v>386</v>
      </c>
      <c r="L33" s="23" t="s">
        <v>405</v>
      </c>
      <c r="M33" s="25" t="s">
        <v>18</v>
      </c>
      <c r="N33" s="23" t="s">
        <v>40</v>
      </c>
      <c r="O33" s="23" t="s">
        <v>387</v>
      </c>
      <c r="P33" s="23" t="s">
        <v>40</v>
      </c>
      <c r="Q33" s="23" t="s">
        <v>40</v>
      </c>
      <c r="R33" s="23" t="s">
        <v>114</v>
      </c>
      <c r="S33" s="23" t="s">
        <v>40</v>
      </c>
      <c r="T33" s="23" t="s">
        <v>2886</v>
      </c>
    </row>
    <row r="34" spans="1:20" x14ac:dyDescent="0.25">
      <c r="A34" s="23" t="s">
        <v>2887</v>
      </c>
      <c r="B34" s="23" t="s">
        <v>113</v>
      </c>
      <c r="C34" s="23" t="s">
        <v>2888</v>
      </c>
      <c r="D34" s="23" t="s">
        <v>2889</v>
      </c>
      <c r="E34" s="23" t="s">
        <v>2702</v>
      </c>
      <c r="F34" s="23" t="s">
        <v>40</v>
      </c>
      <c r="G34" s="23" t="s">
        <v>2890</v>
      </c>
      <c r="H34" s="23" t="s">
        <v>2891</v>
      </c>
      <c r="I34" s="23" t="s">
        <v>2892</v>
      </c>
      <c r="J34" s="23" t="s">
        <v>801</v>
      </c>
      <c r="K34" s="26" t="s">
        <v>396</v>
      </c>
      <c r="L34" s="23" t="s">
        <v>13</v>
      </c>
      <c r="M34" s="28" t="s">
        <v>16</v>
      </c>
      <c r="N34" s="23" t="s">
        <v>2720</v>
      </c>
      <c r="O34" s="29" t="s">
        <v>87</v>
      </c>
      <c r="P34" s="23" t="s">
        <v>40</v>
      </c>
      <c r="Q34" s="23" t="s">
        <v>40</v>
      </c>
      <c r="R34" s="23" t="s">
        <v>114</v>
      </c>
      <c r="S34" s="23" t="s">
        <v>40</v>
      </c>
      <c r="T34" s="23" t="s">
        <v>2893</v>
      </c>
    </row>
    <row r="35" spans="1:20" x14ac:dyDescent="0.25">
      <c r="A35" s="23" t="s">
        <v>2894</v>
      </c>
      <c r="B35" s="23" t="s">
        <v>113</v>
      </c>
      <c r="C35" s="23" t="s">
        <v>2888</v>
      </c>
      <c r="D35" s="23" t="s">
        <v>2895</v>
      </c>
      <c r="E35" s="23" t="s">
        <v>2702</v>
      </c>
      <c r="F35" s="23" t="s">
        <v>40</v>
      </c>
      <c r="G35" s="23" t="s">
        <v>2896</v>
      </c>
      <c r="H35" s="23" t="s">
        <v>2897</v>
      </c>
      <c r="I35" s="23" t="s">
        <v>2898</v>
      </c>
      <c r="J35" s="23" t="s">
        <v>15</v>
      </c>
      <c r="K35" s="24" t="s">
        <v>386</v>
      </c>
      <c r="L35" s="23" t="s">
        <v>13</v>
      </c>
      <c r="M35" s="25" t="s">
        <v>18</v>
      </c>
      <c r="N35" s="23" t="s">
        <v>40</v>
      </c>
      <c r="O35" s="23" t="s">
        <v>387</v>
      </c>
      <c r="P35" s="23" t="s">
        <v>40</v>
      </c>
      <c r="Q35" s="23" t="s">
        <v>40</v>
      </c>
      <c r="R35" s="23" t="s">
        <v>114</v>
      </c>
      <c r="S35" s="23" t="s">
        <v>40</v>
      </c>
      <c r="T35" s="23" t="s">
        <v>2899</v>
      </c>
    </row>
    <row r="36" spans="1:20" x14ac:dyDescent="0.25">
      <c r="A36" s="23" t="s">
        <v>2900</v>
      </c>
      <c r="B36" s="23" t="s">
        <v>113</v>
      </c>
      <c r="C36" s="23" t="s">
        <v>2888</v>
      </c>
      <c r="D36" s="23" t="s">
        <v>2901</v>
      </c>
      <c r="E36" s="23" t="s">
        <v>2702</v>
      </c>
      <c r="F36" s="23" t="s">
        <v>40</v>
      </c>
      <c r="G36" s="23" t="s">
        <v>2902</v>
      </c>
      <c r="H36" s="23" t="s">
        <v>2903</v>
      </c>
      <c r="I36" s="23" t="s">
        <v>2904</v>
      </c>
      <c r="J36" s="23" t="s">
        <v>14</v>
      </c>
      <c r="K36" s="24" t="s">
        <v>386</v>
      </c>
      <c r="L36" s="23" t="s">
        <v>405</v>
      </c>
      <c r="M36" s="25" t="s">
        <v>18</v>
      </c>
      <c r="N36" s="23" t="s">
        <v>40</v>
      </c>
      <c r="O36" s="23" t="s">
        <v>387</v>
      </c>
      <c r="P36" s="23" t="s">
        <v>40</v>
      </c>
      <c r="Q36" s="23" t="s">
        <v>40</v>
      </c>
      <c r="R36" s="23" t="s">
        <v>114</v>
      </c>
      <c r="S36" s="23" t="s">
        <v>40</v>
      </c>
      <c r="T36" s="23" t="s">
        <v>40</v>
      </c>
    </row>
    <row r="37" spans="1:20" x14ac:dyDescent="0.25">
      <c r="A37" s="23" t="s">
        <v>2905</v>
      </c>
      <c r="B37" s="23" t="s">
        <v>113</v>
      </c>
      <c r="C37" s="23" t="s">
        <v>2888</v>
      </c>
      <c r="D37" s="23" t="s">
        <v>2906</v>
      </c>
      <c r="E37" s="23" t="s">
        <v>2702</v>
      </c>
      <c r="F37" s="23" t="s">
        <v>40</v>
      </c>
      <c r="G37" s="23" t="s">
        <v>2907</v>
      </c>
      <c r="H37" s="23" t="s">
        <v>2908</v>
      </c>
      <c r="I37" s="23" t="s">
        <v>2909</v>
      </c>
      <c r="J37" s="23" t="s">
        <v>385</v>
      </c>
      <c r="K37" s="32" t="s">
        <v>747</v>
      </c>
      <c r="L37" s="23" t="s">
        <v>490</v>
      </c>
      <c r="M37" s="25" t="s">
        <v>18</v>
      </c>
      <c r="N37" s="23" t="s">
        <v>40</v>
      </c>
      <c r="O37" s="23" t="s">
        <v>387</v>
      </c>
      <c r="P37" s="23" t="s">
        <v>40</v>
      </c>
      <c r="Q37" s="23" t="s">
        <v>40</v>
      </c>
      <c r="R37" s="23" t="s">
        <v>114</v>
      </c>
      <c r="S37" s="23" t="s">
        <v>40</v>
      </c>
      <c r="T37" s="23" t="s">
        <v>40</v>
      </c>
    </row>
    <row r="38" spans="1:20" x14ac:dyDescent="0.25">
      <c r="A38" s="23" t="s">
        <v>2910</v>
      </c>
      <c r="B38" s="23" t="s">
        <v>113</v>
      </c>
      <c r="C38" s="23" t="s">
        <v>2911</v>
      </c>
      <c r="D38" s="23" t="s">
        <v>2912</v>
      </c>
      <c r="E38" s="23" t="s">
        <v>2702</v>
      </c>
      <c r="F38" s="23" t="s">
        <v>40</v>
      </c>
      <c r="G38" s="23" t="s">
        <v>2913</v>
      </c>
      <c r="H38" s="23" t="s">
        <v>2914</v>
      </c>
      <c r="I38" s="23" t="s">
        <v>2915</v>
      </c>
      <c r="J38" s="23" t="s">
        <v>14</v>
      </c>
      <c r="K38" s="24" t="s">
        <v>386</v>
      </c>
      <c r="L38" s="23" t="s">
        <v>405</v>
      </c>
      <c r="M38" s="25" t="s">
        <v>18</v>
      </c>
      <c r="N38" s="23" t="s">
        <v>40</v>
      </c>
      <c r="O38" s="23" t="s">
        <v>387</v>
      </c>
      <c r="P38" s="23" t="s">
        <v>40</v>
      </c>
      <c r="Q38" s="23" t="s">
        <v>40</v>
      </c>
      <c r="R38" s="23" t="s">
        <v>114</v>
      </c>
      <c r="S38" s="23" t="s">
        <v>40</v>
      </c>
      <c r="T38" s="23" t="s">
        <v>40</v>
      </c>
    </row>
    <row r="39" spans="1:20" x14ac:dyDescent="0.25">
      <c r="A39" s="23" t="s">
        <v>2916</v>
      </c>
      <c r="B39" s="23" t="s">
        <v>113</v>
      </c>
      <c r="C39" s="23" t="s">
        <v>2911</v>
      </c>
      <c r="D39" s="23" t="s">
        <v>2917</v>
      </c>
      <c r="E39" s="23" t="s">
        <v>2702</v>
      </c>
      <c r="F39" s="23" t="s">
        <v>40</v>
      </c>
      <c r="G39" s="23" t="s">
        <v>2918</v>
      </c>
      <c r="H39" s="23" t="s">
        <v>2919</v>
      </c>
      <c r="I39" s="23" t="s">
        <v>2920</v>
      </c>
      <c r="J39" s="23" t="s">
        <v>15</v>
      </c>
      <c r="K39" s="27" t="s">
        <v>404</v>
      </c>
      <c r="L39" s="23" t="s">
        <v>490</v>
      </c>
      <c r="M39" s="25" t="s">
        <v>18</v>
      </c>
      <c r="N39" s="23" t="s">
        <v>40</v>
      </c>
      <c r="O39" s="23" t="s">
        <v>387</v>
      </c>
      <c r="P39" s="23" t="s">
        <v>40</v>
      </c>
      <c r="Q39" s="23" t="s">
        <v>40</v>
      </c>
      <c r="R39" s="23" t="s">
        <v>114</v>
      </c>
      <c r="S39" s="23" t="s">
        <v>40</v>
      </c>
      <c r="T39" s="23" t="s">
        <v>40</v>
      </c>
    </row>
    <row r="40" spans="1:20" x14ac:dyDescent="0.25">
      <c r="A40" s="23" t="s">
        <v>2921</v>
      </c>
      <c r="B40" s="23" t="s">
        <v>113</v>
      </c>
      <c r="C40" s="23" t="s">
        <v>2911</v>
      </c>
      <c r="D40" s="23" t="s">
        <v>2922</v>
      </c>
      <c r="E40" s="23" t="s">
        <v>2702</v>
      </c>
      <c r="F40" s="23" t="s">
        <v>40</v>
      </c>
      <c r="G40" s="23" t="s">
        <v>2923</v>
      </c>
      <c r="H40" s="23" t="s">
        <v>2924</v>
      </c>
      <c r="I40" s="23" t="s">
        <v>2925</v>
      </c>
      <c r="J40" s="23" t="s">
        <v>14</v>
      </c>
      <c r="K40" s="27" t="s">
        <v>404</v>
      </c>
      <c r="L40" s="23" t="s">
        <v>490</v>
      </c>
      <c r="M40" s="25" t="s">
        <v>18</v>
      </c>
      <c r="N40" s="23" t="s">
        <v>40</v>
      </c>
      <c r="O40" s="23" t="s">
        <v>387</v>
      </c>
      <c r="P40" s="23" t="s">
        <v>40</v>
      </c>
      <c r="Q40" s="23" t="s">
        <v>40</v>
      </c>
      <c r="R40" s="23" t="s">
        <v>114</v>
      </c>
      <c r="S40" s="23" t="s">
        <v>40</v>
      </c>
      <c r="T40" s="23" t="s">
        <v>40</v>
      </c>
    </row>
    <row r="41" spans="1:20" x14ac:dyDescent="0.25">
      <c r="A41" s="23" t="s">
        <v>2926</v>
      </c>
      <c r="B41" s="23" t="s">
        <v>113</v>
      </c>
      <c r="C41" s="23" t="s">
        <v>2911</v>
      </c>
      <c r="D41" s="23" t="s">
        <v>2927</v>
      </c>
      <c r="E41" s="23" t="s">
        <v>2702</v>
      </c>
      <c r="F41" s="23" t="s">
        <v>40</v>
      </c>
      <c r="G41" s="23" t="s">
        <v>2928</v>
      </c>
      <c r="H41" s="23" t="s">
        <v>2929</v>
      </c>
      <c r="I41" s="23" t="s">
        <v>2930</v>
      </c>
      <c r="J41" s="23" t="s">
        <v>14</v>
      </c>
      <c r="K41" s="24" t="s">
        <v>386</v>
      </c>
      <c r="L41" s="23" t="s">
        <v>405</v>
      </c>
      <c r="M41" s="25" t="s">
        <v>18</v>
      </c>
      <c r="N41" s="23" t="s">
        <v>40</v>
      </c>
      <c r="O41" s="23" t="s">
        <v>387</v>
      </c>
      <c r="P41" s="23" t="s">
        <v>40</v>
      </c>
      <c r="Q41" s="23" t="s">
        <v>40</v>
      </c>
      <c r="R41" s="23" t="s">
        <v>114</v>
      </c>
      <c r="S41" s="23" t="s">
        <v>40</v>
      </c>
      <c r="T41" s="23" t="s">
        <v>2712</v>
      </c>
    </row>
    <row r="42" spans="1:20" x14ac:dyDescent="0.25">
      <c r="A42" s="23" t="s">
        <v>2931</v>
      </c>
      <c r="B42" s="23" t="s">
        <v>113</v>
      </c>
      <c r="C42" s="23" t="s">
        <v>2911</v>
      </c>
      <c r="D42" s="23" t="s">
        <v>2932</v>
      </c>
      <c r="E42" s="23" t="s">
        <v>2702</v>
      </c>
      <c r="F42" s="23" t="s">
        <v>40</v>
      </c>
      <c r="G42" s="23" t="s">
        <v>2933</v>
      </c>
      <c r="H42" s="23" t="s">
        <v>2934</v>
      </c>
      <c r="I42" s="23" t="s">
        <v>2935</v>
      </c>
      <c r="J42" s="23" t="s">
        <v>385</v>
      </c>
      <c r="K42" s="32" t="s">
        <v>747</v>
      </c>
      <c r="L42" s="23" t="s">
        <v>490</v>
      </c>
      <c r="M42" s="25" t="s">
        <v>18</v>
      </c>
      <c r="N42" s="23" t="s">
        <v>40</v>
      </c>
      <c r="O42" s="23" t="s">
        <v>387</v>
      </c>
      <c r="P42" s="23" t="s">
        <v>40</v>
      </c>
      <c r="Q42" s="23" t="s">
        <v>40</v>
      </c>
      <c r="R42" s="23" t="s">
        <v>114</v>
      </c>
      <c r="S42" s="23" t="s">
        <v>40</v>
      </c>
      <c r="T42" s="23" t="s">
        <v>40</v>
      </c>
    </row>
    <row r="43" spans="1:20" x14ac:dyDescent="0.25">
      <c r="A43" s="23" t="s">
        <v>2936</v>
      </c>
      <c r="B43" s="23" t="s">
        <v>113</v>
      </c>
      <c r="C43" s="23" t="s">
        <v>2911</v>
      </c>
      <c r="D43" s="23" t="s">
        <v>2937</v>
      </c>
      <c r="E43" s="23" t="s">
        <v>2702</v>
      </c>
      <c r="F43" s="23" t="s">
        <v>40</v>
      </c>
      <c r="G43" s="23" t="s">
        <v>2938</v>
      </c>
      <c r="H43" s="23" t="s">
        <v>2939</v>
      </c>
      <c r="I43" s="23" t="s">
        <v>2940</v>
      </c>
      <c r="J43" s="23" t="s">
        <v>385</v>
      </c>
      <c r="K43" s="32" t="s">
        <v>747</v>
      </c>
      <c r="L43" s="23" t="s">
        <v>490</v>
      </c>
      <c r="M43" s="25" t="s">
        <v>18</v>
      </c>
      <c r="N43" s="23" t="s">
        <v>40</v>
      </c>
      <c r="O43" s="23" t="s">
        <v>387</v>
      </c>
      <c r="P43" s="23" t="s">
        <v>40</v>
      </c>
      <c r="Q43" s="23" t="s">
        <v>40</v>
      </c>
      <c r="R43" s="23" t="s">
        <v>114</v>
      </c>
      <c r="S43" s="23" t="s">
        <v>40</v>
      </c>
      <c r="T43" s="23" t="s">
        <v>40</v>
      </c>
    </row>
    <row r="44" spans="1:20" x14ac:dyDescent="0.25">
      <c r="A44" s="23" t="s">
        <v>2941</v>
      </c>
      <c r="B44" s="23" t="s">
        <v>113</v>
      </c>
      <c r="C44" s="23" t="s">
        <v>2942</v>
      </c>
      <c r="D44" s="23" t="s">
        <v>2943</v>
      </c>
      <c r="E44" s="23" t="s">
        <v>2944</v>
      </c>
      <c r="F44" s="23" t="s">
        <v>40</v>
      </c>
      <c r="G44" s="23" t="s">
        <v>2945</v>
      </c>
      <c r="H44" s="23" t="s">
        <v>2946</v>
      </c>
      <c r="I44" s="23" t="s">
        <v>2947</v>
      </c>
      <c r="J44" s="23" t="s">
        <v>525</v>
      </c>
      <c r="K44" s="24" t="s">
        <v>386</v>
      </c>
      <c r="L44" s="23" t="s">
        <v>13</v>
      </c>
      <c r="M44" s="25" t="s">
        <v>18</v>
      </c>
      <c r="N44" s="23" t="s">
        <v>40</v>
      </c>
      <c r="O44" s="23" t="s">
        <v>387</v>
      </c>
      <c r="P44" s="23" t="s">
        <v>40</v>
      </c>
      <c r="Q44" s="23" t="s">
        <v>40</v>
      </c>
      <c r="R44" s="23" t="s">
        <v>114</v>
      </c>
      <c r="S44" s="23" t="s">
        <v>40</v>
      </c>
      <c r="T44" s="23" t="s">
        <v>2948</v>
      </c>
    </row>
    <row r="45" spans="1:20" x14ac:dyDescent="0.25">
      <c r="A45" s="23" t="s">
        <v>2949</v>
      </c>
      <c r="B45" s="23" t="s">
        <v>113</v>
      </c>
      <c r="C45" s="23" t="s">
        <v>2942</v>
      </c>
      <c r="D45" s="23" t="s">
        <v>2950</v>
      </c>
      <c r="E45" s="23" t="s">
        <v>2951</v>
      </c>
      <c r="F45" s="23" t="s">
        <v>40</v>
      </c>
      <c r="G45" s="23" t="s">
        <v>2952</v>
      </c>
      <c r="H45" s="23" t="s">
        <v>2953</v>
      </c>
      <c r="I45" s="23" t="s">
        <v>2954</v>
      </c>
      <c r="J45" s="23" t="s">
        <v>395</v>
      </c>
      <c r="K45" s="26" t="s">
        <v>396</v>
      </c>
      <c r="L45" s="23" t="s">
        <v>13</v>
      </c>
      <c r="M45" s="25" t="s">
        <v>18</v>
      </c>
      <c r="N45" s="23" t="s">
        <v>40</v>
      </c>
      <c r="O45" s="23" t="s">
        <v>387</v>
      </c>
      <c r="P45" s="23" t="s">
        <v>40</v>
      </c>
      <c r="Q45" s="23" t="s">
        <v>40</v>
      </c>
      <c r="R45" s="23" t="s">
        <v>114</v>
      </c>
      <c r="S45" s="23" t="s">
        <v>40</v>
      </c>
      <c r="T45" s="23" t="s">
        <v>40</v>
      </c>
    </row>
    <row r="46" spans="1:20" x14ac:dyDescent="0.25">
      <c r="A46" s="23" t="s">
        <v>2955</v>
      </c>
      <c r="B46" s="23" t="s">
        <v>113</v>
      </c>
      <c r="C46" s="23" t="s">
        <v>2942</v>
      </c>
      <c r="D46" s="23" t="s">
        <v>2956</v>
      </c>
      <c r="E46" s="23" t="s">
        <v>2957</v>
      </c>
      <c r="F46" s="23" t="s">
        <v>40</v>
      </c>
      <c r="G46" s="23" t="s">
        <v>2958</v>
      </c>
      <c r="H46" s="23" t="s">
        <v>2959</v>
      </c>
      <c r="I46" s="23" t="s">
        <v>2960</v>
      </c>
      <c r="J46" s="23" t="s">
        <v>525</v>
      </c>
      <c r="K46" s="24" t="s">
        <v>386</v>
      </c>
      <c r="L46" s="23" t="s">
        <v>405</v>
      </c>
      <c r="M46" s="25" t="s">
        <v>18</v>
      </c>
      <c r="N46" s="23" t="s">
        <v>40</v>
      </c>
      <c r="O46" s="23" t="s">
        <v>387</v>
      </c>
      <c r="P46" s="23" t="s">
        <v>40</v>
      </c>
      <c r="Q46" s="23" t="s">
        <v>40</v>
      </c>
      <c r="R46" s="23" t="s">
        <v>114</v>
      </c>
      <c r="S46" s="23" t="s">
        <v>40</v>
      </c>
      <c r="T46" s="23" t="s">
        <v>2961</v>
      </c>
    </row>
    <row r="47" spans="1:20" x14ac:dyDescent="0.25">
      <c r="A47" s="23" t="s">
        <v>2962</v>
      </c>
      <c r="B47" s="23" t="s">
        <v>116</v>
      </c>
      <c r="C47" s="23" t="s">
        <v>944</v>
      </c>
      <c r="D47" s="23" t="s">
        <v>2963</v>
      </c>
      <c r="E47" s="23" t="s">
        <v>2964</v>
      </c>
      <c r="F47" s="23" t="s">
        <v>40</v>
      </c>
      <c r="G47" s="23" t="s">
        <v>2965</v>
      </c>
      <c r="H47" s="23" t="s">
        <v>2966</v>
      </c>
      <c r="I47" s="23" t="s">
        <v>2967</v>
      </c>
      <c r="J47" s="23" t="s">
        <v>385</v>
      </c>
      <c r="K47" s="24" t="s">
        <v>386</v>
      </c>
      <c r="L47" s="23" t="s">
        <v>13</v>
      </c>
      <c r="M47" s="31" t="s">
        <v>17</v>
      </c>
      <c r="N47" s="23" t="s">
        <v>2968</v>
      </c>
      <c r="O47" s="29" t="s">
        <v>87</v>
      </c>
      <c r="P47" s="23" t="s">
        <v>40</v>
      </c>
      <c r="Q47" s="23" t="s">
        <v>40</v>
      </c>
      <c r="R47" s="23" t="s">
        <v>117</v>
      </c>
      <c r="S47" s="23" t="s">
        <v>40</v>
      </c>
      <c r="T47" s="23" t="s">
        <v>40</v>
      </c>
    </row>
    <row r="48" spans="1:20" x14ac:dyDescent="0.25">
      <c r="A48" s="23" t="s">
        <v>2969</v>
      </c>
      <c r="B48" s="23" t="s">
        <v>116</v>
      </c>
      <c r="C48" s="23" t="s">
        <v>944</v>
      </c>
      <c r="D48" s="23" t="s">
        <v>2970</v>
      </c>
      <c r="E48" s="23" t="s">
        <v>2964</v>
      </c>
      <c r="F48" s="23" t="s">
        <v>40</v>
      </c>
      <c r="G48" s="23" t="s">
        <v>2971</v>
      </c>
      <c r="H48" s="23" t="s">
        <v>2972</v>
      </c>
      <c r="I48" s="23" t="s">
        <v>2973</v>
      </c>
      <c r="J48" s="23" t="s">
        <v>385</v>
      </c>
      <c r="K48" s="27" t="s">
        <v>404</v>
      </c>
      <c r="L48" s="23" t="s">
        <v>405</v>
      </c>
      <c r="M48" s="25" t="s">
        <v>18</v>
      </c>
      <c r="N48" s="23" t="s">
        <v>40</v>
      </c>
      <c r="O48" s="23" t="s">
        <v>387</v>
      </c>
      <c r="P48" s="23" t="s">
        <v>40</v>
      </c>
      <c r="Q48" s="23" t="s">
        <v>40</v>
      </c>
      <c r="R48" s="23" t="s">
        <v>117</v>
      </c>
      <c r="S48" s="23" t="s">
        <v>40</v>
      </c>
      <c r="T48" s="23" t="s">
        <v>2974</v>
      </c>
    </row>
    <row r="49" spans="1:20" x14ac:dyDescent="0.25">
      <c r="A49" s="23" t="s">
        <v>2975</v>
      </c>
      <c r="B49" s="23" t="s">
        <v>116</v>
      </c>
      <c r="C49" s="23" t="s">
        <v>2976</v>
      </c>
      <c r="D49" s="23" t="s">
        <v>2977</v>
      </c>
      <c r="E49" s="23" t="s">
        <v>2964</v>
      </c>
      <c r="F49" s="23" t="s">
        <v>2978</v>
      </c>
      <c r="G49" s="23" t="s">
        <v>2979</v>
      </c>
      <c r="H49" s="23" t="s">
        <v>2980</v>
      </c>
      <c r="I49" s="23" t="s">
        <v>2981</v>
      </c>
      <c r="J49" s="23" t="s">
        <v>14</v>
      </c>
      <c r="K49" s="26" t="s">
        <v>396</v>
      </c>
      <c r="L49" s="23" t="s">
        <v>13</v>
      </c>
      <c r="M49" s="28" t="s">
        <v>16</v>
      </c>
      <c r="N49" s="23" t="s">
        <v>2982</v>
      </c>
      <c r="O49" s="29" t="s">
        <v>87</v>
      </c>
      <c r="P49" s="23" t="s">
        <v>40</v>
      </c>
      <c r="Q49" s="23" t="s">
        <v>40</v>
      </c>
      <c r="R49" s="23" t="s">
        <v>117</v>
      </c>
      <c r="S49" s="23" t="s">
        <v>40</v>
      </c>
      <c r="T49" s="23" t="s">
        <v>40</v>
      </c>
    </row>
    <row r="50" spans="1:20" x14ac:dyDescent="0.25">
      <c r="A50" s="23" t="s">
        <v>2983</v>
      </c>
      <c r="B50" s="23" t="s">
        <v>116</v>
      </c>
      <c r="C50" s="23" t="s">
        <v>2976</v>
      </c>
      <c r="D50" s="23" t="s">
        <v>2984</v>
      </c>
      <c r="E50" s="23" t="s">
        <v>2964</v>
      </c>
      <c r="F50" s="23" t="s">
        <v>40</v>
      </c>
      <c r="G50" s="23" t="s">
        <v>2985</v>
      </c>
      <c r="H50" s="23" t="s">
        <v>2986</v>
      </c>
      <c r="I50" s="23" t="s">
        <v>2987</v>
      </c>
      <c r="J50" s="23" t="s">
        <v>14</v>
      </c>
      <c r="K50" s="24" t="s">
        <v>386</v>
      </c>
      <c r="L50" s="23" t="s">
        <v>405</v>
      </c>
      <c r="M50" s="25" t="s">
        <v>18</v>
      </c>
      <c r="N50" s="23" t="s">
        <v>40</v>
      </c>
      <c r="O50" s="23" t="s">
        <v>387</v>
      </c>
      <c r="P50" s="23" t="s">
        <v>40</v>
      </c>
      <c r="Q50" s="23" t="s">
        <v>40</v>
      </c>
      <c r="R50" s="23" t="s">
        <v>117</v>
      </c>
      <c r="S50" s="23" t="s">
        <v>40</v>
      </c>
      <c r="T50" s="23" t="s">
        <v>40</v>
      </c>
    </row>
    <row r="51" spans="1:20" x14ac:dyDescent="0.25">
      <c r="A51" s="23" t="s">
        <v>2988</v>
      </c>
      <c r="B51" s="23" t="s">
        <v>116</v>
      </c>
      <c r="C51" s="23" t="s">
        <v>2976</v>
      </c>
      <c r="D51" s="23" t="s">
        <v>2989</v>
      </c>
      <c r="E51" s="23" t="s">
        <v>2964</v>
      </c>
      <c r="F51" s="23" t="s">
        <v>40</v>
      </c>
      <c r="G51" s="23" t="s">
        <v>2990</v>
      </c>
      <c r="H51" s="23" t="s">
        <v>2991</v>
      </c>
      <c r="I51" s="23" t="s">
        <v>2992</v>
      </c>
      <c r="J51" s="23" t="s">
        <v>14</v>
      </c>
      <c r="K51" s="24" t="s">
        <v>386</v>
      </c>
      <c r="L51" s="23" t="s">
        <v>405</v>
      </c>
      <c r="M51" s="25" t="s">
        <v>18</v>
      </c>
      <c r="N51" s="23" t="s">
        <v>40</v>
      </c>
      <c r="O51" s="23" t="s">
        <v>387</v>
      </c>
      <c r="P51" s="23" t="s">
        <v>40</v>
      </c>
      <c r="Q51" s="23" t="s">
        <v>40</v>
      </c>
      <c r="R51" s="23" t="s">
        <v>117</v>
      </c>
      <c r="S51" s="23" t="s">
        <v>2993</v>
      </c>
      <c r="T51" s="23" t="s">
        <v>2994</v>
      </c>
    </row>
    <row r="52" spans="1:20" x14ac:dyDescent="0.25">
      <c r="A52" s="23" t="s">
        <v>2995</v>
      </c>
      <c r="B52" s="23" t="s">
        <v>116</v>
      </c>
      <c r="C52" s="23" t="s">
        <v>2976</v>
      </c>
      <c r="D52" s="23" t="s">
        <v>2996</v>
      </c>
      <c r="E52" s="23" t="s">
        <v>2964</v>
      </c>
      <c r="F52" s="23" t="s">
        <v>40</v>
      </c>
      <c r="G52" s="23" t="s">
        <v>2997</v>
      </c>
      <c r="H52" s="23" t="s">
        <v>2998</v>
      </c>
      <c r="I52" s="23" t="s">
        <v>2999</v>
      </c>
      <c r="J52" s="23" t="s">
        <v>466</v>
      </c>
      <c r="K52" s="24" t="s">
        <v>386</v>
      </c>
      <c r="L52" s="23" t="s">
        <v>13</v>
      </c>
      <c r="M52" s="25" t="s">
        <v>18</v>
      </c>
      <c r="N52" s="23" t="s">
        <v>40</v>
      </c>
      <c r="O52" s="23" t="s">
        <v>387</v>
      </c>
      <c r="P52" s="23" t="s">
        <v>40</v>
      </c>
      <c r="Q52" s="23" t="s">
        <v>40</v>
      </c>
      <c r="R52" s="23" t="s">
        <v>117</v>
      </c>
      <c r="S52" s="23" t="s">
        <v>40</v>
      </c>
      <c r="T52" s="23" t="s">
        <v>40</v>
      </c>
    </row>
    <row r="53" spans="1:20" x14ac:dyDescent="0.25">
      <c r="A53" s="23" t="s">
        <v>3000</v>
      </c>
      <c r="B53" s="23" t="s">
        <v>116</v>
      </c>
      <c r="C53" s="23" t="s">
        <v>2976</v>
      </c>
      <c r="D53" s="23" t="s">
        <v>3001</v>
      </c>
      <c r="E53" s="23" t="s">
        <v>2964</v>
      </c>
      <c r="F53" s="23" t="s">
        <v>40</v>
      </c>
      <c r="G53" s="23" t="s">
        <v>3002</v>
      </c>
      <c r="H53" s="23" t="s">
        <v>3003</v>
      </c>
      <c r="I53" s="23" t="s">
        <v>3004</v>
      </c>
      <c r="J53" s="23" t="s">
        <v>466</v>
      </c>
      <c r="K53" s="27" t="s">
        <v>404</v>
      </c>
      <c r="L53" s="23" t="s">
        <v>405</v>
      </c>
      <c r="M53" s="25" t="s">
        <v>18</v>
      </c>
      <c r="N53" s="23" t="s">
        <v>40</v>
      </c>
      <c r="O53" s="23" t="s">
        <v>387</v>
      </c>
      <c r="P53" s="23" t="s">
        <v>40</v>
      </c>
      <c r="Q53" s="23" t="s">
        <v>40</v>
      </c>
      <c r="R53" s="23" t="s">
        <v>117</v>
      </c>
      <c r="S53" s="23" t="s">
        <v>40</v>
      </c>
      <c r="T53" s="23" t="s">
        <v>40</v>
      </c>
    </row>
    <row r="54" spans="1:20" x14ac:dyDescent="0.25">
      <c r="A54" s="23" t="s">
        <v>3005</v>
      </c>
      <c r="B54" s="23" t="s">
        <v>116</v>
      </c>
      <c r="C54" s="23" t="s">
        <v>2976</v>
      </c>
      <c r="D54" s="23" t="s">
        <v>3006</v>
      </c>
      <c r="E54" s="23" t="s">
        <v>2964</v>
      </c>
      <c r="F54" s="23" t="s">
        <v>40</v>
      </c>
      <c r="G54" s="23" t="s">
        <v>3007</v>
      </c>
      <c r="H54" s="23" t="s">
        <v>3008</v>
      </c>
      <c r="I54" s="23" t="s">
        <v>3009</v>
      </c>
      <c r="J54" s="23" t="s">
        <v>466</v>
      </c>
      <c r="K54" s="27" t="s">
        <v>404</v>
      </c>
      <c r="L54" s="23" t="s">
        <v>405</v>
      </c>
      <c r="M54" s="25" t="s">
        <v>18</v>
      </c>
      <c r="N54" s="23" t="s">
        <v>40</v>
      </c>
      <c r="O54" s="23" t="s">
        <v>387</v>
      </c>
      <c r="P54" s="23" t="s">
        <v>40</v>
      </c>
      <c r="Q54" s="23" t="s">
        <v>40</v>
      </c>
      <c r="R54" s="23" t="s">
        <v>117</v>
      </c>
      <c r="S54" s="23" t="s">
        <v>40</v>
      </c>
      <c r="T54" s="23" t="s">
        <v>40</v>
      </c>
    </row>
    <row r="55" spans="1:20" x14ac:dyDescent="0.25">
      <c r="A55" s="23" t="s">
        <v>3010</v>
      </c>
      <c r="B55" s="23" t="s">
        <v>116</v>
      </c>
      <c r="C55" s="23" t="s">
        <v>2976</v>
      </c>
      <c r="D55" s="23" t="s">
        <v>3011</v>
      </c>
      <c r="E55" s="23" t="s">
        <v>2964</v>
      </c>
      <c r="F55" s="23" t="s">
        <v>40</v>
      </c>
      <c r="G55" s="23" t="s">
        <v>3012</v>
      </c>
      <c r="H55" s="23" t="s">
        <v>3013</v>
      </c>
      <c r="I55" s="23" t="s">
        <v>3014</v>
      </c>
      <c r="J55" s="23" t="s">
        <v>466</v>
      </c>
      <c r="K55" s="27" t="s">
        <v>404</v>
      </c>
      <c r="L55" s="23" t="s">
        <v>405</v>
      </c>
      <c r="M55" s="25" t="s">
        <v>18</v>
      </c>
      <c r="N55" s="23" t="s">
        <v>40</v>
      </c>
      <c r="O55" s="23" t="s">
        <v>387</v>
      </c>
      <c r="P55" s="23" t="s">
        <v>40</v>
      </c>
      <c r="Q55" s="23" t="s">
        <v>40</v>
      </c>
      <c r="R55" s="23" t="s">
        <v>117</v>
      </c>
      <c r="S55" s="23" t="s">
        <v>40</v>
      </c>
      <c r="T55" s="23" t="s">
        <v>40</v>
      </c>
    </row>
    <row r="56" spans="1:20" x14ac:dyDescent="0.25">
      <c r="A56" s="23" t="s">
        <v>3015</v>
      </c>
      <c r="B56" s="23" t="s">
        <v>116</v>
      </c>
      <c r="C56" s="23" t="s">
        <v>2976</v>
      </c>
      <c r="D56" s="23" t="s">
        <v>3016</v>
      </c>
      <c r="E56" s="23" t="s">
        <v>2964</v>
      </c>
      <c r="F56" s="23" t="s">
        <v>40</v>
      </c>
      <c r="G56" s="23" t="s">
        <v>3017</v>
      </c>
      <c r="H56" s="23" t="s">
        <v>3018</v>
      </c>
      <c r="I56" s="23" t="s">
        <v>3019</v>
      </c>
      <c r="J56" s="23" t="s">
        <v>466</v>
      </c>
      <c r="K56" s="27" t="s">
        <v>404</v>
      </c>
      <c r="L56" s="23" t="s">
        <v>405</v>
      </c>
      <c r="M56" s="25" t="s">
        <v>18</v>
      </c>
      <c r="N56" s="23" t="s">
        <v>40</v>
      </c>
      <c r="O56" s="23" t="s">
        <v>387</v>
      </c>
      <c r="P56" s="23" t="s">
        <v>40</v>
      </c>
      <c r="Q56" s="23" t="s">
        <v>40</v>
      </c>
      <c r="R56" s="23" t="s">
        <v>117</v>
      </c>
      <c r="S56" s="23" t="s">
        <v>40</v>
      </c>
      <c r="T56" s="23" t="s">
        <v>40</v>
      </c>
    </row>
    <row r="57" spans="1:20" x14ac:dyDescent="0.25">
      <c r="A57" s="23" t="s">
        <v>3020</v>
      </c>
      <c r="B57" s="23" t="s">
        <v>116</v>
      </c>
      <c r="C57" s="23" t="s">
        <v>2976</v>
      </c>
      <c r="D57" s="23" t="s">
        <v>3021</v>
      </c>
      <c r="E57" s="23" t="s">
        <v>2964</v>
      </c>
      <c r="F57" s="23" t="s">
        <v>40</v>
      </c>
      <c r="G57" s="23" t="s">
        <v>3022</v>
      </c>
      <c r="H57" s="23" t="s">
        <v>3023</v>
      </c>
      <c r="I57" s="23" t="s">
        <v>3024</v>
      </c>
      <c r="J57" s="23" t="s">
        <v>466</v>
      </c>
      <c r="K57" s="27" t="s">
        <v>404</v>
      </c>
      <c r="L57" s="23" t="s">
        <v>405</v>
      </c>
      <c r="M57" s="25" t="s">
        <v>18</v>
      </c>
      <c r="N57" s="23" t="s">
        <v>40</v>
      </c>
      <c r="O57" s="23" t="s">
        <v>387</v>
      </c>
      <c r="P57" s="23" t="s">
        <v>40</v>
      </c>
      <c r="Q57" s="23" t="s">
        <v>40</v>
      </c>
      <c r="R57" s="23" t="s">
        <v>117</v>
      </c>
      <c r="S57" s="23" t="s">
        <v>40</v>
      </c>
      <c r="T57" s="23" t="s">
        <v>40</v>
      </c>
    </row>
    <row r="58" spans="1:20" x14ac:dyDescent="0.25">
      <c r="A58" s="23" t="s">
        <v>3025</v>
      </c>
      <c r="B58" s="23" t="s">
        <v>116</v>
      </c>
      <c r="C58" s="23" t="s">
        <v>2976</v>
      </c>
      <c r="D58" s="23" t="s">
        <v>3026</v>
      </c>
      <c r="E58" s="23" t="s">
        <v>2964</v>
      </c>
      <c r="F58" s="23" t="s">
        <v>40</v>
      </c>
      <c r="G58" s="23" t="s">
        <v>3027</v>
      </c>
      <c r="H58" s="23" t="s">
        <v>3028</v>
      </c>
      <c r="I58" s="23" t="s">
        <v>3029</v>
      </c>
      <c r="J58" s="23" t="s">
        <v>466</v>
      </c>
      <c r="K58" s="27" t="s">
        <v>404</v>
      </c>
      <c r="L58" s="23" t="s">
        <v>405</v>
      </c>
      <c r="M58" s="25" t="s">
        <v>18</v>
      </c>
      <c r="N58" s="23" t="s">
        <v>40</v>
      </c>
      <c r="O58" s="23" t="s">
        <v>387</v>
      </c>
      <c r="P58" s="23" t="s">
        <v>40</v>
      </c>
      <c r="Q58" s="23" t="s">
        <v>40</v>
      </c>
      <c r="R58" s="23" t="s">
        <v>117</v>
      </c>
      <c r="S58" s="23" t="s">
        <v>40</v>
      </c>
      <c r="T58" s="23" t="s">
        <v>40</v>
      </c>
    </row>
    <row r="59" spans="1:20" x14ac:dyDescent="0.25">
      <c r="A59" s="23" t="s">
        <v>3030</v>
      </c>
      <c r="B59" s="23" t="s">
        <v>116</v>
      </c>
      <c r="C59" s="23" t="s">
        <v>2976</v>
      </c>
      <c r="D59" s="23" t="s">
        <v>3031</v>
      </c>
      <c r="E59" s="23" t="s">
        <v>2964</v>
      </c>
      <c r="F59" s="23" t="s">
        <v>3032</v>
      </c>
      <c r="G59" s="23" t="s">
        <v>3033</v>
      </c>
      <c r="H59" s="23" t="s">
        <v>3034</v>
      </c>
      <c r="I59" s="23" t="s">
        <v>3035</v>
      </c>
      <c r="J59" s="23" t="s">
        <v>489</v>
      </c>
      <c r="K59" s="27" t="s">
        <v>404</v>
      </c>
      <c r="L59" s="23" t="s">
        <v>405</v>
      </c>
      <c r="M59" s="25" t="s">
        <v>18</v>
      </c>
      <c r="N59" s="23" t="s">
        <v>40</v>
      </c>
      <c r="O59" s="23" t="s">
        <v>387</v>
      </c>
      <c r="P59" s="23" t="s">
        <v>40</v>
      </c>
      <c r="Q59" s="23" t="s">
        <v>40</v>
      </c>
      <c r="R59" s="23" t="s">
        <v>117</v>
      </c>
      <c r="S59" s="23" t="s">
        <v>40</v>
      </c>
      <c r="T59" s="23" t="s">
        <v>40</v>
      </c>
    </row>
    <row r="60" spans="1:20" x14ac:dyDescent="0.25">
      <c r="A60" s="23" t="s">
        <v>3036</v>
      </c>
      <c r="B60" s="23" t="s">
        <v>116</v>
      </c>
      <c r="C60" s="23" t="s">
        <v>2976</v>
      </c>
      <c r="D60" s="23" t="s">
        <v>3037</v>
      </c>
      <c r="E60" s="23" t="s">
        <v>2964</v>
      </c>
      <c r="F60" s="23" t="s">
        <v>40</v>
      </c>
      <c r="G60" s="23" t="s">
        <v>3038</v>
      </c>
      <c r="H60" s="23" t="s">
        <v>3039</v>
      </c>
      <c r="I60" s="23" t="s">
        <v>3040</v>
      </c>
      <c r="J60" s="23" t="s">
        <v>466</v>
      </c>
      <c r="K60" s="27" t="s">
        <v>404</v>
      </c>
      <c r="L60" s="23" t="s">
        <v>405</v>
      </c>
      <c r="M60" s="25" t="s">
        <v>18</v>
      </c>
      <c r="N60" s="23" t="s">
        <v>40</v>
      </c>
      <c r="O60" s="23" t="s">
        <v>387</v>
      </c>
      <c r="P60" s="23" t="s">
        <v>40</v>
      </c>
      <c r="Q60" s="23" t="s">
        <v>40</v>
      </c>
      <c r="R60" s="23" t="s">
        <v>117</v>
      </c>
      <c r="S60" s="23" t="s">
        <v>40</v>
      </c>
      <c r="T60" s="23" t="s">
        <v>3041</v>
      </c>
    </row>
    <row r="61" spans="1:20" x14ac:dyDescent="0.25">
      <c r="A61" s="23" t="s">
        <v>3042</v>
      </c>
      <c r="B61" s="23" t="s">
        <v>116</v>
      </c>
      <c r="C61" s="23" t="s">
        <v>2976</v>
      </c>
      <c r="D61" s="23" t="s">
        <v>3043</v>
      </c>
      <c r="E61" s="23" t="s">
        <v>2964</v>
      </c>
      <c r="F61" s="23" t="s">
        <v>40</v>
      </c>
      <c r="G61" s="23" t="s">
        <v>3044</v>
      </c>
      <c r="H61" s="23" t="s">
        <v>3045</v>
      </c>
      <c r="I61" s="23" t="s">
        <v>3046</v>
      </c>
      <c r="J61" s="23" t="s">
        <v>466</v>
      </c>
      <c r="K61" s="27" t="s">
        <v>404</v>
      </c>
      <c r="L61" s="23" t="s">
        <v>490</v>
      </c>
      <c r="M61" s="25" t="s">
        <v>18</v>
      </c>
      <c r="N61" s="23" t="s">
        <v>40</v>
      </c>
      <c r="O61" s="23" t="s">
        <v>387</v>
      </c>
      <c r="P61" s="23" t="s">
        <v>40</v>
      </c>
      <c r="Q61" s="23" t="s">
        <v>40</v>
      </c>
      <c r="R61" s="23" t="s">
        <v>117</v>
      </c>
      <c r="S61" s="23" t="s">
        <v>40</v>
      </c>
      <c r="T61" s="23" t="s">
        <v>40</v>
      </c>
    </row>
    <row r="62" spans="1:20" x14ac:dyDescent="0.25">
      <c r="A62" s="23" t="s">
        <v>3047</v>
      </c>
      <c r="B62" s="23" t="s">
        <v>116</v>
      </c>
      <c r="C62" s="23" t="s">
        <v>2976</v>
      </c>
      <c r="D62" s="23" t="s">
        <v>3048</v>
      </c>
      <c r="E62" s="23" t="s">
        <v>2964</v>
      </c>
      <c r="F62" s="23" t="s">
        <v>40</v>
      </c>
      <c r="G62" s="23" t="s">
        <v>3049</v>
      </c>
      <c r="H62" s="23" t="s">
        <v>3050</v>
      </c>
      <c r="I62" s="23" t="s">
        <v>3051</v>
      </c>
      <c r="J62" s="23" t="s">
        <v>14</v>
      </c>
      <c r="K62" s="27" t="s">
        <v>404</v>
      </c>
      <c r="L62" s="23" t="s">
        <v>490</v>
      </c>
      <c r="M62" s="25" t="s">
        <v>18</v>
      </c>
      <c r="N62" s="23" t="s">
        <v>40</v>
      </c>
      <c r="O62" s="23" t="s">
        <v>387</v>
      </c>
      <c r="P62" s="23" t="s">
        <v>40</v>
      </c>
      <c r="Q62" s="23" t="s">
        <v>40</v>
      </c>
      <c r="R62" s="23" t="s">
        <v>117</v>
      </c>
      <c r="S62" s="23" t="s">
        <v>40</v>
      </c>
      <c r="T62" s="23" t="s">
        <v>3052</v>
      </c>
    </row>
    <row r="63" spans="1:20" x14ac:dyDescent="0.25">
      <c r="A63" s="23" t="s">
        <v>3053</v>
      </c>
      <c r="B63" s="23" t="s">
        <v>116</v>
      </c>
      <c r="C63" s="23" t="s">
        <v>3054</v>
      </c>
      <c r="D63" s="23" t="s">
        <v>3055</v>
      </c>
      <c r="E63" s="23" t="s">
        <v>2964</v>
      </c>
      <c r="F63" s="23" t="s">
        <v>40</v>
      </c>
      <c r="G63" s="23" t="s">
        <v>3056</v>
      </c>
      <c r="H63" s="23" t="s">
        <v>3057</v>
      </c>
      <c r="I63" s="23" t="s">
        <v>3058</v>
      </c>
      <c r="J63" s="23" t="s">
        <v>14</v>
      </c>
      <c r="K63" s="24" t="s">
        <v>386</v>
      </c>
      <c r="L63" s="23" t="s">
        <v>405</v>
      </c>
      <c r="M63" s="25" t="s">
        <v>18</v>
      </c>
      <c r="N63" s="23" t="s">
        <v>40</v>
      </c>
      <c r="O63" s="23" t="s">
        <v>387</v>
      </c>
      <c r="P63" s="23" t="s">
        <v>40</v>
      </c>
      <c r="Q63" s="23" t="s">
        <v>40</v>
      </c>
      <c r="R63" s="23" t="s">
        <v>117</v>
      </c>
      <c r="S63" s="23" t="s">
        <v>40</v>
      </c>
      <c r="T63" s="23" t="s">
        <v>40</v>
      </c>
    </row>
    <row r="64" spans="1:20" x14ac:dyDescent="0.25">
      <c r="A64" s="23" t="s">
        <v>3059</v>
      </c>
      <c r="B64" s="23" t="s">
        <v>116</v>
      </c>
      <c r="C64" s="23" t="s">
        <v>3054</v>
      </c>
      <c r="D64" s="23" t="s">
        <v>3060</v>
      </c>
      <c r="E64" s="23" t="s">
        <v>2964</v>
      </c>
      <c r="F64" s="23" t="s">
        <v>40</v>
      </c>
      <c r="G64" s="23" t="s">
        <v>3061</v>
      </c>
      <c r="H64" s="23" t="s">
        <v>3062</v>
      </c>
      <c r="I64" s="23" t="s">
        <v>3063</v>
      </c>
      <c r="J64" s="23" t="s">
        <v>14</v>
      </c>
      <c r="K64" s="24" t="s">
        <v>386</v>
      </c>
      <c r="L64" s="23" t="s">
        <v>405</v>
      </c>
      <c r="M64" s="25" t="s">
        <v>18</v>
      </c>
      <c r="N64" s="23" t="s">
        <v>40</v>
      </c>
      <c r="O64" s="23" t="s">
        <v>387</v>
      </c>
      <c r="P64" s="23" t="s">
        <v>40</v>
      </c>
      <c r="Q64" s="23" t="s">
        <v>40</v>
      </c>
      <c r="R64" s="23" t="s">
        <v>117</v>
      </c>
      <c r="S64" s="23" t="s">
        <v>40</v>
      </c>
      <c r="T64" s="23" t="s">
        <v>40</v>
      </c>
    </row>
    <row r="65" spans="1:20" x14ac:dyDescent="0.25">
      <c r="A65" s="23" t="s">
        <v>3064</v>
      </c>
      <c r="B65" s="23" t="s">
        <v>116</v>
      </c>
      <c r="C65" s="23" t="s">
        <v>3054</v>
      </c>
      <c r="D65" s="23" t="s">
        <v>3065</v>
      </c>
      <c r="E65" s="23" t="s">
        <v>2964</v>
      </c>
      <c r="F65" s="23" t="s">
        <v>40</v>
      </c>
      <c r="G65" s="23" t="s">
        <v>3066</v>
      </c>
      <c r="H65" s="23" t="s">
        <v>3067</v>
      </c>
      <c r="I65" s="23" t="s">
        <v>3068</v>
      </c>
      <c r="J65" s="23" t="s">
        <v>801</v>
      </c>
      <c r="K65" s="27" t="s">
        <v>404</v>
      </c>
      <c r="L65" s="23" t="s">
        <v>490</v>
      </c>
      <c r="M65" s="25" t="s">
        <v>18</v>
      </c>
      <c r="N65" s="23" t="s">
        <v>40</v>
      </c>
      <c r="O65" s="23" t="s">
        <v>387</v>
      </c>
      <c r="P65" s="23" t="s">
        <v>40</v>
      </c>
      <c r="Q65" s="23" t="s">
        <v>40</v>
      </c>
      <c r="R65" s="23" t="s">
        <v>117</v>
      </c>
      <c r="S65" s="23" t="s">
        <v>40</v>
      </c>
      <c r="T65" s="23" t="s">
        <v>40</v>
      </c>
    </row>
    <row r="66" spans="1:20" x14ac:dyDescent="0.25">
      <c r="A66" s="23" t="s">
        <v>3069</v>
      </c>
      <c r="B66" s="23" t="s">
        <v>116</v>
      </c>
      <c r="C66" s="23" t="s">
        <v>3070</v>
      </c>
      <c r="D66" s="23" t="s">
        <v>3071</v>
      </c>
      <c r="E66" s="23" t="s">
        <v>2964</v>
      </c>
      <c r="F66" s="23" t="s">
        <v>40</v>
      </c>
      <c r="G66" s="23" t="s">
        <v>3072</v>
      </c>
      <c r="H66" s="23" t="s">
        <v>3073</v>
      </c>
      <c r="I66" s="23" t="s">
        <v>3074</v>
      </c>
      <c r="J66" s="23" t="s">
        <v>14</v>
      </c>
      <c r="K66" s="26" t="s">
        <v>396</v>
      </c>
      <c r="L66" s="23" t="s">
        <v>13</v>
      </c>
      <c r="M66" s="28" t="s">
        <v>16</v>
      </c>
      <c r="N66" s="23" t="s">
        <v>2982</v>
      </c>
      <c r="O66" s="29" t="s">
        <v>87</v>
      </c>
      <c r="P66" s="23" t="s">
        <v>40</v>
      </c>
      <c r="Q66" s="23" t="s">
        <v>40</v>
      </c>
      <c r="R66" s="23" t="s">
        <v>117</v>
      </c>
      <c r="S66" s="23" t="s">
        <v>40</v>
      </c>
      <c r="T66" s="23" t="s">
        <v>3041</v>
      </c>
    </row>
    <row r="67" spans="1:20" x14ac:dyDescent="0.25">
      <c r="A67" s="23" t="s">
        <v>3075</v>
      </c>
      <c r="B67" s="23" t="s">
        <v>116</v>
      </c>
      <c r="C67" s="23" t="s">
        <v>3070</v>
      </c>
      <c r="D67" s="23" t="s">
        <v>3076</v>
      </c>
      <c r="E67" s="23" t="s">
        <v>2964</v>
      </c>
      <c r="F67" s="23" t="s">
        <v>40</v>
      </c>
      <c r="G67" s="23" t="s">
        <v>3077</v>
      </c>
      <c r="H67" s="23" t="s">
        <v>3078</v>
      </c>
      <c r="I67" s="23" t="s">
        <v>3079</v>
      </c>
      <c r="J67" s="23" t="s">
        <v>14</v>
      </c>
      <c r="K67" s="26" t="s">
        <v>396</v>
      </c>
      <c r="L67" s="23" t="s">
        <v>13</v>
      </c>
      <c r="M67" s="25" t="s">
        <v>18</v>
      </c>
      <c r="N67" s="23" t="s">
        <v>40</v>
      </c>
      <c r="O67" s="23" t="s">
        <v>387</v>
      </c>
      <c r="P67" s="23" t="s">
        <v>40</v>
      </c>
      <c r="Q67" s="23" t="s">
        <v>40</v>
      </c>
      <c r="R67" s="23" t="s">
        <v>117</v>
      </c>
      <c r="S67" s="23" t="s">
        <v>40</v>
      </c>
      <c r="T67" s="23" t="s">
        <v>3080</v>
      </c>
    </row>
    <row r="68" spans="1:20" x14ac:dyDescent="0.25">
      <c r="A68" s="23" t="s">
        <v>3081</v>
      </c>
      <c r="B68" s="23" t="s">
        <v>116</v>
      </c>
      <c r="C68" s="23" t="s">
        <v>3070</v>
      </c>
      <c r="D68" s="23" t="s">
        <v>3082</v>
      </c>
      <c r="E68" s="23" t="s">
        <v>2964</v>
      </c>
      <c r="F68" s="23" t="s">
        <v>40</v>
      </c>
      <c r="G68" s="23" t="s">
        <v>3083</v>
      </c>
      <c r="H68" s="23" t="s">
        <v>3084</v>
      </c>
      <c r="I68" s="23" t="s">
        <v>3085</v>
      </c>
      <c r="J68" s="23" t="s">
        <v>14</v>
      </c>
      <c r="K68" s="24" t="s">
        <v>386</v>
      </c>
      <c r="L68" s="23" t="s">
        <v>405</v>
      </c>
      <c r="M68" s="25" t="s">
        <v>18</v>
      </c>
      <c r="N68" s="23" t="s">
        <v>40</v>
      </c>
      <c r="O68" s="23" t="s">
        <v>387</v>
      </c>
      <c r="P68" s="23" t="s">
        <v>40</v>
      </c>
      <c r="Q68" s="23" t="s">
        <v>40</v>
      </c>
      <c r="R68" s="23" t="s">
        <v>117</v>
      </c>
      <c r="S68" s="23" t="s">
        <v>40</v>
      </c>
      <c r="T68" s="23" t="s">
        <v>40</v>
      </c>
    </row>
    <row r="69" spans="1:20" x14ac:dyDescent="0.25">
      <c r="A69" s="23" t="s">
        <v>3086</v>
      </c>
      <c r="B69" s="23" t="s">
        <v>116</v>
      </c>
      <c r="C69" s="23" t="s">
        <v>3070</v>
      </c>
      <c r="D69" s="23" t="s">
        <v>3087</v>
      </c>
      <c r="E69" s="23" t="s">
        <v>2964</v>
      </c>
      <c r="F69" s="23" t="s">
        <v>40</v>
      </c>
      <c r="G69" s="23" t="s">
        <v>3088</v>
      </c>
      <c r="H69" s="23" t="s">
        <v>3089</v>
      </c>
      <c r="I69" s="23" t="s">
        <v>3090</v>
      </c>
      <c r="J69" s="23" t="s">
        <v>14</v>
      </c>
      <c r="K69" s="27" t="s">
        <v>404</v>
      </c>
      <c r="L69" s="23" t="s">
        <v>490</v>
      </c>
      <c r="M69" s="25" t="s">
        <v>18</v>
      </c>
      <c r="N69" s="23" t="s">
        <v>40</v>
      </c>
      <c r="O69" s="23" t="s">
        <v>387</v>
      </c>
      <c r="P69" s="23" t="s">
        <v>40</v>
      </c>
      <c r="Q69" s="23" t="s">
        <v>40</v>
      </c>
      <c r="R69" s="23" t="s">
        <v>117</v>
      </c>
      <c r="S69" s="23" t="s">
        <v>40</v>
      </c>
      <c r="T69" s="23" t="s">
        <v>40</v>
      </c>
    </row>
    <row r="70" spans="1:20" x14ac:dyDescent="0.25">
      <c r="A70" s="23" t="s">
        <v>3091</v>
      </c>
      <c r="B70" s="23" t="s">
        <v>116</v>
      </c>
      <c r="C70" s="23" t="s">
        <v>3070</v>
      </c>
      <c r="D70" s="23" t="s">
        <v>3092</v>
      </c>
      <c r="E70" s="23" t="s">
        <v>2964</v>
      </c>
      <c r="F70" s="23" t="s">
        <v>40</v>
      </c>
      <c r="G70" s="23" t="s">
        <v>3093</v>
      </c>
      <c r="H70" s="23" t="s">
        <v>3094</v>
      </c>
      <c r="I70" s="23" t="s">
        <v>3095</v>
      </c>
      <c r="J70" s="23" t="s">
        <v>15</v>
      </c>
      <c r="K70" s="27" t="s">
        <v>404</v>
      </c>
      <c r="L70" s="23" t="s">
        <v>490</v>
      </c>
      <c r="M70" s="25" t="s">
        <v>18</v>
      </c>
      <c r="N70" s="23" t="s">
        <v>40</v>
      </c>
      <c r="O70" s="23" t="s">
        <v>387</v>
      </c>
      <c r="P70" s="23" t="s">
        <v>40</v>
      </c>
      <c r="Q70" s="23" t="s">
        <v>40</v>
      </c>
      <c r="R70" s="23" t="s">
        <v>117</v>
      </c>
      <c r="S70" s="23" t="s">
        <v>40</v>
      </c>
      <c r="T70" s="23" t="s">
        <v>40</v>
      </c>
    </row>
    <row r="71" spans="1:20" x14ac:dyDescent="0.25">
      <c r="A71" s="23" t="s">
        <v>3096</v>
      </c>
      <c r="B71" s="23" t="s">
        <v>116</v>
      </c>
      <c r="C71" s="23" t="s">
        <v>3070</v>
      </c>
      <c r="D71" s="23" t="s">
        <v>3097</v>
      </c>
      <c r="E71" s="23" t="s">
        <v>2964</v>
      </c>
      <c r="F71" s="23" t="s">
        <v>40</v>
      </c>
      <c r="G71" s="23" t="s">
        <v>3098</v>
      </c>
      <c r="H71" s="23" t="s">
        <v>3099</v>
      </c>
      <c r="I71" s="23" t="s">
        <v>3100</v>
      </c>
      <c r="J71" s="23" t="s">
        <v>14</v>
      </c>
      <c r="K71" s="27" t="s">
        <v>404</v>
      </c>
      <c r="L71" s="23" t="s">
        <v>490</v>
      </c>
      <c r="M71" s="25" t="s">
        <v>18</v>
      </c>
      <c r="N71" s="23" t="s">
        <v>40</v>
      </c>
      <c r="O71" s="23" t="s">
        <v>387</v>
      </c>
      <c r="P71" s="23" t="s">
        <v>40</v>
      </c>
      <c r="Q71" s="23" t="s">
        <v>40</v>
      </c>
      <c r="R71" s="23" t="s">
        <v>117</v>
      </c>
      <c r="S71" s="23" t="s">
        <v>40</v>
      </c>
      <c r="T71" s="23" t="s">
        <v>40</v>
      </c>
    </row>
    <row r="72" spans="1:20" x14ac:dyDescent="0.25">
      <c r="A72" s="23" t="s">
        <v>3101</v>
      </c>
      <c r="B72" s="23" t="s">
        <v>116</v>
      </c>
      <c r="C72" s="23" t="s">
        <v>3102</v>
      </c>
      <c r="D72" s="23" t="s">
        <v>3103</v>
      </c>
      <c r="E72" s="23" t="s">
        <v>2964</v>
      </c>
      <c r="F72" s="23" t="s">
        <v>40</v>
      </c>
      <c r="G72" s="23" t="s">
        <v>3104</v>
      </c>
      <c r="H72" s="23" t="s">
        <v>3105</v>
      </c>
      <c r="I72" s="23" t="s">
        <v>3106</v>
      </c>
      <c r="J72" s="23" t="s">
        <v>801</v>
      </c>
      <c r="K72" s="26" t="s">
        <v>396</v>
      </c>
      <c r="L72" s="23" t="s">
        <v>13</v>
      </c>
      <c r="M72" s="28" t="s">
        <v>16</v>
      </c>
      <c r="N72" s="23" t="s">
        <v>3107</v>
      </c>
      <c r="O72" s="29" t="s">
        <v>87</v>
      </c>
      <c r="P72" s="23" t="s">
        <v>40</v>
      </c>
      <c r="Q72" s="23" t="s">
        <v>40</v>
      </c>
      <c r="R72" s="23" t="s">
        <v>117</v>
      </c>
      <c r="S72" s="23" t="s">
        <v>40</v>
      </c>
      <c r="T72" s="23" t="s">
        <v>40</v>
      </c>
    </row>
    <row r="73" spans="1:20" x14ac:dyDescent="0.25">
      <c r="A73" s="23" t="s">
        <v>3108</v>
      </c>
      <c r="B73" s="23" t="s">
        <v>116</v>
      </c>
      <c r="C73" s="23" t="s">
        <v>3102</v>
      </c>
      <c r="D73" s="23" t="s">
        <v>3109</v>
      </c>
      <c r="E73" s="23" t="s">
        <v>2964</v>
      </c>
      <c r="F73" s="23" t="s">
        <v>40</v>
      </c>
      <c r="G73" s="23" t="s">
        <v>3110</v>
      </c>
      <c r="H73" s="23" t="s">
        <v>3111</v>
      </c>
      <c r="I73" s="23" t="s">
        <v>3112</v>
      </c>
      <c r="J73" s="23" t="s">
        <v>14</v>
      </c>
      <c r="K73" s="24" t="s">
        <v>386</v>
      </c>
      <c r="L73" s="23" t="s">
        <v>405</v>
      </c>
      <c r="M73" s="25" t="s">
        <v>18</v>
      </c>
      <c r="N73" s="23" t="s">
        <v>40</v>
      </c>
      <c r="O73" s="23" t="s">
        <v>387</v>
      </c>
      <c r="P73" s="23" t="s">
        <v>40</v>
      </c>
      <c r="Q73" s="23" t="s">
        <v>40</v>
      </c>
      <c r="R73" s="23" t="s">
        <v>117</v>
      </c>
      <c r="S73" s="23" t="s">
        <v>40</v>
      </c>
      <c r="T73" s="23" t="s">
        <v>40</v>
      </c>
    </row>
    <row r="74" spans="1:20" x14ac:dyDescent="0.25">
      <c r="A74" s="23" t="s">
        <v>3113</v>
      </c>
      <c r="B74" s="23" t="s">
        <v>116</v>
      </c>
      <c r="C74" s="23" t="s">
        <v>3102</v>
      </c>
      <c r="D74" s="23" t="s">
        <v>3114</v>
      </c>
      <c r="E74" s="23" t="s">
        <v>2964</v>
      </c>
      <c r="F74" s="23" t="s">
        <v>40</v>
      </c>
      <c r="G74" s="23" t="s">
        <v>3115</v>
      </c>
      <c r="H74" s="23" t="s">
        <v>3116</v>
      </c>
      <c r="I74" s="23" t="s">
        <v>3117</v>
      </c>
      <c r="J74" s="23" t="s">
        <v>14</v>
      </c>
      <c r="K74" s="27" t="s">
        <v>404</v>
      </c>
      <c r="L74" s="23" t="s">
        <v>490</v>
      </c>
      <c r="M74" s="25" t="s">
        <v>18</v>
      </c>
      <c r="N74" s="23" t="s">
        <v>40</v>
      </c>
      <c r="O74" s="23" t="s">
        <v>387</v>
      </c>
      <c r="P74" s="23" t="s">
        <v>40</v>
      </c>
      <c r="Q74" s="23" t="s">
        <v>40</v>
      </c>
      <c r="R74" s="23" t="s">
        <v>117</v>
      </c>
      <c r="S74" s="23" t="s">
        <v>40</v>
      </c>
      <c r="T74" s="23" t="s">
        <v>3118</v>
      </c>
    </row>
    <row r="75" spans="1:20" x14ac:dyDescent="0.25">
      <c r="A75" s="23" t="s">
        <v>3119</v>
      </c>
      <c r="B75" s="23" t="s">
        <v>116</v>
      </c>
      <c r="C75" s="23" t="s">
        <v>3102</v>
      </c>
      <c r="D75" s="23" t="s">
        <v>3120</v>
      </c>
      <c r="E75" s="23" t="s">
        <v>2964</v>
      </c>
      <c r="F75" s="23" t="s">
        <v>40</v>
      </c>
      <c r="G75" s="23" t="s">
        <v>3121</v>
      </c>
      <c r="H75" s="23" t="s">
        <v>3122</v>
      </c>
      <c r="I75" s="23" t="s">
        <v>3123</v>
      </c>
      <c r="J75" s="23" t="s">
        <v>385</v>
      </c>
      <c r="K75" s="32" t="s">
        <v>747</v>
      </c>
      <c r="L75" s="23" t="s">
        <v>490</v>
      </c>
      <c r="M75" s="25" t="s">
        <v>18</v>
      </c>
      <c r="N75" s="23" t="s">
        <v>40</v>
      </c>
      <c r="O75" s="23" t="s">
        <v>387</v>
      </c>
      <c r="P75" s="23" t="s">
        <v>40</v>
      </c>
      <c r="Q75" s="23" t="s">
        <v>40</v>
      </c>
      <c r="R75" s="23" t="s">
        <v>117</v>
      </c>
      <c r="S75" s="23" t="s">
        <v>40</v>
      </c>
      <c r="T75" s="23" t="s">
        <v>40</v>
      </c>
    </row>
    <row r="76" spans="1:20" x14ac:dyDescent="0.25">
      <c r="A76" s="23" t="s">
        <v>3124</v>
      </c>
      <c r="B76" s="23" t="s">
        <v>116</v>
      </c>
      <c r="C76" s="23" t="s">
        <v>3102</v>
      </c>
      <c r="D76" s="23" t="s">
        <v>3125</v>
      </c>
      <c r="E76" s="23" t="s">
        <v>2964</v>
      </c>
      <c r="F76" s="23" t="s">
        <v>40</v>
      </c>
      <c r="G76" s="23" t="s">
        <v>3126</v>
      </c>
      <c r="H76" s="23" t="s">
        <v>3127</v>
      </c>
      <c r="I76" s="23" t="s">
        <v>3128</v>
      </c>
      <c r="J76" s="23" t="s">
        <v>15</v>
      </c>
      <c r="K76" s="27" t="s">
        <v>404</v>
      </c>
      <c r="L76" s="23" t="s">
        <v>490</v>
      </c>
      <c r="M76" s="25" t="s">
        <v>18</v>
      </c>
      <c r="N76" s="23" t="s">
        <v>40</v>
      </c>
      <c r="O76" s="23" t="s">
        <v>387</v>
      </c>
      <c r="P76" s="23" t="s">
        <v>40</v>
      </c>
      <c r="Q76" s="23" t="s">
        <v>40</v>
      </c>
      <c r="R76" s="23" t="s">
        <v>117</v>
      </c>
      <c r="S76" s="23" t="s">
        <v>40</v>
      </c>
      <c r="T76" s="23" t="s">
        <v>40</v>
      </c>
    </row>
    <row r="77" spans="1:20" x14ac:dyDescent="0.25">
      <c r="A77" s="23" t="s">
        <v>3129</v>
      </c>
      <c r="B77" s="23" t="s">
        <v>116</v>
      </c>
      <c r="C77" s="23" t="s">
        <v>3130</v>
      </c>
      <c r="D77" s="23" t="s">
        <v>3131</v>
      </c>
      <c r="E77" s="23" t="s">
        <v>2964</v>
      </c>
      <c r="F77" s="23" t="s">
        <v>40</v>
      </c>
      <c r="G77" s="23" t="s">
        <v>3132</v>
      </c>
      <c r="H77" s="23" t="s">
        <v>3133</v>
      </c>
      <c r="I77" s="23" t="s">
        <v>3134</v>
      </c>
      <c r="J77" s="23" t="s">
        <v>14</v>
      </c>
      <c r="K77" s="24" t="s">
        <v>386</v>
      </c>
      <c r="L77" s="23" t="s">
        <v>405</v>
      </c>
      <c r="M77" s="25" t="s">
        <v>18</v>
      </c>
      <c r="N77" s="23" t="s">
        <v>40</v>
      </c>
      <c r="O77" s="23" t="s">
        <v>387</v>
      </c>
      <c r="P77" s="23" t="s">
        <v>40</v>
      </c>
      <c r="Q77" s="23" t="s">
        <v>40</v>
      </c>
      <c r="R77" s="23" t="s">
        <v>117</v>
      </c>
      <c r="S77" s="23" t="s">
        <v>40</v>
      </c>
      <c r="T77" s="23" t="s">
        <v>3135</v>
      </c>
    </row>
    <row r="78" spans="1:20" x14ac:dyDescent="0.25">
      <c r="A78" s="23" t="s">
        <v>3136</v>
      </c>
      <c r="B78" s="23" t="s">
        <v>116</v>
      </c>
      <c r="C78" s="23" t="s">
        <v>3130</v>
      </c>
      <c r="D78" s="23" t="s">
        <v>3137</v>
      </c>
      <c r="E78" s="23" t="s">
        <v>2964</v>
      </c>
      <c r="F78" s="23" t="s">
        <v>40</v>
      </c>
      <c r="G78" s="23" t="s">
        <v>3138</v>
      </c>
      <c r="H78" s="23" t="s">
        <v>3139</v>
      </c>
      <c r="I78" s="23" t="s">
        <v>3140</v>
      </c>
      <c r="J78" s="23" t="s">
        <v>466</v>
      </c>
      <c r="K78" s="27" t="s">
        <v>404</v>
      </c>
      <c r="L78" s="23" t="s">
        <v>490</v>
      </c>
      <c r="M78" s="25" t="s">
        <v>18</v>
      </c>
      <c r="N78" s="23" t="s">
        <v>40</v>
      </c>
      <c r="O78" s="23" t="s">
        <v>387</v>
      </c>
      <c r="P78" s="23" t="s">
        <v>40</v>
      </c>
      <c r="Q78" s="23" t="s">
        <v>40</v>
      </c>
      <c r="R78" s="23" t="s">
        <v>117</v>
      </c>
      <c r="S78" s="23" t="s">
        <v>40</v>
      </c>
      <c r="T78" s="23" t="s">
        <v>40</v>
      </c>
    </row>
    <row r="79" spans="1:20" x14ac:dyDescent="0.25">
      <c r="A79" s="23" t="s">
        <v>3141</v>
      </c>
      <c r="B79" s="23" t="s">
        <v>116</v>
      </c>
      <c r="C79" s="23" t="s">
        <v>3130</v>
      </c>
      <c r="D79" s="23" t="s">
        <v>3142</v>
      </c>
      <c r="E79" s="23" t="s">
        <v>2964</v>
      </c>
      <c r="F79" s="23" t="s">
        <v>40</v>
      </c>
      <c r="G79" s="23" t="s">
        <v>3143</v>
      </c>
      <c r="H79" s="23" t="s">
        <v>3144</v>
      </c>
      <c r="I79" s="23" t="s">
        <v>3145</v>
      </c>
      <c r="J79" s="23" t="s">
        <v>14</v>
      </c>
      <c r="K79" s="27" t="s">
        <v>404</v>
      </c>
      <c r="L79" s="23" t="s">
        <v>490</v>
      </c>
      <c r="M79" s="25" t="s">
        <v>18</v>
      </c>
      <c r="N79" s="23" t="s">
        <v>40</v>
      </c>
      <c r="O79" s="23" t="s">
        <v>387</v>
      </c>
      <c r="P79" s="23" t="s">
        <v>40</v>
      </c>
      <c r="Q79" s="23" t="s">
        <v>40</v>
      </c>
      <c r="R79" s="23" t="s">
        <v>117</v>
      </c>
      <c r="S79" s="23" t="s">
        <v>40</v>
      </c>
      <c r="T79" s="23" t="s">
        <v>40</v>
      </c>
    </row>
    <row r="80" spans="1:20" x14ac:dyDescent="0.25">
      <c r="A80" s="23" t="s">
        <v>3146</v>
      </c>
      <c r="B80" s="23" t="s">
        <v>116</v>
      </c>
      <c r="C80" s="23" t="s">
        <v>3130</v>
      </c>
      <c r="D80" s="23" t="s">
        <v>3147</v>
      </c>
      <c r="E80" s="23" t="s">
        <v>2964</v>
      </c>
      <c r="F80" s="23" t="s">
        <v>40</v>
      </c>
      <c r="G80" s="23" t="s">
        <v>3148</v>
      </c>
      <c r="H80" s="23" t="s">
        <v>3149</v>
      </c>
      <c r="I80" s="23" t="s">
        <v>3150</v>
      </c>
      <c r="J80" s="23" t="s">
        <v>14</v>
      </c>
      <c r="K80" s="27" t="s">
        <v>404</v>
      </c>
      <c r="L80" s="23" t="s">
        <v>490</v>
      </c>
      <c r="M80" s="25" t="s">
        <v>18</v>
      </c>
      <c r="N80" s="23" t="s">
        <v>40</v>
      </c>
      <c r="O80" s="23" t="s">
        <v>387</v>
      </c>
      <c r="P80" s="23" t="s">
        <v>40</v>
      </c>
      <c r="Q80" s="23" t="s">
        <v>40</v>
      </c>
      <c r="R80" s="23" t="s">
        <v>117</v>
      </c>
      <c r="S80" s="23" t="s">
        <v>40</v>
      </c>
      <c r="T80" s="23" t="s">
        <v>40</v>
      </c>
    </row>
    <row r="81" spans="1:20" x14ac:dyDescent="0.25">
      <c r="A81" s="23" t="s">
        <v>3151</v>
      </c>
      <c r="B81" s="23" t="s">
        <v>116</v>
      </c>
      <c r="C81" s="23" t="s">
        <v>3130</v>
      </c>
      <c r="D81" s="23" t="s">
        <v>3152</v>
      </c>
      <c r="E81" s="23" t="s">
        <v>2964</v>
      </c>
      <c r="F81" s="23" t="s">
        <v>40</v>
      </c>
      <c r="G81" s="23" t="s">
        <v>3153</v>
      </c>
      <c r="H81" s="23" t="s">
        <v>3154</v>
      </c>
      <c r="I81" s="23" t="s">
        <v>3155</v>
      </c>
      <c r="J81" s="23" t="s">
        <v>14</v>
      </c>
      <c r="K81" s="27" t="s">
        <v>404</v>
      </c>
      <c r="L81" s="23" t="s">
        <v>490</v>
      </c>
      <c r="M81" s="25" t="s">
        <v>18</v>
      </c>
      <c r="N81" s="23" t="s">
        <v>40</v>
      </c>
      <c r="O81" s="23" t="s">
        <v>387</v>
      </c>
      <c r="P81" s="23" t="s">
        <v>40</v>
      </c>
      <c r="Q81" s="23" t="s">
        <v>40</v>
      </c>
      <c r="R81" s="23" t="s">
        <v>117</v>
      </c>
      <c r="S81" s="23" t="s">
        <v>40</v>
      </c>
      <c r="T81" s="23" t="s">
        <v>3156</v>
      </c>
    </row>
    <row r="82" spans="1:20" x14ac:dyDescent="0.25">
      <c r="A82" s="23" t="s">
        <v>3157</v>
      </c>
      <c r="B82" s="23" t="s">
        <v>116</v>
      </c>
      <c r="C82" s="23" t="s">
        <v>2911</v>
      </c>
      <c r="D82" s="23" t="s">
        <v>3158</v>
      </c>
      <c r="E82" s="23" t="s">
        <v>2964</v>
      </c>
      <c r="F82" s="23" t="s">
        <v>40</v>
      </c>
      <c r="G82" s="23" t="s">
        <v>3159</v>
      </c>
      <c r="H82" s="23" t="s">
        <v>3160</v>
      </c>
      <c r="I82" s="23" t="s">
        <v>3161</v>
      </c>
      <c r="J82" s="23" t="s">
        <v>14</v>
      </c>
      <c r="K82" s="24" t="s">
        <v>386</v>
      </c>
      <c r="L82" s="23" t="s">
        <v>405</v>
      </c>
      <c r="M82" s="25" t="s">
        <v>18</v>
      </c>
      <c r="N82" s="23" t="s">
        <v>40</v>
      </c>
      <c r="O82" s="23" t="s">
        <v>387</v>
      </c>
      <c r="P82" s="23" t="s">
        <v>40</v>
      </c>
      <c r="Q82" s="23" t="s">
        <v>40</v>
      </c>
      <c r="R82" s="23" t="s">
        <v>117</v>
      </c>
      <c r="S82" s="23" t="s">
        <v>40</v>
      </c>
      <c r="T82" s="23" t="s">
        <v>40</v>
      </c>
    </row>
    <row r="83" spans="1:20" x14ac:dyDescent="0.25">
      <c r="A83" s="23" t="s">
        <v>3162</v>
      </c>
      <c r="B83" s="23" t="s">
        <v>116</v>
      </c>
      <c r="C83" s="23" t="s">
        <v>2911</v>
      </c>
      <c r="D83" s="23" t="s">
        <v>3163</v>
      </c>
      <c r="E83" s="23" t="s">
        <v>2964</v>
      </c>
      <c r="F83" s="23" t="s">
        <v>40</v>
      </c>
      <c r="G83" s="23" t="s">
        <v>3164</v>
      </c>
      <c r="H83" s="23" t="s">
        <v>3165</v>
      </c>
      <c r="I83" s="23" t="s">
        <v>3166</v>
      </c>
      <c r="J83" s="23" t="s">
        <v>14</v>
      </c>
      <c r="K83" s="24" t="s">
        <v>386</v>
      </c>
      <c r="L83" s="23" t="s">
        <v>405</v>
      </c>
      <c r="M83" s="25" t="s">
        <v>18</v>
      </c>
      <c r="N83" s="23" t="s">
        <v>40</v>
      </c>
      <c r="O83" s="23" t="s">
        <v>387</v>
      </c>
      <c r="P83" s="23" t="s">
        <v>40</v>
      </c>
      <c r="Q83" s="23" t="s">
        <v>40</v>
      </c>
      <c r="R83" s="23" t="s">
        <v>117</v>
      </c>
      <c r="S83" s="23" t="s">
        <v>40</v>
      </c>
      <c r="T83" s="23" t="s">
        <v>40</v>
      </c>
    </row>
    <row r="84" spans="1:20" x14ac:dyDescent="0.25">
      <c r="A84" s="23" t="s">
        <v>3167</v>
      </c>
      <c r="B84" s="23" t="s">
        <v>116</v>
      </c>
      <c r="C84" s="23" t="s">
        <v>2911</v>
      </c>
      <c r="D84" s="23" t="s">
        <v>3168</v>
      </c>
      <c r="E84" s="23" t="s">
        <v>2964</v>
      </c>
      <c r="F84" s="23" t="s">
        <v>40</v>
      </c>
      <c r="G84" s="23" t="s">
        <v>3169</v>
      </c>
      <c r="H84" s="23" t="s">
        <v>3170</v>
      </c>
      <c r="I84" s="23" t="s">
        <v>3171</v>
      </c>
      <c r="J84" s="23" t="s">
        <v>385</v>
      </c>
      <c r="K84" s="32" t="s">
        <v>747</v>
      </c>
      <c r="L84" s="23" t="s">
        <v>490</v>
      </c>
      <c r="M84" s="25" t="s">
        <v>18</v>
      </c>
      <c r="N84" s="23" t="s">
        <v>40</v>
      </c>
      <c r="O84" s="23" t="s">
        <v>387</v>
      </c>
      <c r="P84" s="23" t="s">
        <v>40</v>
      </c>
      <c r="Q84" s="23" t="s">
        <v>40</v>
      </c>
      <c r="R84" s="23" t="s">
        <v>117</v>
      </c>
      <c r="S84" s="23" t="s">
        <v>40</v>
      </c>
      <c r="T84" s="23" t="s">
        <v>40</v>
      </c>
    </row>
    <row r="85" spans="1:20" x14ac:dyDescent="0.25">
      <c r="A85" s="23" t="s">
        <v>3172</v>
      </c>
      <c r="B85" s="23" t="s">
        <v>116</v>
      </c>
      <c r="C85" s="23" t="s">
        <v>2942</v>
      </c>
      <c r="D85" s="23" t="s">
        <v>3173</v>
      </c>
      <c r="E85" s="23" t="s">
        <v>2957</v>
      </c>
      <c r="F85" s="23" t="s">
        <v>40</v>
      </c>
      <c r="G85" s="23" t="s">
        <v>3174</v>
      </c>
      <c r="H85" s="23" t="s">
        <v>3175</v>
      </c>
      <c r="I85" s="23" t="s">
        <v>3176</v>
      </c>
      <c r="J85" s="23" t="s">
        <v>525</v>
      </c>
      <c r="K85" s="24" t="s">
        <v>386</v>
      </c>
      <c r="L85" s="23" t="s">
        <v>405</v>
      </c>
      <c r="M85" s="25" t="s">
        <v>18</v>
      </c>
      <c r="N85" s="23" t="s">
        <v>40</v>
      </c>
      <c r="O85" s="23" t="s">
        <v>387</v>
      </c>
      <c r="P85" s="23" t="s">
        <v>40</v>
      </c>
      <c r="Q85" s="23" t="s">
        <v>40</v>
      </c>
      <c r="R85" s="23" t="s">
        <v>117</v>
      </c>
      <c r="S85" s="23" t="s">
        <v>40</v>
      </c>
      <c r="T85" s="23" t="s">
        <v>3177</v>
      </c>
    </row>
    <row r="86" spans="1:20" x14ac:dyDescent="0.25">
      <c r="A86" s="23" t="s">
        <v>3178</v>
      </c>
      <c r="B86" s="23" t="s">
        <v>116</v>
      </c>
      <c r="C86" s="23" t="s">
        <v>2942</v>
      </c>
      <c r="D86" s="23" t="s">
        <v>3179</v>
      </c>
      <c r="E86" s="23" t="s">
        <v>2944</v>
      </c>
      <c r="F86" s="23" t="s">
        <v>40</v>
      </c>
      <c r="G86" s="23" t="s">
        <v>3180</v>
      </c>
      <c r="H86" s="23" t="s">
        <v>3181</v>
      </c>
      <c r="I86" s="23" t="s">
        <v>3182</v>
      </c>
      <c r="J86" s="23" t="s">
        <v>525</v>
      </c>
      <c r="K86" s="24" t="s">
        <v>386</v>
      </c>
      <c r="L86" s="23" t="s">
        <v>13</v>
      </c>
      <c r="M86" s="25" t="s">
        <v>18</v>
      </c>
      <c r="N86" s="23" t="s">
        <v>40</v>
      </c>
      <c r="O86" s="23" t="s">
        <v>387</v>
      </c>
      <c r="P86" s="23" t="s">
        <v>40</v>
      </c>
      <c r="Q86" s="23" t="s">
        <v>40</v>
      </c>
      <c r="R86" s="23" t="s">
        <v>117</v>
      </c>
      <c r="S86" s="23" t="s">
        <v>40</v>
      </c>
      <c r="T86" s="23" t="s">
        <v>40</v>
      </c>
    </row>
    <row r="87" spans="1:20" x14ac:dyDescent="0.25">
      <c r="A87" s="23" t="s">
        <v>3183</v>
      </c>
      <c r="B87" s="23" t="s">
        <v>116</v>
      </c>
      <c r="C87" s="23" t="s">
        <v>3184</v>
      </c>
      <c r="D87" s="23" t="s">
        <v>3185</v>
      </c>
      <c r="E87" s="23" t="s">
        <v>3186</v>
      </c>
      <c r="F87" s="23" t="s">
        <v>40</v>
      </c>
      <c r="G87" s="23" t="s">
        <v>3187</v>
      </c>
      <c r="H87" s="23" t="s">
        <v>3188</v>
      </c>
      <c r="I87" s="23" t="s">
        <v>3189</v>
      </c>
      <c r="J87" s="23" t="s">
        <v>385</v>
      </c>
      <c r="K87" s="24" t="s">
        <v>386</v>
      </c>
      <c r="L87" s="23" t="s">
        <v>13</v>
      </c>
      <c r="M87" s="25" t="s">
        <v>18</v>
      </c>
      <c r="N87" s="23" t="s">
        <v>40</v>
      </c>
      <c r="O87" s="23" t="s">
        <v>387</v>
      </c>
      <c r="P87" s="23" t="s">
        <v>40</v>
      </c>
      <c r="Q87" s="23" t="s">
        <v>40</v>
      </c>
      <c r="R87" s="23" t="s">
        <v>3190</v>
      </c>
      <c r="S87" s="23" t="s">
        <v>40</v>
      </c>
      <c r="T87" s="23" t="s">
        <v>3191</v>
      </c>
    </row>
    <row r="88" spans="1:20" x14ac:dyDescent="0.25">
      <c r="A88" s="23" t="s">
        <v>3192</v>
      </c>
      <c r="B88" s="23" t="s">
        <v>116</v>
      </c>
      <c r="C88" s="23" t="s">
        <v>3184</v>
      </c>
      <c r="D88" s="23" t="s">
        <v>3193</v>
      </c>
      <c r="E88" s="23" t="s">
        <v>3186</v>
      </c>
      <c r="F88" s="23" t="s">
        <v>3194</v>
      </c>
      <c r="G88" s="23" t="s">
        <v>3195</v>
      </c>
      <c r="H88" s="23" t="s">
        <v>3196</v>
      </c>
      <c r="I88" s="23" t="s">
        <v>3197</v>
      </c>
      <c r="J88" s="23" t="s">
        <v>14</v>
      </c>
      <c r="K88" s="26" t="s">
        <v>396</v>
      </c>
      <c r="L88" s="23" t="s">
        <v>13</v>
      </c>
      <c r="M88" s="28" t="s">
        <v>16</v>
      </c>
      <c r="N88" s="23" t="s">
        <v>2982</v>
      </c>
      <c r="O88" s="29" t="s">
        <v>87</v>
      </c>
      <c r="P88" s="23" t="s">
        <v>40</v>
      </c>
      <c r="Q88" s="23" t="s">
        <v>40</v>
      </c>
      <c r="R88" s="23" t="s">
        <v>3190</v>
      </c>
      <c r="S88" s="23" t="s">
        <v>40</v>
      </c>
      <c r="T88" s="23" t="s">
        <v>40</v>
      </c>
    </row>
    <row r="89" spans="1:20" x14ac:dyDescent="0.25">
      <c r="A89" s="23" t="s">
        <v>3198</v>
      </c>
      <c r="B89" s="23" t="s">
        <v>116</v>
      </c>
      <c r="C89" s="23" t="s">
        <v>3184</v>
      </c>
      <c r="D89" s="23" t="s">
        <v>3199</v>
      </c>
      <c r="E89" s="23" t="s">
        <v>3186</v>
      </c>
      <c r="F89" s="23" t="s">
        <v>40</v>
      </c>
      <c r="G89" s="23" t="s">
        <v>3200</v>
      </c>
      <c r="H89" s="23" t="s">
        <v>3201</v>
      </c>
      <c r="I89" s="23" t="s">
        <v>3202</v>
      </c>
      <c r="J89" s="23" t="s">
        <v>14</v>
      </c>
      <c r="K89" s="27" t="s">
        <v>404</v>
      </c>
      <c r="L89" s="23" t="s">
        <v>490</v>
      </c>
      <c r="M89" s="25" t="s">
        <v>18</v>
      </c>
      <c r="N89" s="23" t="s">
        <v>40</v>
      </c>
      <c r="O89" s="23" t="s">
        <v>387</v>
      </c>
      <c r="P89" s="23" t="s">
        <v>40</v>
      </c>
      <c r="Q89" s="23" t="s">
        <v>40</v>
      </c>
      <c r="R89" s="23" t="s">
        <v>3190</v>
      </c>
      <c r="S89" s="23" t="s">
        <v>40</v>
      </c>
      <c r="T89" s="23" t="s">
        <v>40</v>
      </c>
    </row>
    <row r="90" spans="1:20" x14ac:dyDescent="0.25">
      <c r="A90" s="23" t="s">
        <v>3203</v>
      </c>
      <c r="B90" s="23" t="s">
        <v>116</v>
      </c>
      <c r="C90" s="23" t="s">
        <v>3184</v>
      </c>
      <c r="D90" s="23" t="s">
        <v>3204</v>
      </c>
      <c r="E90" s="23" t="s">
        <v>3186</v>
      </c>
      <c r="F90" s="23" t="s">
        <v>40</v>
      </c>
      <c r="G90" s="23" t="s">
        <v>3205</v>
      </c>
      <c r="H90" s="23" t="s">
        <v>3206</v>
      </c>
      <c r="I90" s="23" t="s">
        <v>3207</v>
      </c>
      <c r="J90" s="23" t="s">
        <v>466</v>
      </c>
      <c r="K90" s="24" t="s">
        <v>386</v>
      </c>
      <c r="L90" s="23" t="s">
        <v>13</v>
      </c>
      <c r="M90" s="25" t="s">
        <v>18</v>
      </c>
      <c r="N90" s="23" t="s">
        <v>40</v>
      </c>
      <c r="O90" s="23" t="s">
        <v>387</v>
      </c>
      <c r="P90" s="23" t="s">
        <v>40</v>
      </c>
      <c r="Q90" s="23" t="s">
        <v>40</v>
      </c>
      <c r="R90" s="23" t="s">
        <v>3190</v>
      </c>
      <c r="S90" s="23" t="s">
        <v>40</v>
      </c>
      <c r="T90" s="23" t="s">
        <v>3208</v>
      </c>
    </row>
    <row r="91" spans="1:20" x14ac:dyDescent="0.25">
      <c r="A91" s="23" t="s">
        <v>3209</v>
      </c>
      <c r="B91" s="23" t="s">
        <v>116</v>
      </c>
      <c r="C91" s="23" t="s">
        <v>3184</v>
      </c>
      <c r="D91" s="23" t="s">
        <v>3210</v>
      </c>
      <c r="E91" s="23" t="s">
        <v>3186</v>
      </c>
      <c r="F91" s="23" t="s">
        <v>40</v>
      </c>
      <c r="G91" s="23" t="s">
        <v>3211</v>
      </c>
      <c r="H91" s="23" t="s">
        <v>3212</v>
      </c>
      <c r="I91" s="23" t="s">
        <v>3213</v>
      </c>
      <c r="J91" s="23" t="s">
        <v>466</v>
      </c>
      <c r="K91" s="24" t="s">
        <v>386</v>
      </c>
      <c r="L91" s="23" t="s">
        <v>13</v>
      </c>
      <c r="M91" s="25" t="s">
        <v>18</v>
      </c>
      <c r="N91" s="23" t="s">
        <v>40</v>
      </c>
      <c r="O91" s="23" t="s">
        <v>387</v>
      </c>
      <c r="P91" s="23" t="s">
        <v>40</v>
      </c>
      <c r="Q91" s="23" t="s">
        <v>40</v>
      </c>
      <c r="R91" s="23" t="s">
        <v>3190</v>
      </c>
      <c r="S91" s="23" t="s">
        <v>40</v>
      </c>
      <c r="T91" s="23" t="s">
        <v>3208</v>
      </c>
    </row>
    <row r="92" spans="1:20" x14ac:dyDescent="0.25">
      <c r="A92" s="23" t="s">
        <v>3214</v>
      </c>
      <c r="B92" s="23" t="s">
        <v>116</v>
      </c>
      <c r="C92" s="23" t="s">
        <v>3184</v>
      </c>
      <c r="D92" s="23" t="s">
        <v>3215</v>
      </c>
      <c r="E92" s="23" t="s">
        <v>3186</v>
      </c>
      <c r="F92" s="23" t="s">
        <v>40</v>
      </c>
      <c r="G92" s="23" t="s">
        <v>3216</v>
      </c>
      <c r="H92" s="23" t="s">
        <v>3217</v>
      </c>
      <c r="I92" s="23" t="s">
        <v>3218</v>
      </c>
      <c r="J92" s="23" t="s">
        <v>466</v>
      </c>
      <c r="K92" s="27" t="s">
        <v>404</v>
      </c>
      <c r="L92" s="23" t="s">
        <v>405</v>
      </c>
      <c r="M92" s="25" t="s">
        <v>18</v>
      </c>
      <c r="N92" s="23" t="s">
        <v>40</v>
      </c>
      <c r="O92" s="23" t="s">
        <v>387</v>
      </c>
      <c r="P92" s="23" t="s">
        <v>40</v>
      </c>
      <c r="Q92" s="23" t="s">
        <v>40</v>
      </c>
      <c r="R92" s="23" t="s">
        <v>3190</v>
      </c>
      <c r="S92" s="23" t="s">
        <v>40</v>
      </c>
      <c r="T92" s="23" t="s">
        <v>3208</v>
      </c>
    </row>
    <row r="93" spans="1:20" x14ac:dyDescent="0.25">
      <c r="A93" s="23" t="s">
        <v>3219</v>
      </c>
      <c r="B93" s="23" t="s">
        <v>116</v>
      </c>
      <c r="C93" s="23" t="s">
        <v>3184</v>
      </c>
      <c r="D93" s="23" t="s">
        <v>3220</v>
      </c>
      <c r="E93" s="23" t="s">
        <v>3186</v>
      </c>
      <c r="F93" s="23" t="s">
        <v>40</v>
      </c>
      <c r="G93" s="23" t="s">
        <v>3221</v>
      </c>
      <c r="H93" s="23" t="s">
        <v>3222</v>
      </c>
      <c r="I93" s="23" t="s">
        <v>3223</v>
      </c>
      <c r="J93" s="23" t="s">
        <v>466</v>
      </c>
      <c r="K93" s="27" t="s">
        <v>404</v>
      </c>
      <c r="L93" s="23" t="s">
        <v>405</v>
      </c>
      <c r="M93" s="25" t="s">
        <v>18</v>
      </c>
      <c r="N93" s="23" t="s">
        <v>40</v>
      </c>
      <c r="O93" s="23" t="s">
        <v>387</v>
      </c>
      <c r="P93" s="23" t="s">
        <v>40</v>
      </c>
      <c r="Q93" s="23" t="s">
        <v>40</v>
      </c>
      <c r="R93" s="23" t="s">
        <v>3190</v>
      </c>
      <c r="S93" s="23" t="s">
        <v>40</v>
      </c>
      <c r="T93" s="23" t="s">
        <v>3208</v>
      </c>
    </row>
    <row r="94" spans="1:20" x14ac:dyDescent="0.25">
      <c r="A94" s="23" t="s">
        <v>3224</v>
      </c>
      <c r="B94" s="23" t="s">
        <v>116</v>
      </c>
      <c r="C94" s="23" t="s">
        <v>3184</v>
      </c>
      <c r="D94" s="23" t="s">
        <v>3225</v>
      </c>
      <c r="E94" s="23" t="s">
        <v>3186</v>
      </c>
      <c r="F94" s="23" t="s">
        <v>40</v>
      </c>
      <c r="G94" s="23" t="s">
        <v>3226</v>
      </c>
      <c r="H94" s="23" t="s">
        <v>3227</v>
      </c>
      <c r="I94" s="23" t="s">
        <v>3228</v>
      </c>
      <c r="J94" s="23" t="s">
        <v>466</v>
      </c>
      <c r="K94" s="27" t="s">
        <v>404</v>
      </c>
      <c r="L94" s="23" t="s">
        <v>405</v>
      </c>
      <c r="M94" s="25" t="s">
        <v>18</v>
      </c>
      <c r="N94" s="23" t="s">
        <v>40</v>
      </c>
      <c r="O94" s="23" t="s">
        <v>387</v>
      </c>
      <c r="P94" s="23" t="s">
        <v>40</v>
      </c>
      <c r="Q94" s="23" t="s">
        <v>40</v>
      </c>
      <c r="R94" s="23" t="s">
        <v>3190</v>
      </c>
      <c r="S94" s="23" t="s">
        <v>40</v>
      </c>
      <c r="T94" s="23" t="s">
        <v>3208</v>
      </c>
    </row>
    <row r="95" spans="1:20" x14ac:dyDescent="0.25">
      <c r="A95" s="23" t="s">
        <v>3229</v>
      </c>
      <c r="B95" s="23" t="s">
        <v>116</v>
      </c>
      <c r="C95" s="23" t="s">
        <v>3184</v>
      </c>
      <c r="D95" s="23" t="s">
        <v>3230</v>
      </c>
      <c r="E95" s="23" t="s">
        <v>3186</v>
      </c>
      <c r="F95" s="23" t="s">
        <v>40</v>
      </c>
      <c r="G95" s="23" t="s">
        <v>3231</v>
      </c>
      <c r="H95" s="23" t="s">
        <v>3232</v>
      </c>
      <c r="I95" s="23" t="s">
        <v>3233</v>
      </c>
      <c r="J95" s="23" t="s">
        <v>466</v>
      </c>
      <c r="K95" s="27" t="s">
        <v>404</v>
      </c>
      <c r="L95" s="23" t="s">
        <v>405</v>
      </c>
      <c r="M95" s="25" t="s">
        <v>18</v>
      </c>
      <c r="N95" s="23" t="s">
        <v>40</v>
      </c>
      <c r="O95" s="23" t="s">
        <v>387</v>
      </c>
      <c r="P95" s="23" t="s">
        <v>40</v>
      </c>
      <c r="Q95" s="23" t="s">
        <v>40</v>
      </c>
      <c r="R95" s="23" t="s">
        <v>3190</v>
      </c>
      <c r="S95" s="23" t="s">
        <v>40</v>
      </c>
      <c r="T95" s="23" t="s">
        <v>3208</v>
      </c>
    </row>
    <row r="96" spans="1:20" x14ac:dyDescent="0.25">
      <c r="A96" s="23" t="s">
        <v>3234</v>
      </c>
      <c r="B96" s="23" t="s">
        <v>116</v>
      </c>
      <c r="C96" s="23" t="s">
        <v>3184</v>
      </c>
      <c r="D96" s="23" t="s">
        <v>3235</v>
      </c>
      <c r="E96" s="23" t="s">
        <v>3186</v>
      </c>
      <c r="F96" s="23" t="s">
        <v>40</v>
      </c>
      <c r="G96" s="23" t="s">
        <v>3236</v>
      </c>
      <c r="H96" s="23" t="s">
        <v>3237</v>
      </c>
      <c r="I96" s="23" t="s">
        <v>3238</v>
      </c>
      <c r="J96" s="23" t="s">
        <v>466</v>
      </c>
      <c r="K96" s="27" t="s">
        <v>404</v>
      </c>
      <c r="L96" s="23" t="s">
        <v>405</v>
      </c>
      <c r="M96" s="25" t="s">
        <v>18</v>
      </c>
      <c r="N96" s="23" t="s">
        <v>40</v>
      </c>
      <c r="O96" s="23" t="s">
        <v>387</v>
      </c>
      <c r="P96" s="23" t="s">
        <v>40</v>
      </c>
      <c r="Q96" s="23" t="s">
        <v>40</v>
      </c>
      <c r="R96" s="23" t="s">
        <v>3190</v>
      </c>
      <c r="S96" s="23" t="s">
        <v>40</v>
      </c>
      <c r="T96" s="23" t="s">
        <v>3208</v>
      </c>
    </row>
    <row r="97" spans="1:20" x14ac:dyDescent="0.25">
      <c r="A97" s="23" t="s">
        <v>3239</v>
      </c>
      <c r="B97" s="23" t="s">
        <v>116</v>
      </c>
      <c r="C97" s="23" t="s">
        <v>3184</v>
      </c>
      <c r="D97" s="23" t="s">
        <v>3240</v>
      </c>
      <c r="E97" s="23" t="s">
        <v>3186</v>
      </c>
      <c r="F97" s="23" t="s">
        <v>40</v>
      </c>
      <c r="G97" s="23" t="s">
        <v>3241</v>
      </c>
      <c r="H97" s="23" t="s">
        <v>3242</v>
      </c>
      <c r="I97" s="23" t="s">
        <v>3243</v>
      </c>
      <c r="J97" s="23" t="s">
        <v>466</v>
      </c>
      <c r="K97" s="24" t="s">
        <v>386</v>
      </c>
      <c r="L97" s="23" t="s">
        <v>13</v>
      </c>
      <c r="M97" s="25" t="s">
        <v>18</v>
      </c>
      <c r="N97" s="23" t="s">
        <v>40</v>
      </c>
      <c r="O97" s="23" t="s">
        <v>387</v>
      </c>
      <c r="P97" s="23" t="s">
        <v>40</v>
      </c>
      <c r="Q97" s="23" t="s">
        <v>40</v>
      </c>
      <c r="R97" s="23" t="s">
        <v>3190</v>
      </c>
      <c r="S97" s="23" t="s">
        <v>40</v>
      </c>
      <c r="T97" s="23" t="s">
        <v>3208</v>
      </c>
    </row>
    <row r="98" spans="1:20" x14ac:dyDescent="0.25">
      <c r="A98" s="23" t="s">
        <v>3244</v>
      </c>
      <c r="B98" s="23" t="s">
        <v>116</v>
      </c>
      <c r="C98" s="23" t="s">
        <v>3184</v>
      </c>
      <c r="D98" s="23" t="s">
        <v>3245</v>
      </c>
      <c r="E98" s="23" t="s">
        <v>3186</v>
      </c>
      <c r="F98" s="23" t="s">
        <v>40</v>
      </c>
      <c r="G98" s="23" t="s">
        <v>3246</v>
      </c>
      <c r="H98" s="23" t="s">
        <v>3247</v>
      </c>
      <c r="I98" s="23" t="s">
        <v>3248</v>
      </c>
      <c r="J98" s="23" t="s">
        <v>466</v>
      </c>
      <c r="K98" s="24" t="s">
        <v>386</v>
      </c>
      <c r="L98" s="23" t="s">
        <v>13</v>
      </c>
      <c r="M98" s="25" t="s">
        <v>18</v>
      </c>
      <c r="N98" s="23" t="s">
        <v>40</v>
      </c>
      <c r="O98" s="23" t="s">
        <v>387</v>
      </c>
      <c r="P98" s="23" t="s">
        <v>40</v>
      </c>
      <c r="Q98" s="23" t="s">
        <v>40</v>
      </c>
      <c r="R98" s="23" t="s">
        <v>3190</v>
      </c>
      <c r="S98" s="23" t="s">
        <v>40</v>
      </c>
      <c r="T98" s="23" t="s">
        <v>3208</v>
      </c>
    </row>
    <row r="99" spans="1:20" x14ac:dyDescent="0.25">
      <c r="A99" s="23" t="s">
        <v>3249</v>
      </c>
      <c r="B99" s="23" t="s">
        <v>116</v>
      </c>
      <c r="C99" s="23" t="s">
        <v>3184</v>
      </c>
      <c r="D99" s="23" t="s">
        <v>3250</v>
      </c>
      <c r="E99" s="23" t="s">
        <v>3186</v>
      </c>
      <c r="F99" s="23" t="s">
        <v>3251</v>
      </c>
      <c r="G99" s="23" t="s">
        <v>3252</v>
      </c>
      <c r="H99" s="23" t="s">
        <v>3253</v>
      </c>
      <c r="I99" s="23" t="s">
        <v>3254</v>
      </c>
      <c r="J99" s="23" t="s">
        <v>466</v>
      </c>
      <c r="K99" s="27" t="s">
        <v>404</v>
      </c>
      <c r="L99" s="23" t="s">
        <v>405</v>
      </c>
      <c r="M99" s="25" t="s">
        <v>18</v>
      </c>
      <c r="N99" s="23" t="s">
        <v>40</v>
      </c>
      <c r="O99" s="23" t="s">
        <v>387</v>
      </c>
      <c r="P99" s="23" t="s">
        <v>40</v>
      </c>
      <c r="Q99" s="23" t="s">
        <v>40</v>
      </c>
      <c r="R99" s="23" t="s">
        <v>3190</v>
      </c>
      <c r="S99" s="23" t="s">
        <v>40</v>
      </c>
      <c r="T99" s="23" t="s">
        <v>40</v>
      </c>
    </row>
    <row r="100" spans="1:20" x14ac:dyDescent="0.25">
      <c r="A100" s="23" t="s">
        <v>3255</v>
      </c>
      <c r="B100" s="23" t="s">
        <v>116</v>
      </c>
      <c r="C100" s="23" t="s">
        <v>3184</v>
      </c>
      <c r="D100" s="23" t="s">
        <v>3256</v>
      </c>
      <c r="E100" s="23" t="s">
        <v>3186</v>
      </c>
      <c r="F100" s="23" t="s">
        <v>3257</v>
      </c>
      <c r="G100" s="23" t="s">
        <v>3258</v>
      </c>
      <c r="H100" s="23" t="s">
        <v>3259</v>
      </c>
      <c r="I100" s="23" t="s">
        <v>3260</v>
      </c>
      <c r="J100" s="23" t="s">
        <v>466</v>
      </c>
      <c r="K100" s="27" t="s">
        <v>404</v>
      </c>
      <c r="L100" s="23" t="s">
        <v>405</v>
      </c>
      <c r="M100" s="25" t="s">
        <v>18</v>
      </c>
      <c r="N100" s="23" t="s">
        <v>40</v>
      </c>
      <c r="O100" s="23" t="s">
        <v>387</v>
      </c>
      <c r="P100" s="23" t="s">
        <v>40</v>
      </c>
      <c r="Q100" s="23" t="s">
        <v>40</v>
      </c>
      <c r="R100" s="23" t="s">
        <v>3190</v>
      </c>
      <c r="S100" s="23" t="s">
        <v>40</v>
      </c>
      <c r="T100" s="23" t="s">
        <v>40</v>
      </c>
    </row>
    <row r="101" spans="1:20" x14ac:dyDescent="0.25">
      <c r="A101" s="23" t="s">
        <v>3261</v>
      </c>
      <c r="B101" s="23" t="s">
        <v>116</v>
      </c>
      <c r="C101" s="23" t="s">
        <v>3184</v>
      </c>
      <c r="D101" s="23" t="s">
        <v>3262</v>
      </c>
      <c r="E101" s="23" t="s">
        <v>3186</v>
      </c>
      <c r="F101" s="23" t="s">
        <v>3263</v>
      </c>
      <c r="G101" s="23" t="s">
        <v>3264</v>
      </c>
      <c r="H101" s="23" t="s">
        <v>3265</v>
      </c>
      <c r="I101" s="23" t="s">
        <v>3266</v>
      </c>
      <c r="J101" s="23" t="s">
        <v>466</v>
      </c>
      <c r="K101" s="27" t="s">
        <v>404</v>
      </c>
      <c r="L101" s="23" t="s">
        <v>405</v>
      </c>
      <c r="M101" s="25" t="s">
        <v>18</v>
      </c>
      <c r="N101" s="23" t="s">
        <v>40</v>
      </c>
      <c r="O101" s="23" t="s">
        <v>387</v>
      </c>
      <c r="P101" s="23" t="s">
        <v>40</v>
      </c>
      <c r="Q101" s="23" t="s">
        <v>40</v>
      </c>
      <c r="R101" s="23" t="s">
        <v>3190</v>
      </c>
      <c r="S101" s="23" t="s">
        <v>3267</v>
      </c>
      <c r="T101" s="23" t="s">
        <v>40</v>
      </c>
    </row>
    <row r="102" spans="1:20" x14ac:dyDescent="0.25">
      <c r="A102" s="23" t="s">
        <v>3268</v>
      </c>
      <c r="B102" s="23" t="s">
        <v>116</v>
      </c>
      <c r="C102" s="23" t="s">
        <v>3184</v>
      </c>
      <c r="D102" s="23" t="s">
        <v>3269</v>
      </c>
      <c r="E102" s="23" t="s">
        <v>3186</v>
      </c>
      <c r="F102" s="23" t="s">
        <v>40</v>
      </c>
      <c r="G102" s="23" t="s">
        <v>3270</v>
      </c>
      <c r="H102" s="23" t="s">
        <v>3271</v>
      </c>
      <c r="I102" s="23" t="s">
        <v>3272</v>
      </c>
      <c r="J102" s="23" t="s">
        <v>466</v>
      </c>
      <c r="K102" s="27" t="s">
        <v>404</v>
      </c>
      <c r="L102" s="23" t="s">
        <v>405</v>
      </c>
      <c r="M102" s="25" t="s">
        <v>18</v>
      </c>
      <c r="N102" s="23" t="s">
        <v>40</v>
      </c>
      <c r="O102" s="23" t="s">
        <v>387</v>
      </c>
      <c r="P102" s="23" t="s">
        <v>40</v>
      </c>
      <c r="Q102" s="23" t="s">
        <v>40</v>
      </c>
      <c r="R102" s="23" t="s">
        <v>3190</v>
      </c>
      <c r="S102" s="23" t="s">
        <v>40</v>
      </c>
      <c r="T102" s="23" t="s">
        <v>40</v>
      </c>
    </row>
    <row r="103" spans="1:20" x14ac:dyDescent="0.25">
      <c r="A103" s="23" t="s">
        <v>3273</v>
      </c>
      <c r="B103" s="23" t="s">
        <v>116</v>
      </c>
      <c r="C103" s="23" t="s">
        <v>3184</v>
      </c>
      <c r="D103" s="23" t="s">
        <v>3274</v>
      </c>
      <c r="E103" s="23" t="s">
        <v>3186</v>
      </c>
      <c r="F103" s="23" t="s">
        <v>3275</v>
      </c>
      <c r="G103" s="23" t="s">
        <v>3276</v>
      </c>
      <c r="H103" s="23" t="s">
        <v>3277</v>
      </c>
      <c r="I103" s="23" t="s">
        <v>3278</v>
      </c>
      <c r="J103" s="23" t="s">
        <v>489</v>
      </c>
      <c r="K103" s="27" t="s">
        <v>404</v>
      </c>
      <c r="L103" s="23" t="s">
        <v>490</v>
      </c>
      <c r="M103" s="25" t="s">
        <v>18</v>
      </c>
      <c r="N103" s="23" t="s">
        <v>40</v>
      </c>
      <c r="O103" s="23" t="s">
        <v>387</v>
      </c>
      <c r="P103" s="23" t="s">
        <v>40</v>
      </c>
      <c r="Q103" s="23" t="s">
        <v>40</v>
      </c>
      <c r="R103" s="23" t="s">
        <v>3190</v>
      </c>
      <c r="S103" s="23" t="s">
        <v>40</v>
      </c>
      <c r="T103" s="23" t="s">
        <v>40</v>
      </c>
    </row>
    <row r="104" spans="1:20" x14ac:dyDescent="0.25">
      <c r="A104" s="23" t="s">
        <v>3279</v>
      </c>
      <c r="B104" s="23" t="s">
        <v>116</v>
      </c>
      <c r="C104" s="23" t="s">
        <v>3184</v>
      </c>
      <c r="D104" s="23" t="s">
        <v>3280</v>
      </c>
      <c r="E104" s="23" t="s">
        <v>3186</v>
      </c>
      <c r="F104" s="23" t="s">
        <v>40</v>
      </c>
      <c r="G104" s="23" t="s">
        <v>3281</v>
      </c>
      <c r="H104" s="23" t="s">
        <v>3282</v>
      </c>
      <c r="I104" s="23" t="s">
        <v>3283</v>
      </c>
      <c r="J104" s="23" t="s">
        <v>15</v>
      </c>
      <c r="K104" s="24" t="s">
        <v>386</v>
      </c>
      <c r="L104" s="23" t="s">
        <v>13</v>
      </c>
      <c r="M104" s="25" t="s">
        <v>18</v>
      </c>
      <c r="N104" s="23" t="s">
        <v>40</v>
      </c>
      <c r="O104" s="23" t="s">
        <v>387</v>
      </c>
      <c r="P104" s="23" t="s">
        <v>40</v>
      </c>
      <c r="Q104" s="23" t="s">
        <v>40</v>
      </c>
      <c r="R104" s="23" t="s">
        <v>3190</v>
      </c>
      <c r="S104" s="23" t="s">
        <v>40</v>
      </c>
      <c r="T104" s="23" t="s">
        <v>3208</v>
      </c>
    </row>
    <row r="105" spans="1:20" x14ac:dyDescent="0.25">
      <c r="A105" s="23" t="s">
        <v>3284</v>
      </c>
      <c r="B105" s="23" t="s">
        <v>116</v>
      </c>
      <c r="C105" s="23" t="s">
        <v>3184</v>
      </c>
      <c r="D105" s="23" t="s">
        <v>3285</v>
      </c>
      <c r="E105" s="23" t="s">
        <v>3186</v>
      </c>
      <c r="F105" s="23" t="s">
        <v>40</v>
      </c>
      <c r="G105" s="23" t="s">
        <v>3286</v>
      </c>
      <c r="H105" s="23" t="s">
        <v>3287</v>
      </c>
      <c r="I105" s="23" t="s">
        <v>3288</v>
      </c>
      <c r="J105" s="23" t="s">
        <v>385</v>
      </c>
      <c r="K105" s="27" t="s">
        <v>404</v>
      </c>
      <c r="L105" s="23" t="s">
        <v>405</v>
      </c>
      <c r="M105" s="25" t="s">
        <v>18</v>
      </c>
      <c r="N105" s="23" t="s">
        <v>40</v>
      </c>
      <c r="O105" s="23" t="s">
        <v>387</v>
      </c>
      <c r="P105" s="23" t="s">
        <v>40</v>
      </c>
      <c r="Q105" s="23" t="s">
        <v>40</v>
      </c>
      <c r="R105" s="23" t="s">
        <v>3190</v>
      </c>
      <c r="S105" s="23" t="s">
        <v>40</v>
      </c>
      <c r="T105" s="23" t="s">
        <v>40</v>
      </c>
    </row>
    <row r="106" spans="1:20" x14ac:dyDescent="0.25">
      <c r="A106" s="23" t="s">
        <v>3289</v>
      </c>
      <c r="B106" s="23" t="s">
        <v>116</v>
      </c>
      <c r="C106" s="23" t="s">
        <v>3184</v>
      </c>
      <c r="D106" s="23" t="s">
        <v>3290</v>
      </c>
      <c r="E106" s="23" t="s">
        <v>3186</v>
      </c>
      <c r="F106" s="23" t="s">
        <v>40</v>
      </c>
      <c r="G106" s="23" t="s">
        <v>3291</v>
      </c>
      <c r="H106" s="23" t="s">
        <v>3292</v>
      </c>
      <c r="I106" s="23" t="s">
        <v>3293</v>
      </c>
      <c r="J106" s="23" t="s">
        <v>15</v>
      </c>
      <c r="K106" s="27" t="s">
        <v>404</v>
      </c>
      <c r="L106" s="23" t="s">
        <v>490</v>
      </c>
      <c r="M106" s="25" t="s">
        <v>18</v>
      </c>
      <c r="N106" s="23" t="s">
        <v>40</v>
      </c>
      <c r="O106" s="23" t="s">
        <v>387</v>
      </c>
      <c r="P106" s="23" t="s">
        <v>40</v>
      </c>
      <c r="Q106" s="23" t="s">
        <v>40</v>
      </c>
      <c r="R106" s="23" t="s">
        <v>3190</v>
      </c>
      <c r="S106" s="23" t="s">
        <v>40</v>
      </c>
      <c r="T106" s="23" t="s">
        <v>40</v>
      </c>
    </row>
    <row r="107" spans="1:20" x14ac:dyDescent="0.25">
      <c r="A107" s="23" t="s">
        <v>3294</v>
      </c>
      <c r="B107" s="23" t="s">
        <v>116</v>
      </c>
      <c r="C107" s="23" t="s">
        <v>3184</v>
      </c>
      <c r="D107" s="23" t="s">
        <v>3295</v>
      </c>
      <c r="E107" s="23" t="s">
        <v>3186</v>
      </c>
      <c r="F107" s="23" t="s">
        <v>40</v>
      </c>
      <c r="G107" s="23" t="s">
        <v>3296</v>
      </c>
      <c r="H107" s="23" t="s">
        <v>3297</v>
      </c>
      <c r="I107" s="23" t="s">
        <v>3298</v>
      </c>
      <c r="J107" s="23" t="s">
        <v>14</v>
      </c>
      <c r="K107" s="24" t="s">
        <v>386</v>
      </c>
      <c r="L107" s="23" t="s">
        <v>405</v>
      </c>
      <c r="M107" s="28" t="s">
        <v>16</v>
      </c>
      <c r="N107" s="23" t="s">
        <v>2982</v>
      </c>
      <c r="O107" s="29" t="s">
        <v>87</v>
      </c>
      <c r="P107" s="23" t="s">
        <v>40</v>
      </c>
      <c r="Q107" s="23" t="s">
        <v>40</v>
      </c>
      <c r="R107" s="23" t="s">
        <v>3190</v>
      </c>
      <c r="S107" s="23" t="s">
        <v>40</v>
      </c>
      <c r="T107" s="23" t="s">
        <v>40</v>
      </c>
    </row>
    <row r="108" spans="1:20" x14ac:dyDescent="0.25">
      <c r="A108" s="23" t="s">
        <v>3299</v>
      </c>
      <c r="B108" s="23" t="s">
        <v>116</v>
      </c>
      <c r="C108" s="23" t="s">
        <v>3184</v>
      </c>
      <c r="D108" s="23" t="s">
        <v>3300</v>
      </c>
      <c r="E108" s="23" t="s">
        <v>3186</v>
      </c>
      <c r="F108" s="23" t="s">
        <v>40</v>
      </c>
      <c r="G108" s="23" t="s">
        <v>3301</v>
      </c>
      <c r="H108" s="23" t="s">
        <v>3302</v>
      </c>
      <c r="I108" s="23" t="s">
        <v>3303</v>
      </c>
      <c r="J108" s="23" t="s">
        <v>14</v>
      </c>
      <c r="K108" s="24" t="s">
        <v>386</v>
      </c>
      <c r="L108" s="23" t="s">
        <v>405</v>
      </c>
      <c r="M108" s="25" t="s">
        <v>18</v>
      </c>
      <c r="N108" s="23" t="s">
        <v>40</v>
      </c>
      <c r="O108" s="23" t="s">
        <v>387</v>
      </c>
      <c r="P108" s="23" t="s">
        <v>40</v>
      </c>
      <c r="Q108" s="23" t="s">
        <v>40</v>
      </c>
      <c r="R108" s="23" t="s">
        <v>3190</v>
      </c>
      <c r="S108" s="23" t="s">
        <v>40</v>
      </c>
      <c r="T108" s="23" t="s">
        <v>40</v>
      </c>
    </row>
    <row r="109" spans="1:20" x14ac:dyDescent="0.25">
      <c r="A109" s="23" t="s">
        <v>3304</v>
      </c>
      <c r="B109" s="23" t="s">
        <v>116</v>
      </c>
      <c r="C109" s="23" t="s">
        <v>3184</v>
      </c>
      <c r="D109" s="23" t="s">
        <v>3305</v>
      </c>
      <c r="E109" s="23" t="s">
        <v>3186</v>
      </c>
      <c r="F109" s="23" t="s">
        <v>40</v>
      </c>
      <c r="G109" s="23" t="s">
        <v>3306</v>
      </c>
      <c r="H109" s="23" t="s">
        <v>3307</v>
      </c>
      <c r="I109" s="23" t="s">
        <v>3308</v>
      </c>
      <c r="J109" s="23" t="s">
        <v>14</v>
      </c>
      <c r="K109" s="27" t="s">
        <v>404</v>
      </c>
      <c r="L109" s="23" t="s">
        <v>490</v>
      </c>
      <c r="M109" s="25" t="s">
        <v>18</v>
      </c>
      <c r="N109" s="23" t="s">
        <v>40</v>
      </c>
      <c r="O109" s="23" t="s">
        <v>387</v>
      </c>
      <c r="P109" s="23" t="s">
        <v>40</v>
      </c>
      <c r="Q109" s="23" t="s">
        <v>40</v>
      </c>
      <c r="R109" s="23" t="s">
        <v>3190</v>
      </c>
      <c r="S109" s="23" t="s">
        <v>40</v>
      </c>
      <c r="T109" s="23" t="s">
        <v>40</v>
      </c>
    </row>
    <row r="110" spans="1:20" x14ac:dyDescent="0.25">
      <c r="A110" s="23" t="s">
        <v>3309</v>
      </c>
      <c r="B110" s="23" t="s">
        <v>116</v>
      </c>
      <c r="C110" s="23" t="s">
        <v>3184</v>
      </c>
      <c r="D110" s="23" t="s">
        <v>3310</v>
      </c>
      <c r="E110" s="23" t="s">
        <v>3186</v>
      </c>
      <c r="F110" s="23" t="s">
        <v>40</v>
      </c>
      <c r="G110" s="23" t="s">
        <v>3311</v>
      </c>
      <c r="H110" s="23" t="s">
        <v>3312</v>
      </c>
      <c r="I110" s="23" t="s">
        <v>3313</v>
      </c>
      <c r="J110" s="23" t="s">
        <v>14</v>
      </c>
      <c r="K110" s="27" t="s">
        <v>404</v>
      </c>
      <c r="L110" s="23" t="s">
        <v>490</v>
      </c>
      <c r="M110" s="25" t="s">
        <v>18</v>
      </c>
      <c r="N110" s="23" t="s">
        <v>40</v>
      </c>
      <c r="O110" s="23" t="s">
        <v>387</v>
      </c>
      <c r="P110" s="23" t="s">
        <v>40</v>
      </c>
      <c r="Q110" s="23" t="s">
        <v>40</v>
      </c>
      <c r="R110" s="23" t="s">
        <v>3190</v>
      </c>
      <c r="S110" s="23" t="s">
        <v>40</v>
      </c>
      <c r="T110" s="23" t="s">
        <v>40</v>
      </c>
    </row>
    <row r="111" spans="1:20" x14ac:dyDescent="0.25">
      <c r="A111" s="23" t="s">
        <v>3314</v>
      </c>
      <c r="B111" s="23" t="s">
        <v>116</v>
      </c>
      <c r="C111" s="23" t="s">
        <v>3184</v>
      </c>
      <c r="D111" s="23" t="s">
        <v>3315</v>
      </c>
      <c r="E111" s="23" t="s">
        <v>3186</v>
      </c>
      <c r="F111" s="23" t="s">
        <v>40</v>
      </c>
      <c r="G111" s="23" t="s">
        <v>3316</v>
      </c>
      <c r="H111" s="23" t="s">
        <v>3317</v>
      </c>
      <c r="I111" s="23" t="s">
        <v>3318</v>
      </c>
      <c r="J111" s="23" t="s">
        <v>14</v>
      </c>
      <c r="K111" s="24" t="s">
        <v>386</v>
      </c>
      <c r="L111" s="23" t="s">
        <v>405</v>
      </c>
      <c r="M111" s="25" t="s">
        <v>18</v>
      </c>
      <c r="N111" s="23" t="s">
        <v>40</v>
      </c>
      <c r="O111" s="23" t="s">
        <v>387</v>
      </c>
      <c r="P111" s="23" t="s">
        <v>40</v>
      </c>
      <c r="Q111" s="23" t="s">
        <v>40</v>
      </c>
      <c r="R111" s="23" t="s">
        <v>3190</v>
      </c>
      <c r="S111" s="23" t="s">
        <v>40</v>
      </c>
      <c r="T111" s="23" t="s">
        <v>3319</v>
      </c>
    </row>
    <row r="112" spans="1:20" x14ac:dyDescent="0.25">
      <c r="A112" s="23" t="s">
        <v>3320</v>
      </c>
      <c r="B112" s="23" t="s">
        <v>116</v>
      </c>
      <c r="C112" s="23" t="s">
        <v>3184</v>
      </c>
      <c r="D112" s="23" t="s">
        <v>3321</v>
      </c>
      <c r="E112" s="23" t="s">
        <v>3186</v>
      </c>
      <c r="F112" s="23" t="s">
        <v>40</v>
      </c>
      <c r="G112" s="23" t="s">
        <v>3322</v>
      </c>
      <c r="H112" s="23" t="s">
        <v>3323</v>
      </c>
      <c r="I112" s="23" t="s">
        <v>3324</v>
      </c>
      <c r="J112" s="23" t="s">
        <v>14</v>
      </c>
      <c r="K112" s="24" t="s">
        <v>386</v>
      </c>
      <c r="L112" s="23" t="s">
        <v>405</v>
      </c>
      <c r="M112" s="25" t="s">
        <v>18</v>
      </c>
      <c r="N112" s="23" t="s">
        <v>40</v>
      </c>
      <c r="O112" s="23" t="s">
        <v>387</v>
      </c>
      <c r="P112" s="23" t="s">
        <v>40</v>
      </c>
      <c r="Q112" s="23" t="s">
        <v>40</v>
      </c>
      <c r="R112" s="23" t="s">
        <v>3190</v>
      </c>
      <c r="S112" s="23" t="s">
        <v>40</v>
      </c>
      <c r="T112" s="23" t="s">
        <v>40</v>
      </c>
    </row>
    <row r="113" spans="1:20" x14ac:dyDescent="0.25">
      <c r="A113" s="23" t="s">
        <v>3325</v>
      </c>
      <c r="B113" s="23" t="s">
        <v>116</v>
      </c>
      <c r="C113" s="23" t="s">
        <v>3184</v>
      </c>
      <c r="D113" s="23" t="s">
        <v>3326</v>
      </c>
      <c r="E113" s="23" t="s">
        <v>3186</v>
      </c>
      <c r="F113" s="23" t="s">
        <v>40</v>
      </c>
      <c r="G113" s="23" t="s">
        <v>3327</v>
      </c>
      <c r="H113" s="23" t="s">
        <v>3328</v>
      </c>
      <c r="I113" s="23" t="s">
        <v>3329</v>
      </c>
      <c r="J113" s="23" t="s">
        <v>801</v>
      </c>
      <c r="K113" s="24" t="s">
        <v>386</v>
      </c>
      <c r="L113" s="23" t="s">
        <v>405</v>
      </c>
      <c r="M113" s="25" t="s">
        <v>18</v>
      </c>
      <c r="N113" s="23" t="s">
        <v>40</v>
      </c>
      <c r="O113" s="23" t="s">
        <v>387</v>
      </c>
      <c r="P113" s="23" t="s">
        <v>40</v>
      </c>
      <c r="Q113" s="23" t="s">
        <v>40</v>
      </c>
      <c r="R113" s="23" t="s">
        <v>3190</v>
      </c>
      <c r="S113" s="23" t="s">
        <v>40</v>
      </c>
      <c r="T113" s="23" t="s">
        <v>3330</v>
      </c>
    </row>
    <row r="114" spans="1:20" x14ac:dyDescent="0.25">
      <c r="A114" s="23" t="s">
        <v>3331</v>
      </c>
      <c r="B114" s="23" t="s">
        <v>116</v>
      </c>
      <c r="C114" s="23" t="s">
        <v>3184</v>
      </c>
      <c r="D114" s="23" t="s">
        <v>3332</v>
      </c>
      <c r="E114" s="23" t="s">
        <v>3186</v>
      </c>
      <c r="F114" s="23" t="s">
        <v>40</v>
      </c>
      <c r="G114" s="23" t="s">
        <v>3333</v>
      </c>
      <c r="H114" s="23" t="s">
        <v>3334</v>
      </c>
      <c r="I114" s="23" t="s">
        <v>3335</v>
      </c>
      <c r="J114" s="23" t="s">
        <v>801</v>
      </c>
      <c r="K114" s="26" t="s">
        <v>396</v>
      </c>
      <c r="L114" s="23" t="s">
        <v>13</v>
      </c>
      <c r="M114" s="28" t="s">
        <v>16</v>
      </c>
      <c r="N114" s="23" t="s">
        <v>3107</v>
      </c>
      <c r="O114" s="29" t="s">
        <v>87</v>
      </c>
      <c r="P114" s="23" t="s">
        <v>40</v>
      </c>
      <c r="Q114" s="23" t="s">
        <v>40</v>
      </c>
      <c r="R114" s="23" t="s">
        <v>3190</v>
      </c>
      <c r="S114" s="23" t="s">
        <v>40</v>
      </c>
      <c r="T114" s="23" t="s">
        <v>40</v>
      </c>
    </row>
    <row r="115" spans="1:20" x14ac:dyDescent="0.25">
      <c r="A115" s="23" t="s">
        <v>3336</v>
      </c>
      <c r="B115" s="23" t="s">
        <v>116</v>
      </c>
      <c r="C115" s="23" t="s">
        <v>3184</v>
      </c>
      <c r="D115" s="23" t="s">
        <v>3337</v>
      </c>
      <c r="E115" s="23" t="s">
        <v>3186</v>
      </c>
      <c r="F115" s="23" t="s">
        <v>40</v>
      </c>
      <c r="G115" s="23" t="s">
        <v>3338</v>
      </c>
      <c r="H115" s="23" t="s">
        <v>3339</v>
      </c>
      <c r="I115" s="23" t="s">
        <v>3340</v>
      </c>
      <c r="J115" s="23" t="s">
        <v>801</v>
      </c>
      <c r="K115" s="24" t="s">
        <v>386</v>
      </c>
      <c r="L115" s="23" t="s">
        <v>405</v>
      </c>
      <c r="M115" s="28" t="s">
        <v>16</v>
      </c>
      <c r="N115" s="23" t="s">
        <v>3341</v>
      </c>
      <c r="O115" s="29" t="s">
        <v>87</v>
      </c>
      <c r="P115" s="23" t="s">
        <v>40</v>
      </c>
      <c r="Q115" s="23" t="s">
        <v>40</v>
      </c>
      <c r="R115" s="23" t="s">
        <v>3190</v>
      </c>
      <c r="S115" s="23" t="s">
        <v>40</v>
      </c>
      <c r="T115" s="23" t="s">
        <v>40</v>
      </c>
    </row>
    <row r="116" spans="1:20" x14ac:dyDescent="0.25">
      <c r="A116" s="23" t="s">
        <v>3342</v>
      </c>
      <c r="B116" s="23" t="s">
        <v>116</v>
      </c>
      <c r="C116" s="23" t="s">
        <v>3184</v>
      </c>
      <c r="D116" s="23" t="s">
        <v>3343</v>
      </c>
      <c r="E116" s="23" t="s">
        <v>3186</v>
      </c>
      <c r="F116" s="23" t="s">
        <v>40</v>
      </c>
      <c r="G116" s="23" t="s">
        <v>3344</v>
      </c>
      <c r="H116" s="23" t="s">
        <v>3345</v>
      </c>
      <c r="I116" s="23" t="s">
        <v>3346</v>
      </c>
      <c r="J116" s="23" t="s">
        <v>801</v>
      </c>
      <c r="K116" s="24" t="s">
        <v>386</v>
      </c>
      <c r="L116" s="23" t="s">
        <v>405</v>
      </c>
      <c r="M116" s="25" t="s">
        <v>18</v>
      </c>
      <c r="N116" s="23" t="s">
        <v>40</v>
      </c>
      <c r="O116" s="23" t="s">
        <v>387</v>
      </c>
      <c r="P116" s="23" t="s">
        <v>40</v>
      </c>
      <c r="Q116" s="23" t="s">
        <v>40</v>
      </c>
      <c r="R116" s="23" t="s">
        <v>3190</v>
      </c>
      <c r="S116" s="23" t="s">
        <v>40</v>
      </c>
      <c r="T116" s="23" t="s">
        <v>40</v>
      </c>
    </row>
    <row r="117" spans="1:20" x14ac:dyDescent="0.25">
      <c r="A117" s="23" t="s">
        <v>3347</v>
      </c>
      <c r="B117" s="23" t="s">
        <v>140</v>
      </c>
      <c r="C117" s="23" t="s">
        <v>944</v>
      </c>
      <c r="D117" s="23" t="s">
        <v>3348</v>
      </c>
      <c r="E117" s="23" t="s">
        <v>3349</v>
      </c>
      <c r="F117" s="23" t="s">
        <v>40</v>
      </c>
      <c r="G117" s="23" t="s">
        <v>3350</v>
      </c>
      <c r="H117" s="23" t="s">
        <v>3351</v>
      </c>
      <c r="I117" s="23" t="s">
        <v>3352</v>
      </c>
      <c r="J117" s="23" t="s">
        <v>385</v>
      </c>
      <c r="K117" s="24" t="s">
        <v>386</v>
      </c>
      <c r="L117" s="23" t="s">
        <v>13</v>
      </c>
      <c r="M117" s="31" t="s">
        <v>17</v>
      </c>
      <c r="N117" s="23" t="s">
        <v>3353</v>
      </c>
      <c r="O117" s="29" t="s">
        <v>87</v>
      </c>
      <c r="P117" s="23" t="s">
        <v>40</v>
      </c>
      <c r="Q117" s="23" t="s">
        <v>40</v>
      </c>
      <c r="R117" s="23" t="s">
        <v>141</v>
      </c>
      <c r="S117" s="23" t="s">
        <v>40</v>
      </c>
      <c r="T117" s="23" t="s">
        <v>40</v>
      </c>
    </row>
    <row r="118" spans="1:20" x14ac:dyDescent="0.25">
      <c r="A118" s="23" t="s">
        <v>3354</v>
      </c>
      <c r="B118" s="23" t="s">
        <v>140</v>
      </c>
      <c r="C118" s="23" t="s">
        <v>3355</v>
      </c>
      <c r="D118" s="23" t="s">
        <v>3356</v>
      </c>
      <c r="E118" s="23" t="s">
        <v>3349</v>
      </c>
      <c r="F118" s="23" t="s">
        <v>40</v>
      </c>
      <c r="G118" s="23" t="s">
        <v>3357</v>
      </c>
      <c r="H118" s="23" t="s">
        <v>3358</v>
      </c>
      <c r="I118" s="23" t="s">
        <v>3359</v>
      </c>
      <c r="J118" s="23" t="s">
        <v>14</v>
      </c>
      <c r="K118" s="24" t="s">
        <v>386</v>
      </c>
      <c r="L118" s="23" t="s">
        <v>405</v>
      </c>
      <c r="M118" s="25" t="s">
        <v>18</v>
      </c>
      <c r="N118" s="23" t="s">
        <v>40</v>
      </c>
      <c r="O118" s="23" t="s">
        <v>387</v>
      </c>
      <c r="P118" s="23" t="s">
        <v>40</v>
      </c>
      <c r="Q118" s="23" t="s">
        <v>40</v>
      </c>
      <c r="R118" s="23" t="s">
        <v>141</v>
      </c>
      <c r="S118" s="23" t="s">
        <v>40</v>
      </c>
      <c r="T118" s="23" t="s">
        <v>3360</v>
      </c>
    </row>
    <row r="119" spans="1:20" x14ac:dyDescent="0.25">
      <c r="A119" s="23" t="s">
        <v>3361</v>
      </c>
      <c r="B119" s="23" t="s">
        <v>140</v>
      </c>
      <c r="C119" s="23" t="s">
        <v>3355</v>
      </c>
      <c r="D119" s="23" t="s">
        <v>3362</v>
      </c>
      <c r="E119" s="23" t="s">
        <v>3349</v>
      </c>
      <c r="F119" s="23" t="s">
        <v>40</v>
      </c>
      <c r="G119" s="23" t="s">
        <v>3363</v>
      </c>
      <c r="H119" s="23" t="s">
        <v>3364</v>
      </c>
      <c r="I119" s="23" t="s">
        <v>3365</v>
      </c>
      <c r="J119" s="23" t="s">
        <v>385</v>
      </c>
      <c r="K119" s="32" t="s">
        <v>747</v>
      </c>
      <c r="L119" s="23" t="s">
        <v>490</v>
      </c>
      <c r="M119" s="25" t="s">
        <v>18</v>
      </c>
      <c r="N119" s="23" t="s">
        <v>40</v>
      </c>
      <c r="O119" s="23" t="s">
        <v>387</v>
      </c>
      <c r="P119" s="23" t="s">
        <v>40</v>
      </c>
      <c r="Q119" s="23" t="s">
        <v>40</v>
      </c>
      <c r="R119" s="23" t="s">
        <v>141</v>
      </c>
      <c r="S119" s="23" t="s">
        <v>40</v>
      </c>
      <c r="T119" s="23" t="s">
        <v>40</v>
      </c>
    </row>
    <row r="120" spans="1:20" x14ac:dyDescent="0.25">
      <c r="A120" s="23" t="s">
        <v>3366</v>
      </c>
      <c r="B120" s="23" t="s">
        <v>140</v>
      </c>
      <c r="C120" s="23" t="s">
        <v>3355</v>
      </c>
      <c r="D120" s="23" t="s">
        <v>3367</v>
      </c>
      <c r="E120" s="23" t="s">
        <v>3349</v>
      </c>
      <c r="F120" s="23" t="s">
        <v>40</v>
      </c>
      <c r="G120" s="23" t="s">
        <v>3368</v>
      </c>
      <c r="H120" s="23" t="s">
        <v>3369</v>
      </c>
      <c r="I120" s="23" t="s">
        <v>3370</v>
      </c>
      <c r="J120" s="23" t="s">
        <v>14</v>
      </c>
      <c r="K120" s="24" t="s">
        <v>386</v>
      </c>
      <c r="L120" s="23" t="s">
        <v>405</v>
      </c>
      <c r="M120" s="25" t="s">
        <v>18</v>
      </c>
      <c r="N120" s="23" t="s">
        <v>40</v>
      </c>
      <c r="O120" s="23" t="s">
        <v>387</v>
      </c>
      <c r="P120" s="23" t="s">
        <v>40</v>
      </c>
      <c r="Q120" s="23" t="s">
        <v>40</v>
      </c>
      <c r="R120" s="23" t="s">
        <v>141</v>
      </c>
      <c r="S120" s="23" t="s">
        <v>40</v>
      </c>
      <c r="T120" s="23" t="s">
        <v>40</v>
      </c>
    </row>
    <row r="121" spans="1:20" x14ac:dyDescent="0.25">
      <c r="A121" s="23" t="s">
        <v>3371</v>
      </c>
      <c r="B121" s="23" t="s">
        <v>140</v>
      </c>
      <c r="C121" s="23" t="s">
        <v>3355</v>
      </c>
      <c r="D121" s="23" t="s">
        <v>3372</v>
      </c>
      <c r="E121" s="23" t="s">
        <v>3349</v>
      </c>
      <c r="F121" s="23" t="s">
        <v>40</v>
      </c>
      <c r="G121" s="23" t="s">
        <v>3373</v>
      </c>
      <c r="H121" s="23" t="s">
        <v>3374</v>
      </c>
      <c r="I121" s="23" t="s">
        <v>3375</v>
      </c>
      <c r="J121" s="23" t="s">
        <v>14</v>
      </c>
      <c r="K121" s="24" t="s">
        <v>386</v>
      </c>
      <c r="L121" s="23" t="s">
        <v>405</v>
      </c>
      <c r="M121" s="25" t="s">
        <v>18</v>
      </c>
      <c r="N121" s="23" t="s">
        <v>40</v>
      </c>
      <c r="O121" s="23" t="s">
        <v>387</v>
      </c>
      <c r="P121" s="23" t="s">
        <v>40</v>
      </c>
      <c r="Q121" s="23" t="s">
        <v>40</v>
      </c>
      <c r="R121" s="23" t="s">
        <v>141</v>
      </c>
      <c r="S121" s="23" t="s">
        <v>40</v>
      </c>
      <c r="T121" s="23" t="s">
        <v>40</v>
      </c>
    </row>
    <row r="122" spans="1:20" x14ac:dyDescent="0.25">
      <c r="A122" s="23" t="s">
        <v>3376</v>
      </c>
      <c r="B122" s="23" t="s">
        <v>140</v>
      </c>
      <c r="C122" s="23" t="s">
        <v>3377</v>
      </c>
      <c r="D122" s="23" t="s">
        <v>3378</v>
      </c>
      <c r="E122" s="23" t="s">
        <v>3349</v>
      </c>
      <c r="F122" s="23" t="s">
        <v>40</v>
      </c>
      <c r="G122" s="23" t="s">
        <v>3379</v>
      </c>
      <c r="H122" s="23" t="s">
        <v>3380</v>
      </c>
      <c r="I122" s="23" t="s">
        <v>3381</v>
      </c>
      <c r="J122" s="23" t="s">
        <v>14</v>
      </c>
      <c r="K122" s="24" t="s">
        <v>386</v>
      </c>
      <c r="L122" s="23" t="s">
        <v>405</v>
      </c>
      <c r="M122" s="25" t="s">
        <v>18</v>
      </c>
      <c r="N122" s="23" t="s">
        <v>40</v>
      </c>
      <c r="O122" s="23" t="s">
        <v>387</v>
      </c>
      <c r="P122" s="23" t="s">
        <v>40</v>
      </c>
      <c r="Q122" s="23" t="s">
        <v>40</v>
      </c>
      <c r="R122" s="23" t="s">
        <v>141</v>
      </c>
      <c r="S122" s="23" t="s">
        <v>40</v>
      </c>
      <c r="T122" s="23" t="s">
        <v>40</v>
      </c>
    </row>
    <row r="123" spans="1:20" x14ac:dyDescent="0.25">
      <c r="A123" s="23" t="s">
        <v>3382</v>
      </c>
      <c r="B123" s="23" t="s">
        <v>140</v>
      </c>
      <c r="C123" s="23" t="s">
        <v>3377</v>
      </c>
      <c r="D123" s="23" t="s">
        <v>3383</v>
      </c>
      <c r="E123" s="23" t="s">
        <v>3349</v>
      </c>
      <c r="F123" s="23" t="s">
        <v>40</v>
      </c>
      <c r="G123" s="23" t="s">
        <v>3384</v>
      </c>
      <c r="H123" s="23" t="s">
        <v>3385</v>
      </c>
      <c r="I123" s="23" t="s">
        <v>3386</v>
      </c>
      <c r="J123" s="23" t="s">
        <v>14</v>
      </c>
      <c r="K123" s="27" t="s">
        <v>404</v>
      </c>
      <c r="L123" s="23" t="s">
        <v>490</v>
      </c>
      <c r="M123" s="25" t="s">
        <v>18</v>
      </c>
      <c r="N123" s="23" t="s">
        <v>40</v>
      </c>
      <c r="O123" s="23" t="s">
        <v>387</v>
      </c>
      <c r="P123" s="23" t="s">
        <v>40</v>
      </c>
      <c r="Q123" s="23" t="s">
        <v>40</v>
      </c>
      <c r="R123" s="23" t="s">
        <v>141</v>
      </c>
      <c r="S123" s="23" t="s">
        <v>40</v>
      </c>
      <c r="T123" s="23" t="s">
        <v>40</v>
      </c>
    </row>
    <row r="124" spans="1:20" x14ac:dyDescent="0.25">
      <c r="A124" s="23" t="s">
        <v>3387</v>
      </c>
      <c r="B124" s="23" t="s">
        <v>140</v>
      </c>
      <c r="C124" s="23" t="s">
        <v>3377</v>
      </c>
      <c r="D124" s="23" t="s">
        <v>3388</v>
      </c>
      <c r="E124" s="23" t="s">
        <v>3349</v>
      </c>
      <c r="F124" s="23" t="s">
        <v>40</v>
      </c>
      <c r="G124" s="23" t="s">
        <v>3389</v>
      </c>
      <c r="H124" s="23" t="s">
        <v>3390</v>
      </c>
      <c r="I124" s="23" t="s">
        <v>3391</v>
      </c>
      <c r="J124" s="23" t="s">
        <v>385</v>
      </c>
      <c r="K124" s="32" t="s">
        <v>747</v>
      </c>
      <c r="L124" s="23" t="s">
        <v>490</v>
      </c>
      <c r="M124" s="25" t="s">
        <v>18</v>
      </c>
      <c r="N124" s="23" t="s">
        <v>40</v>
      </c>
      <c r="O124" s="23" t="s">
        <v>387</v>
      </c>
      <c r="P124" s="23" t="s">
        <v>40</v>
      </c>
      <c r="Q124" s="23" t="s">
        <v>40</v>
      </c>
      <c r="R124" s="23" t="s">
        <v>141</v>
      </c>
      <c r="S124" s="23" t="s">
        <v>40</v>
      </c>
      <c r="T124" s="23" t="s">
        <v>3392</v>
      </c>
    </row>
    <row r="125" spans="1:20" x14ac:dyDescent="0.25">
      <c r="A125" s="23" t="s">
        <v>3393</v>
      </c>
      <c r="B125" s="23" t="s">
        <v>140</v>
      </c>
      <c r="C125" s="23" t="s">
        <v>3377</v>
      </c>
      <c r="D125" s="23" t="s">
        <v>3394</v>
      </c>
      <c r="E125" s="23" t="s">
        <v>3349</v>
      </c>
      <c r="F125" s="23" t="s">
        <v>40</v>
      </c>
      <c r="G125" s="23" t="s">
        <v>3395</v>
      </c>
      <c r="H125" s="23" t="s">
        <v>3396</v>
      </c>
      <c r="I125" s="23" t="s">
        <v>3397</v>
      </c>
      <c r="J125" s="23" t="s">
        <v>385</v>
      </c>
      <c r="K125" s="32" t="s">
        <v>747</v>
      </c>
      <c r="L125" s="23" t="s">
        <v>490</v>
      </c>
      <c r="M125" s="25" t="s">
        <v>18</v>
      </c>
      <c r="N125" s="23" t="s">
        <v>40</v>
      </c>
      <c r="O125" s="23" t="s">
        <v>387</v>
      </c>
      <c r="P125" s="23" t="s">
        <v>40</v>
      </c>
      <c r="Q125" s="23" t="s">
        <v>40</v>
      </c>
      <c r="R125" s="23" t="s">
        <v>141</v>
      </c>
      <c r="S125" s="23" t="s">
        <v>40</v>
      </c>
      <c r="T125" s="23" t="s">
        <v>40</v>
      </c>
    </row>
    <row r="126" spans="1:20" x14ac:dyDescent="0.25">
      <c r="A126" s="23" t="s">
        <v>3398</v>
      </c>
      <c r="B126" s="23" t="s">
        <v>140</v>
      </c>
      <c r="C126" s="23" t="s">
        <v>3399</v>
      </c>
      <c r="D126" s="23" t="s">
        <v>3400</v>
      </c>
      <c r="E126" s="23" t="s">
        <v>3349</v>
      </c>
      <c r="F126" s="23" t="s">
        <v>40</v>
      </c>
      <c r="G126" s="23" t="s">
        <v>3401</v>
      </c>
      <c r="H126" s="23" t="s">
        <v>3402</v>
      </c>
      <c r="I126" s="23" t="s">
        <v>3403</v>
      </c>
      <c r="J126" s="23" t="s">
        <v>14</v>
      </c>
      <c r="K126" s="27" t="s">
        <v>404</v>
      </c>
      <c r="L126" s="23" t="s">
        <v>490</v>
      </c>
      <c r="M126" s="25" t="s">
        <v>18</v>
      </c>
      <c r="N126" s="23" t="s">
        <v>40</v>
      </c>
      <c r="O126" s="23" t="s">
        <v>387</v>
      </c>
      <c r="P126" s="23" t="s">
        <v>40</v>
      </c>
      <c r="Q126" s="23" t="s">
        <v>40</v>
      </c>
      <c r="R126" s="23" t="s">
        <v>141</v>
      </c>
      <c r="S126" s="23" t="s">
        <v>40</v>
      </c>
      <c r="T126" s="23" t="s">
        <v>40</v>
      </c>
    </row>
    <row r="127" spans="1:20" x14ac:dyDescent="0.25">
      <c r="A127" s="23" t="s">
        <v>3404</v>
      </c>
      <c r="B127" s="23" t="s">
        <v>140</v>
      </c>
      <c r="C127" s="23" t="s">
        <v>3399</v>
      </c>
      <c r="D127" s="23" t="s">
        <v>3405</v>
      </c>
      <c r="E127" s="23" t="s">
        <v>3349</v>
      </c>
      <c r="F127" s="23" t="s">
        <v>40</v>
      </c>
      <c r="G127" s="23" t="s">
        <v>3406</v>
      </c>
      <c r="H127" s="23" t="s">
        <v>3407</v>
      </c>
      <c r="I127" s="23" t="s">
        <v>3408</v>
      </c>
      <c r="J127" s="23" t="s">
        <v>466</v>
      </c>
      <c r="K127" s="27" t="s">
        <v>404</v>
      </c>
      <c r="L127" s="23" t="s">
        <v>405</v>
      </c>
      <c r="M127" s="25" t="s">
        <v>18</v>
      </c>
      <c r="N127" s="23" t="s">
        <v>40</v>
      </c>
      <c r="O127" s="23" t="s">
        <v>387</v>
      </c>
      <c r="P127" s="23" t="s">
        <v>40</v>
      </c>
      <c r="Q127" s="23" t="s">
        <v>40</v>
      </c>
      <c r="R127" s="23" t="s">
        <v>141</v>
      </c>
      <c r="S127" s="23" t="s">
        <v>40</v>
      </c>
      <c r="T127" s="23" t="s">
        <v>40</v>
      </c>
    </row>
    <row r="128" spans="1:20" x14ac:dyDescent="0.25">
      <c r="A128" s="23" t="s">
        <v>3409</v>
      </c>
      <c r="B128" s="23" t="s">
        <v>140</v>
      </c>
      <c r="C128" s="23" t="s">
        <v>3399</v>
      </c>
      <c r="D128" s="23" t="s">
        <v>3410</v>
      </c>
      <c r="E128" s="23" t="s">
        <v>3349</v>
      </c>
      <c r="F128" s="23" t="s">
        <v>40</v>
      </c>
      <c r="G128" s="23" t="s">
        <v>3411</v>
      </c>
      <c r="H128" s="23" t="s">
        <v>3412</v>
      </c>
      <c r="I128" s="23" t="s">
        <v>3413</v>
      </c>
      <c r="J128" s="23" t="s">
        <v>14</v>
      </c>
      <c r="K128" s="24" t="s">
        <v>386</v>
      </c>
      <c r="L128" s="23" t="s">
        <v>405</v>
      </c>
      <c r="M128" s="25" t="s">
        <v>18</v>
      </c>
      <c r="N128" s="23" t="s">
        <v>40</v>
      </c>
      <c r="O128" s="23" t="s">
        <v>387</v>
      </c>
      <c r="P128" s="23" t="s">
        <v>40</v>
      </c>
      <c r="Q128" s="23" t="s">
        <v>40</v>
      </c>
      <c r="R128" s="23" t="s">
        <v>141</v>
      </c>
      <c r="S128" s="23" t="s">
        <v>40</v>
      </c>
      <c r="T128" s="23" t="s">
        <v>40</v>
      </c>
    </row>
    <row r="129" spans="1:20" x14ac:dyDescent="0.25">
      <c r="A129" s="23" t="s">
        <v>3414</v>
      </c>
      <c r="B129" s="23" t="s">
        <v>140</v>
      </c>
      <c r="C129" s="23" t="s">
        <v>3399</v>
      </c>
      <c r="D129" s="23" t="s">
        <v>3415</v>
      </c>
      <c r="E129" s="23" t="s">
        <v>3349</v>
      </c>
      <c r="F129" s="23" t="s">
        <v>40</v>
      </c>
      <c r="G129" s="23" t="s">
        <v>3416</v>
      </c>
      <c r="H129" s="23" t="s">
        <v>3417</v>
      </c>
      <c r="I129" s="23" t="s">
        <v>3418</v>
      </c>
      <c r="J129" s="23" t="s">
        <v>15</v>
      </c>
      <c r="K129" s="27" t="s">
        <v>404</v>
      </c>
      <c r="L129" s="23" t="s">
        <v>490</v>
      </c>
      <c r="M129" s="25" t="s">
        <v>18</v>
      </c>
      <c r="N129" s="23" t="s">
        <v>40</v>
      </c>
      <c r="O129" s="23" t="s">
        <v>387</v>
      </c>
      <c r="P129" s="23" t="s">
        <v>40</v>
      </c>
      <c r="Q129" s="23" t="s">
        <v>40</v>
      </c>
      <c r="R129" s="23" t="s">
        <v>141</v>
      </c>
      <c r="S129" s="23" t="s">
        <v>40</v>
      </c>
      <c r="T129" s="23" t="s">
        <v>40</v>
      </c>
    </row>
    <row r="130" spans="1:20" x14ac:dyDescent="0.25">
      <c r="A130" s="23" t="s">
        <v>3419</v>
      </c>
      <c r="B130" s="23" t="s">
        <v>140</v>
      </c>
      <c r="C130" s="23" t="s">
        <v>3399</v>
      </c>
      <c r="D130" s="23" t="s">
        <v>3420</v>
      </c>
      <c r="E130" s="23" t="s">
        <v>3349</v>
      </c>
      <c r="F130" s="23" t="s">
        <v>40</v>
      </c>
      <c r="G130" s="23" t="s">
        <v>3421</v>
      </c>
      <c r="H130" s="23" t="s">
        <v>3422</v>
      </c>
      <c r="I130" s="23" t="s">
        <v>3423</v>
      </c>
      <c r="J130" s="23" t="s">
        <v>14</v>
      </c>
      <c r="K130" s="27" t="s">
        <v>404</v>
      </c>
      <c r="L130" s="23" t="s">
        <v>490</v>
      </c>
      <c r="M130" s="25" t="s">
        <v>18</v>
      </c>
      <c r="N130" s="23" t="s">
        <v>40</v>
      </c>
      <c r="O130" s="23" t="s">
        <v>387</v>
      </c>
      <c r="P130" s="23" t="s">
        <v>40</v>
      </c>
      <c r="Q130" s="23" t="s">
        <v>40</v>
      </c>
      <c r="R130" s="23" t="s">
        <v>141</v>
      </c>
      <c r="S130" s="23" t="s">
        <v>40</v>
      </c>
      <c r="T130" s="23" t="s">
        <v>40</v>
      </c>
    </row>
    <row r="131" spans="1:20" x14ac:dyDescent="0.25">
      <c r="A131" s="23" t="s">
        <v>3424</v>
      </c>
      <c r="B131" s="23" t="s">
        <v>140</v>
      </c>
      <c r="C131" s="23" t="s">
        <v>3399</v>
      </c>
      <c r="D131" s="23" t="s">
        <v>3425</v>
      </c>
      <c r="E131" s="23" t="s">
        <v>2951</v>
      </c>
      <c r="F131" s="23" t="s">
        <v>40</v>
      </c>
      <c r="G131" s="23" t="s">
        <v>3426</v>
      </c>
      <c r="H131" s="23" t="s">
        <v>3427</v>
      </c>
      <c r="I131" s="23" t="s">
        <v>3428</v>
      </c>
      <c r="J131" s="23" t="s">
        <v>395</v>
      </c>
      <c r="K131" s="24" t="s">
        <v>386</v>
      </c>
      <c r="L131" s="23" t="s">
        <v>405</v>
      </c>
      <c r="M131" s="25" t="s">
        <v>18</v>
      </c>
      <c r="N131" s="23" t="s">
        <v>40</v>
      </c>
      <c r="O131" s="23" t="s">
        <v>387</v>
      </c>
      <c r="P131" s="23" t="s">
        <v>40</v>
      </c>
      <c r="Q131" s="23" t="s">
        <v>40</v>
      </c>
      <c r="R131" s="23" t="s">
        <v>141</v>
      </c>
      <c r="S131" s="23" t="s">
        <v>40</v>
      </c>
      <c r="T131" s="23" t="s">
        <v>40</v>
      </c>
    </row>
    <row r="132" spans="1:20" x14ac:dyDescent="0.25">
      <c r="A132" s="23" t="s">
        <v>3429</v>
      </c>
      <c r="B132" s="23" t="s">
        <v>3430</v>
      </c>
      <c r="C132" s="23" t="s">
        <v>3431</v>
      </c>
      <c r="D132" s="23" t="s">
        <v>3432</v>
      </c>
      <c r="E132" s="23" t="s">
        <v>3433</v>
      </c>
      <c r="F132" s="23" t="s">
        <v>40</v>
      </c>
      <c r="G132" s="23" t="s">
        <v>3434</v>
      </c>
      <c r="H132" s="23" t="s">
        <v>3435</v>
      </c>
      <c r="I132" s="23" t="s">
        <v>3436</v>
      </c>
      <c r="J132" s="23" t="s">
        <v>14</v>
      </c>
      <c r="K132" s="26" t="s">
        <v>396</v>
      </c>
      <c r="L132" s="23" t="s">
        <v>13</v>
      </c>
      <c r="M132" s="28" t="s">
        <v>16</v>
      </c>
      <c r="N132" s="23" t="s">
        <v>3107</v>
      </c>
      <c r="O132" s="29" t="s">
        <v>87</v>
      </c>
      <c r="P132" s="23" t="s">
        <v>40</v>
      </c>
      <c r="Q132" s="23" t="s">
        <v>40</v>
      </c>
      <c r="R132" s="23" t="s">
        <v>3437</v>
      </c>
      <c r="S132" s="23" t="s">
        <v>40</v>
      </c>
      <c r="T132" s="23" t="s">
        <v>40</v>
      </c>
    </row>
    <row r="133" spans="1:20" x14ac:dyDescent="0.25">
      <c r="A133" s="23" t="s">
        <v>3438</v>
      </c>
      <c r="B133" s="23" t="s">
        <v>3430</v>
      </c>
      <c r="C133" s="23" t="s">
        <v>3431</v>
      </c>
      <c r="D133" s="23" t="s">
        <v>3439</v>
      </c>
      <c r="E133" s="23" t="s">
        <v>3433</v>
      </c>
      <c r="F133" s="23" t="s">
        <v>40</v>
      </c>
      <c r="G133" s="23" t="s">
        <v>3440</v>
      </c>
      <c r="H133" s="23" t="s">
        <v>3441</v>
      </c>
      <c r="I133" s="23" t="s">
        <v>3442</v>
      </c>
      <c r="J133" s="23" t="s">
        <v>801</v>
      </c>
      <c r="K133" s="26" t="s">
        <v>396</v>
      </c>
      <c r="L133" s="23" t="s">
        <v>13</v>
      </c>
      <c r="M133" s="28" t="s">
        <v>16</v>
      </c>
      <c r="N133" s="23" t="s">
        <v>3107</v>
      </c>
      <c r="O133" s="29" t="s">
        <v>87</v>
      </c>
      <c r="P133" s="23" t="s">
        <v>40</v>
      </c>
      <c r="Q133" s="23" t="s">
        <v>40</v>
      </c>
      <c r="R133" s="23" t="s">
        <v>3437</v>
      </c>
      <c r="S133" s="23" t="s">
        <v>3443</v>
      </c>
      <c r="T133" s="23" t="s">
        <v>40</v>
      </c>
    </row>
    <row r="134" spans="1:20" x14ac:dyDescent="0.25">
      <c r="A134" s="23" t="s">
        <v>3444</v>
      </c>
      <c r="B134" s="23" t="s">
        <v>3430</v>
      </c>
      <c r="C134" s="23" t="s">
        <v>3431</v>
      </c>
      <c r="D134" s="23" t="s">
        <v>3445</v>
      </c>
      <c r="E134" s="23" t="s">
        <v>3433</v>
      </c>
      <c r="F134" s="23" t="s">
        <v>40</v>
      </c>
      <c r="G134" s="23" t="s">
        <v>3446</v>
      </c>
      <c r="H134" s="23" t="s">
        <v>3447</v>
      </c>
      <c r="I134" s="23" t="s">
        <v>3448</v>
      </c>
      <c r="J134" s="23" t="s">
        <v>801</v>
      </c>
      <c r="K134" s="26" t="s">
        <v>396</v>
      </c>
      <c r="L134" s="23" t="s">
        <v>13</v>
      </c>
      <c r="M134" s="25" t="s">
        <v>18</v>
      </c>
      <c r="N134" s="23" t="s">
        <v>40</v>
      </c>
      <c r="O134" s="23" t="s">
        <v>387</v>
      </c>
      <c r="P134" s="23" t="s">
        <v>40</v>
      </c>
      <c r="Q134" s="23" t="s">
        <v>40</v>
      </c>
      <c r="R134" s="23" t="s">
        <v>3437</v>
      </c>
      <c r="S134" s="23" t="s">
        <v>40</v>
      </c>
      <c r="T134" s="23" t="s">
        <v>40</v>
      </c>
    </row>
    <row r="135" spans="1:20" x14ac:dyDescent="0.25">
      <c r="A135" s="23" t="s">
        <v>3449</v>
      </c>
      <c r="B135" s="23" t="s">
        <v>3430</v>
      </c>
      <c r="C135" s="23" t="s">
        <v>3431</v>
      </c>
      <c r="D135" s="23" t="s">
        <v>3450</v>
      </c>
      <c r="E135" s="23" t="s">
        <v>3433</v>
      </c>
      <c r="F135" s="23" t="s">
        <v>40</v>
      </c>
      <c r="G135" s="23" t="s">
        <v>3451</v>
      </c>
      <c r="H135" s="23" t="s">
        <v>3452</v>
      </c>
      <c r="I135" s="23" t="s">
        <v>3453</v>
      </c>
      <c r="J135" s="23" t="s">
        <v>385</v>
      </c>
      <c r="K135" s="32" t="s">
        <v>747</v>
      </c>
      <c r="L135" s="23" t="s">
        <v>490</v>
      </c>
      <c r="M135" s="28" t="s">
        <v>16</v>
      </c>
      <c r="N135" s="23" t="s">
        <v>3107</v>
      </c>
      <c r="O135" s="29" t="s">
        <v>87</v>
      </c>
      <c r="P135" s="23" t="s">
        <v>40</v>
      </c>
      <c r="Q135" s="23" t="s">
        <v>40</v>
      </c>
      <c r="R135" s="23" t="s">
        <v>3437</v>
      </c>
      <c r="S135" s="23" t="s">
        <v>40</v>
      </c>
      <c r="T135" s="23" t="s">
        <v>40</v>
      </c>
    </row>
    <row r="136" spans="1:20" x14ac:dyDescent="0.25">
      <c r="A136" s="23" t="s">
        <v>3454</v>
      </c>
      <c r="B136" s="23" t="s">
        <v>3430</v>
      </c>
      <c r="C136" s="23" t="s">
        <v>3431</v>
      </c>
      <c r="D136" s="23" t="s">
        <v>3455</v>
      </c>
      <c r="E136" s="23" t="s">
        <v>3433</v>
      </c>
      <c r="F136" s="23" t="s">
        <v>40</v>
      </c>
      <c r="G136" s="23" t="s">
        <v>3456</v>
      </c>
      <c r="H136" s="23" t="s">
        <v>3457</v>
      </c>
      <c r="I136" s="23" t="s">
        <v>3458</v>
      </c>
      <c r="J136" s="23" t="s">
        <v>14</v>
      </c>
      <c r="K136" s="27" t="s">
        <v>404</v>
      </c>
      <c r="L136" s="23" t="s">
        <v>490</v>
      </c>
      <c r="M136" s="25" t="s">
        <v>18</v>
      </c>
      <c r="N136" s="23" t="s">
        <v>40</v>
      </c>
      <c r="O136" s="23" t="s">
        <v>387</v>
      </c>
      <c r="P136" s="23" t="s">
        <v>40</v>
      </c>
      <c r="Q136" s="23" t="s">
        <v>40</v>
      </c>
      <c r="R136" s="23" t="s">
        <v>3437</v>
      </c>
      <c r="S136" s="23" t="s">
        <v>40</v>
      </c>
      <c r="T136" s="23" t="s">
        <v>3459</v>
      </c>
    </row>
    <row r="137" spans="1:20" x14ac:dyDescent="0.25">
      <c r="A137" s="23" t="s">
        <v>3460</v>
      </c>
      <c r="B137" s="23" t="s">
        <v>3430</v>
      </c>
      <c r="C137" s="23" t="s">
        <v>3431</v>
      </c>
      <c r="D137" s="23" t="s">
        <v>3461</v>
      </c>
      <c r="E137" s="23" t="s">
        <v>3433</v>
      </c>
      <c r="F137" s="23" t="s">
        <v>40</v>
      </c>
      <c r="G137" s="23" t="s">
        <v>3462</v>
      </c>
      <c r="H137" s="23" t="s">
        <v>3463</v>
      </c>
      <c r="I137" s="23" t="s">
        <v>3464</v>
      </c>
      <c r="J137" s="23" t="s">
        <v>15</v>
      </c>
      <c r="K137" s="27" t="s">
        <v>404</v>
      </c>
      <c r="L137" s="23" t="s">
        <v>405</v>
      </c>
      <c r="M137" s="25" t="s">
        <v>18</v>
      </c>
      <c r="N137" s="23" t="s">
        <v>40</v>
      </c>
      <c r="O137" s="23" t="s">
        <v>387</v>
      </c>
      <c r="P137" s="23" t="s">
        <v>40</v>
      </c>
      <c r="Q137" s="23" t="s">
        <v>40</v>
      </c>
      <c r="R137" s="23" t="s">
        <v>3437</v>
      </c>
      <c r="S137" s="23" t="s">
        <v>40</v>
      </c>
      <c r="T137" s="23" t="s">
        <v>3465</v>
      </c>
    </row>
    <row r="138" spans="1:20" x14ac:dyDescent="0.25">
      <c r="A138" s="23" t="s">
        <v>3466</v>
      </c>
      <c r="B138" s="23" t="s">
        <v>3430</v>
      </c>
      <c r="C138" s="23" t="s">
        <v>3431</v>
      </c>
      <c r="D138" s="23" t="s">
        <v>3467</v>
      </c>
      <c r="E138" s="23" t="s">
        <v>3433</v>
      </c>
      <c r="F138" s="23" t="s">
        <v>40</v>
      </c>
      <c r="G138" s="23" t="s">
        <v>3468</v>
      </c>
      <c r="H138" s="23" t="s">
        <v>3469</v>
      </c>
      <c r="I138" s="23" t="s">
        <v>3470</v>
      </c>
      <c r="J138" s="23" t="s">
        <v>403</v>
      </c>
      <c r="K138" s="32" t="s">
        <v>747</v>
      </c>
      <c r="L138" s="23" t="s">
        <v>490</v>
      </c>
      <c r="M138" s="25" t="s">
        <v>18</v>
      </c>
      <c r="N138" s="23" t="s">
        <v>40</v>
      </c>
      <c r="O138" s="23" t="s">
        <v>387</v>
      </c>
      <c r="P138" s="23" t="s">
        <v>40</v>
      </c>
      <c r="Q138" s="23" t="s">
        <v>40</v>
      </c>
      <c r="R138" s="23" t="s">
        <v>3437</v>
      </c>
      <c r="S138" s="23" t="s">
        <v>40</v>
      </c>
      <c r="T138" s="23" t="s">
        <v>40</v>
      </c>
    </row>
    <row r="139" spans="1:20" x14ac:dyDescent="0.25">
      <c r="A139" s="23" t="s">
        <v>3471</v>
      </c>
      <c r="B139" s="23" t="s">
        <v>3430</v>
      </c>
      <c r="C139" s="23" t="s">
        <v>3472</v>
      </c>
      <c r="D139" s="23" t="s">
        <v>3473</v>
      </c>
      <c r="E139" s="23" t="s">
        <v>3433</v>
      </c>
      <c r="F139" s="23" t="s">
        <v>40</v>
      </c>
      <c r="G139" s="23" t="s">
        <v>3474</v>
      </c>
      <c r="H139" s="23" t="s">
        <v>3475</v>
      </c>
      <c r="I139" s="23" t="s">
        <v>3476</v>
      </c>
      <c r="J139" s="23" t="s">
        <v>14</v>
      </c>
      <c r="K139" s="26" t="s">
        <v>396</v>
      </c>
      <c r="L139" s="23" t="s">
        <v>13</v>
      </c>
      <c r="M139" s="28" t="s">
        <v>16</v>
      </c>
      <c r="N139" s="23" t="s">
        <v>3107</v>
      </c>
      <c r="O139" s="29" t="s">
        <v>87</v>
      </c>
      <c r="P139" s="23" t="s">
        <v>40</v>
      </c>
      <c r="Q139" s="23" t="s">
        <v>40</v>
      </c>
      <c r="R139" s="23" t="s">
        <v>3437</v>
      </c>
      <c r="S139" s="23" t="s">
        <v>40</v>
      </c>
      <c r="T139" s="23" t="s">
        <v>40</v>
      </c>
    </row>
    <row r="140" spans="1:20" x14ac:dyDescent="0.25">
      <c r="A140" s="23" t="s">
        <v>3477</v>
      </c>
      <c r="B140" s="23" t="s">
        <v>3430</v>
      </c>
      <c r="C140" s="23" t="s">
        <v>3472</v>
      </c>
      <c r="D140" s="23" t="s">
        <v>3478</v>
      </c>
      <c r="E140" s="23" t="s">
        <v>3433</v>
      </c>
      <c r="F140" s="23" t="s">
        <v>3479</v>
      </c>
      <c r="G140" s="23" t="s">
        <v>3480</v>
      </c>
      <c r="H140" s="23" t="s">
        <v>3481</v>
      </c>
      <c r="I140" s="23" t="s">
        <v>3482</v>
      </c>
      <c r="J140" s="23" t="s">
        <v>14</v>
      </c>
      <c r="K140" s="26" t="s">
        <v>396</v>
      </c>
      <c r="L140" s="23" t="s">
        <v>13</v>
      </c>
      <c r="M140" s="28" t="s">
        <v>16</v>
      </c>
      <c r="N140" s="23" t="s">
        <v>3107</v>
      </c>
      <c r="O140" s="29" t="s">
        <v>87</v>
      </c>
      <c r="P140" s="23" t="s">
        <v>40</v>
      </c>
      <c r="Q140" s="23" t="s">
        <v>40</v>
      </c>
      <c r="R140" s="23" t="s">
        <v>3437</v>
      </c>
      <c r="S140" s="23" t="s">
        <v>40</v>
      </c>
      <c r="T140" s="23" t="s">
        <v>40</v>
      </c>
    </row>
    <row r="141" spans="1:20" x14ac:dyDescent="0.25">
      <c r="A141" s="23" t="s">
        <v>3483</v>
      </c>
      <c r="B141" s="23" t="s">
        <v>3430</v>
      </c>
      <c r="C141" s="23" t="s">
        <v>3472</v>
      </c>
      <c r="D141" s="23" t="s">
        <v>3484</v>
      </c>
      <c r="E141" s="23" t="s">
        <v>3433</v>
      </c>
      <c r="F141" s="23" t="s">
        <v>40</v>
      </c>
      <c r="G141" s="23" t="s">
        <v>3485</v>
      </c>
      <c r="H141" s="23" t="s">
        <v>3486</v>
      </c>
      <c r="I141" s="23" t="s">
        <v>3487</v>
      </c>
      <c r="J141" s="23" t="s">
        <v>14</v>
      </c>
      <c r="K141" s="24" t="s">
        <v>386</v>
      </c>
      <c r="L141" s="23" t="s">
        <v>405</v>
      </c>
      <c r="M141" s="25" t="s">
        <v>18</v>
      </c>
      <c r="N141" s="23" t="s">
        <v>40</v>
      </c>
      <c r="O141" s="23" t="s">
        <v>387</v>
      </c>
      <c r="P141" s="23" t="s">
        <v>40</v>
      </c>
      <c r="Q141" s="23" t="s">
        <v>40</v>
      </c>
      <c r="R141" s="23" t="s">
        <v>3437</v>
      </c>
      <c r="S141" s="23" t="s">
        <v>40</v>
      </c>
      <c r="T141" s="23" t="s">
        <v>40</v>
      </c>
    </row>
    <row r="142" spans="1:20" x14ac:dyDescent="0.25">
      <c r="A142" s="23" t="s">
        <v>3488</v>
      </c>
      <c r="B142" s="23" t="s">
        <v>3430</v>
      </c>
      <c r="C142" s="23" t="s">
        <v>3472</v>
      </c>
      <c r="D142" s="23" t="s">
        <v>3489</v>
      </c>
      <c r="E142" s="23" t="s">
        <v>3433</v>
      </c>
      <c r="F142" s="23" t="s">
        <v>40</v>
      </c>
      <c r="G142" s="23" t="s">
        <v>3490</v>
      </c>
      <c r="H142" s="23" t="s">
        <v>3491</v>
      </c>
      <c r="I142" s="23" t="s">
        <v>3492</v>
      </c>
      <c r="J142" s="23" t="s">
        <v>385</v>
      </c>
      <c r="K142" s="32" t="s">
        <v>747</v>
      </c>
      <c r="L142" s="23" t="s">
        <v>490</v>
      </c>
      <c r="M142" s="25" t="s">
        <v>18</v>
      </c>
      <c r="N142" s="23" t="s">
        <v>40</v>
      </c>
      <c r="O142" s="23" t="s">
        <v>387</v>
      </c>
      <c r="P142" s="23" t="s">
        <v>40</v>
      </c>
      <c r="Q142" s="23" t="s">
        <v>40</v>
      </c>
      <c r="R142" s="23" t="s">
        <v>3437</v>
      </c>
      <c r="S142" s="23" t="s">
        <v>40</v>
      </c>
      <c r="T142" s="23" t="s">
        <v>40</v>
      </c>
    </row>
    <row r="143" spans="1:20" x14ac:dyDescent="0.25">
      <c r="A143" s="23" t="s">
        <v>3493</v>
      </c>
      <c r="B143" s="23" t="s">
        <v>3430</v>
      </c>
      <c r="C143" s="23" t="s">
        <v>3472</v>
      </c>
      <c r="D143" s="23" t="s">
        <v>3494</v>
      </c>
      <c r="E143" s="23" t="s">
        <v>3433</v>
      </c>
      <c r="F143" s="23" t="s">
        <v>40</v>
      </c>
      <c r="G143" s="23" t="s">
        <v>3495</v>
      </c>
      <c r="H143" s="23" t="s">
        <v>3496</v>
      </c>
      <c r="I143" s="23" t="s">
        <v>3497</v>
      </c>
      <c r="J143" s="23" t="s">
        <v>466</v>
      </c>
      <c r="K143" s="24" t="s">
        <v>386</v>
      </c>
      <c r="L143" s="23" t="s">
        <v>13</v>
      </c>
      <c r="M143" s="25" t="s">
        <v>18</v>
      </c>
      <c r="N143" s="23" t="s">
        <v>40</v>
      </c>
      <c r="O143" s="23" t="s">
        <v>387</v>
      </c>
      <c r="P143" s="23" t="s">
        <v>40</v>
      </c>
      <c r="Q143" s="23" t="s">
        <v>40</v>
      </c>
      <c r="R143" s="23" t="s">
        <v>3437</v>
      </c>
      <c r="S143" s="23" t="s">
        <v>40</v>
      </c>
      <c r="T143" s="23" t="s">
        <v>3498</v>
      </c>
    </row>
    <row r="144" spans="1:20" x14ac:dyDescent="0.25">
      <c r="A144" s="23" t="s">
        <v>3499</v>
      </c>
      <c r="B144" s="23" t="s">
        <v>3430</v>
      </c>
      <c r="C144" s="23" t="s">
        <v>3472</v>
      </c>
      <c r="D144" s="23" t="s">
        <v>3500</v>
      </c>
      <c r="E144" s="23" t="s">
        <v>3433</v>
      </c>
      <c r="F144" s="23" t="s">
        <v>40</v>
      </c>
      <c r="G144" s="23" t="s">
        <v>3501</v>
      </c>
      <c r="H144" s="23" t="s">
        <v>3502</v>
      </c>
      <c r="I144" s="23" t="s">
        <v>3503</v>
      </c>
      <c r="J144" s="23" t="s">
        <v>466</v>
      </c>
      <c r="K144" s="24" t="s">
        <v>386</v>
      </c>
      <c r="L144" s="23" t="s">
        <v>13</v>
      </c>
      <c r="M144" s="25" t="s">
        <v>18</v>
      </c>
      <c r="N144" s="23" t="s">
        <v>40</v>
      </c>
      <c r="O144" s="23" t="s">
        <v>387</v>
      </c>
      <c r="P144" s="23" t="s">
        <v>40</v>
      </c>
      <c r="Q144" s="23" t="s">
        <v>40</v>
      </c>
      <c r="R144" s="23" t="s">
        <v>3437</v>
      </c>
      <c r="S144" s="23" t="s">
        <v>40</v>
      </c>
      <c r="T144" s="23" t="s">
        <v>3498</v>
      </c>
    </row>
    <row r="145" spans="1:20" x14ac:dyDescent="0.25">
      <c r="A145" s="23" t="s">
        <v>3504</v>
      </c>
      <c r="B145" s="23" t="s">
        <v>3430</v>
      </c>
      <c r="C145" s="23" t="s">
        <v>3472</v>
      </c>
      <c r="D145" s="23" t="s">
        <v>3505</v>
      </c>
      <c r="E145" s="23" t="s">
        <v>3433</v>
      </c>
      <c r="F145" s="23" t="s">
        <v>40</v>
      </c>
      <c r="G145" s="23" t="s">
        <v>3506</v>
      </c>
      <c r="H145" s="23" t="s">
        <v>3507</v>
      </c>
      <c r="I145" s="23" t="s">
        <v>3508</v>
      </c>
      <c r="J145" s="23" t="s">
        <v>466</v>
      </c>
      <c r="K145" s="24" t="s">
        <v>386</v>
      </c>
      <c r="L145" s="23" t="s">
        <v>13</v>
      </c>
      <c r="M145" s="25" t="s">
        <v>18</v>
      </c>
      <c r="N145" s="23" t="s">
        <v>40</v>
      </c>
      <c r="O145" s="23" t="s">
        <v>387</v>
      </c>
      <c r="P145" s="23" t="s">
        <v>40</v>
      </c>
      <c r="Q145" s="23" t="s">
        <v>40</v>
      </c>
      <c r="R145" s="23" t="s">
        <v>3437</v>
      </c>
      <c r="S145" s="23" t="s">
        <v>40</v>
      </c>
      <c r="T145" s="23" t="s">
        <v>3498</v>
      </c>
    </row>
    <row r="146" spans="1:20" x14ac:dyDescent="0.25">
      <c r="A146" s="23" t="s">
        <v>3509</v>
      </c>
      <c r="B146" s="23" t="s">
        <v>3430</v>
      </c>
      <c r="C146" s="23" t="s">
        <v>3472</v>
      </c>
      <c r="D146" s="23" t="s">
        <v>3510</v>
      </c>
      <c r="E146" s="23" t="s">
        <v>3433</v>
      </c>
      <c r="F146" s="23" t="s">
        <v>40</v>
      </c>
      <c r="G146" s="23" t="s">
        <v>3511</v>
      </c>
      <c r="H146" s="23" t="s">
        <v>3512</v>
      </c>
      <c r="I146" s="23" t="s">
        <v>3513</v>
      </c>
      <c r="J146" s="23" t="s">
        <v>466</v>
      </c>
      <c r="K146" s="24" t="s">
        <v>386</v>
      </c>
      <c r="L146" s="23" t="s">
        <v>13</v>
      </c>
      <c r="M146" s="25" t="s">
        <v>18</v>
      </c>
      <c r="N146" s="23" t="s">
        <v>40</v>
      </c>
      <c r="O146" s="23" t="s">
        <v>387</v>
      </c>
      <c r="P146" s="23" t="s">
        <v>40</v>
      </c>
      <c r="Q146" s="23" t="s">
        <v>40</v>
      </c>
      <c r="R146" s="23" t="s">
        <v>3437</v>
      </c>
      <c r="S146" s="23" t="s">
        <v>40</v>
      </c>
      <c r="T146" s="23" t="s">
        <v>3498</v>
      </c>
    </row>
    <row r="147" spans="1:20" x14ac:dyDescent="0.25">
      <c r="A147" s="23" t="s">
        <v>3514</v>
      </c>
      <c r="B147" s="23" t="s">
        <v>3430</v>
      </c>
      <c r="C147" s="23" t="s">
        <v>3472</v>
      </c>
      <c r="D147" s="23" t="s">
        <v>3515</v>
      </c>
      <c r="E147" s="23" t="s">
        <v>3433</v>
      </c>
      <c r="F147" s="23" t="s">
        <v>40</v>
      </c>
      <c r="G147" s="23" t="s">
        <v>3516</v>
      </c>
      <c r="H147" s="23" t="s">
        <v>3517</v>
      </c>
      <c r="I147" s="23" t="s">
        <v>3518</v>
      </c>
      <c r="J147" s="23" t="s">
        <v>466</v>
      </c>
      <c r="K147" s="24" t="s">
        <v>386</v>
      </c>
      <c r="L147" s="23" t="s">
        <v>13</v>
      </c>
      <c r="M147" s="25" t="s">
        <v>18</v>
      </c>
      <c r="N147" s="23" t="s">
        <v>40</v>
      </c>
      <c r="O147" s="23" t="s">
        <v>387</v>
      </c>
      <c r="P147" s="23" t="s">
        <v>40</v>
      </c>
      <c r="Q147" s="23" t="s">
        <v>40</v>
      </c>
      <c r="R147" s="23" t="s">
        <v>3437</v>
      </c>
      <c r="S147" s="23" t="s">
        <v>40</v>
      </c>
      <c r="T147" s="23" t="s">
        <v>3498</v>
      </c>
    </row>
    <row r="148" spans="1:20" x14ac:dyDescent="0.25">
      <c r="A148" s="23" t="s">
        <v>3519</v>
      </c>
      <c r="B148" s="23" t="s">
        <v>3430</v>
      </c>
      <c r="C148" s="23" t="s">
        <v>3472</v>
      </c>
      <c r="D148" s="23" t="s">
        <v>3520</v>
      </c>
      <c r="E148" s="23" t="s">
        <v>3433</v>
      </c>
      <c r="F148" s="23" t="s">
        <v>40</v>
      </c>
      <c r="G148" s="23" t="s">
        <v>3521</v>
      </c>
      <c r="H148" s="23" t="s">
        <v>3522</v>
      </c>
      <c r="I148" s="23" t="s">
        <v>3523</v>
      </c>
      <c r="J148" s="23" t="s">
        <v>466</v>
      </c>
      <c r="K148" s="24" t="s">
        <v>386</v>
      </c>
      <c r="L148" s="23" t="s">
        <v>13</v>
      </c>
      <c r="M148" s="25" t="s">
        <v>18</v>
      </c>
      <c r="N148" s="23" t="s">
        <v>40</v>
      </c>
      <c r="O148" s="23" t="s">
        <v>387</v>
      </c>
      <c r="P148" s="23" t="s">
        <v>40</v>
      </c>
      <c r="Q148" s="23" t="s">
        <v>40</v>
      </c>
      <c r="R148" s="23" t="s">
        <v>3437</v>
      </c>
      <c r="S148" s="23" t="s">
        <v>40</v>
      </c>
      <c r="T148" s="23" t="s">
        <v>3498</v>
      </c>
    </row>
    <row r="149" spans="1:20" x14ac:dyDescent="0.25">
      <c r="A149" s="23" t="s">
        <v>3524</v>
      </c>
      <c r="B149" s="23" t="s">
        <v>3430</v>
      </c>
      <c r="C149" s="23" t="s">
        <v>3472</v>
      </c>
      <c r="D149" s="23" t="s">
        <v>3525</v>
      </c>
      <c r="E149" s="23" t="s">
        <v>3433</v>
      </c>
      <c r="F149" s="23" t="s">
        <v>40</v>
      </c>
      <c r="G149" s="23" t="s">
        <v>3526</v>
      </c>
      <c r="H149" s="23" t="s">
        <v>3527</v>
      </c>
      <c r="I149" s="23" t="s">
        <v>3528</v>
      </c>
      <c r="J149" s="23" t="s">
        <v>466</v>
      </c>
      <c r="K149" s="27" t="s">
        <v>404</v>
      </c>
      <c r="L149" s="23" t="s">
        <v>405</v>
      </c>
      <c r="M149" s="25" t="s">
        <v>18</v>
      </c>
      <c r="N149" s="23" t="s">
        <v>40</v>
      </c>
      <c r="O149" s="23" t="s">
        <v>387</v>
      </c>
      <c r="P149" s="23" t="s">
        <v>40</v>
      </c>
      <c r="Q149" s="23" t="s">
        <v>40</v>
      </c>
      <c r="R149" s="23" t="s">
        <v>3437</v>
      </c>
      <c r="S149" s="23" t="s">
        <v>3529</v>
      </c>
      <c r="T149" s="23" t="s">
        <v>40</v>
      </c>
    </row>
    <row r="150" spans="1:20" x14ac:dyDescent="0.25">
      <c r="A150" s="23" t="s">
        <v>3530</v>
      </c>
      <c r="B150" s="23" t="s">
        <v>3430</v>
      </c>
      <c r="C150" s="23" t="s">
        <v>3472</v>
      </c>
      <c r="D150" s="23" t="s">
        <v>3531</v>
      </c>
      <c r="E150" s="23" t="s">
        <v>3433</v>
      </c>
      <c r="F150" s="23" t="s">
        <v>3532</v>
      </c>
      <c r="G150" s="23" t="s">
        <v>3533</v>
      </c>
      <c r="H150" s="23" t="s">
        <v>3534</v>
      </c>
      <c r="I150" s="23" t="s">
        <v>3535</v>
      </c>
      <c r="J150" s="23" t="s">
        <v>466</v>
      </c>
      <c r="K150" s="27" t="s">
        <v>404</v>
      </c>
      <c r="L150" s="23" t="s">
        <v>405</v>
      </c>
      <c r="M150" s="25" t="s">
        <v>18</v>
      </c>
      <c r="N150" s="23" t="s">
        <v>40</v>
      </c>
      <c r="O150" s="23" t="s">
        <v>387</v>
      </c>
      <c r="P150" s="23" t="s">
        <v>40</v>
      </c>
      <c r="Q150" s="23" t="s">
        <v>40</v>
      </c>
      <c r="R150" s="23" t="s">
        <v>3437</v>
      </c>
      <c r="S150" s="23" t="s">
        <v>40</v>
      </c>
      <c r="T150" s="23" t="s">
        <v>40</v>
      </c>
    </row>
    <row r="151" spans="1:20" x14ac:dyDescent="0.25">
      <c r="A151" s="23" t="s">
        <v>3536</v>
      </c>
      <c r="B151" s="23" t="s">
        <v>3430</v>
      </c>
      <c r="C151" s="23" t="s">
        <v>3472</v>
      </c>
      <c r="D151" s="23" t="s">
        <v>3537</v>
      </c>
      <c r="E151" s="23" t="s">
        <v>3433</v>
      </c>
      <c r="F151" s="23" t="s">
        <v>40</v>
      </c>
      <c r="G151" s="23" t="s">
        <v>3538</v>
      </c>
      <c r="H151" s="23" t="s">
        <v>3539</v>
      </c>
      <c r="I151" s="23" t="s">
        <v>3540</v>
      </c>
      <c r="J151" s="23" t="s">
        <v>489</v>
      </c>
      <c r="K151" s="27" t="s">
        <v>404</v>
      </c>
      <c r="L151" s="23" t="s">
        <v>490</v>
      </c>
      <c r="M151" s="25" t="s">
        <v>18</v>
      </c>
      <c r="N151" s="23" t="s">
        <v>40</v>
      </c>
      <c r="O151" s="23" t="s">
        <v>387</v>
      </c>
      <c r="P151" s="23" t="s">
        <v>40</v>
      </c>
      <c r="Q151" s="23" t="s">
        <v>40</v>
      </c>
      <c r="R151" s="23" t="s">
        <v>3437</v>
      </c>
      <c r="S151" s="23" t="s">
        <v>40</v>
      </c>
      <c r="T151" s="23" t="s">
        <v>3498</v>
      </c>
    </row>
    <row r="152" spans="1:20" x14ac:dyDescent="0.25">
      <c r="A152" s="23" t="s">
        <v>3541</v>
      </c>
      <c r="B152" s="23" t="s">
        <v>3430</v>
      </c>
      <c r="C152" s="23" t="s">
        <v>3472</v>
      </c>
      <c r="D152" s="23" t="s">
        <v>3542</v>
      </c>
      <c r="E152" s="23" t="s">
        <v>3433</v>
      </c>
      <c r="F152" s="23" t="s">
        <v>40</v>
      </c>
      <c r="G152" s="23" t="s">
        <v>3543</v>
      </c>
      <c r="H152" s="23" t="s">
        <v>3544</v>
      </c>
      <c r="I152" s="23" t="s">
        <v>3545</v>
      </c>
      <c r="J152" s="23" t="s">
        <v>466</v>
      </c>
      <c r="K152" s="27" t="s">
        <v>404</v>
      </c>
      <c r="L152" s="23" t="s">
        <v>405</v>
      </c>
      <c r="M152" s="25" t="s">
        <v>18</v>
      </c>
      <c r="N152" s="23" t="s">
        <v>40</v>
      </c>
      <c r="O152" s="23" t="s">
        <v>387</v>
      </c>
      <c r="P152" s="23" t="s">
        <v>40</v>
      </c>
      <c r="Q152" s="23" t="s">
        <v>40</v>
      </c>
      <c r="R152" s="23" t="s">
        <v>3437</v>
      </c>
      <c r="S152" s="23" t="s">
        <v>40</v>
      </c>
      <c r="T152" s="23" t="s">
        <v>40</v>
      </c>
    </row>
    <row r="153" spans="1:20" x14ac:dyDescent="0.25">
      <c r="A153" s="23" t="s">
        <v>3546</v>
      </c>
      <c r="B153" s="23" t="s">
        <v>3430</v>
      </c>
      <c r="C153" s="23" t="s">
        <v>3472</v>
      </c>
      <c r="D153" s="23" t="s">
        <v>3547</v>
      </c>
      <c r="E153" s="23" t="s">
        <v>3433</v>
      </c>
      <c r="F153" s="23" t="s">
        <v>40</v>
      </c>
      <c r="G153" s="23" t="s">
        <v>3548</v>
      </c>
      <c r="H153" s="23" t="s">
        <v>3549</v>
      </c>
      <c r="I153" s="23" t="s">
        <v>3550</v>
      </c>
      <c r="J153" s="23" t="s">
        <v>489</v>
      </c>
      <c r="K153" s="27" t="s">
        <v>404</v>
      </c>
      <c r="L153" s="23" t="s">
        <v>490</v>
      </c>
      <c r="M153" s="25" t="s">
        <v>18</v>
      </c>
      <c r="N153" s="23" t="s">
        <v>40</v>
      </c>
      <c r="O153" s="23" t="s">
        <v>387</v>
      </c>
      <c r="P153" s="23" t="s">
        <v>40</v>
      </c>
      <c r="Q153" s="23" t="s">
        <v>40</v>
      </c>
      <c r="R153" s="23" t="s">
        <v>3437</v>
      </c>
      <c r="S153" s="23" t="s">
        <v>40</v>
      </c>
      <c r="T153" s="23" t="s">
        <v>40</v>
      </c>
    </row>
    <row r="154" spans="1:20" x14ac:dyDescent="0.25">
      <c r="A154" s="23" t="s">
        <v>3551</v>
      </c>
      <c r="B154" s="23" t="s">
        <v>3430</v>
      </c>
      <c r="C154" s="23" t="s">
        <v>3472</v>
      </c>
      <c r="D154" s="23" t="s">
        <v>3552</v>
      </c>
      <c r="E154" s="23" t="s">
        <v>3433</v>
      </c>
      <c r="F154" s="23" t="s">
        <v>40</v>
      </c>
      <c r="G154" s="23" t="s">
        <v>3553</v>
      </c>
      <c r="H154" s="23" t="s">
        <v>3554</v>
      </c>
      <c r="I154" s="23" t="s">
        <v>3555</v>
      </c>
      <c r="J154" s="23" t="s">
        <v>466</v>
      </c>
      <c r="K154" s="27" t="s">
        <v>404</v>
      </c>
      <c r="L154" s="23" t="s">
        <v>490</v>
      </c>
      <c r="M154" s="25" t="s">
        <v>18</v>
      </c>
      <c r="N154" s="23" t="s">
        <v>40</v>
      </c>
      <c r="O154" s="23" t="s">
        <v>387</v>
      </c>
      <c r="P154" s="23" t="s">
        <v>40</v>
      </c>
      <c r="Q154" s="23" t="s">
        <v>40</v>
      </c>
      <c r="R154" s="23" t="s">
        <v>3437</v>
      </c>
      <c r="S154" s="23" t="s">
        <v>40</v>
      </c>
      <c r="T154" s="23" t="s">
        <v>40</v>
      </c>
    </row>
    <row r="155" spans="1:20" x14ac:dyDescent="0.25">
      <c r="A155" s="23" t="s">
        <v>3556</v>
      </c>
      <c r="B155" s="23" t="s">
        <v>3430</v>
      </c>
      <c r="C155" s="23" t="s">
        <v>3472</v>
      </c>
      <c r="D155" s="23" t="s">
        <v>3557</v>
      </c>
      <c r="E155" s="23" t="s">
        <v>3433</v>
      </c>
      <c r="F155" s="23" t="s">
        <v>40</v>
      </c>
      <c r="G155" s="23" t="s">
        <v>3558</v>
      </c>
      <c r="H155" s="23" t="s">
        <v>3559</v>
      </c>
      <c r="I155" s="23" t="s">
        <v>3560</v>
      </c>
      <c r="J155" s="23" t="s">
        <v>466</v>
      </c>
      <c r="K155" s="27" t="s">
        <v>404</v>
      </c>
      <c r="L155" s="23" t="s">
        <v>405</v>
      </c>
      <c r="M155" s="25" t="s">
        <v>18</v>
      </c>
      <c r="N155" s="23" t="s">
        <v>40</v>
      </c>
      <c r="O155" s="23" t="s">
        <v>387</v>
      </c>
      <c r="P155" s="23" t="s">
        <v>40</v>
      </c>
      <c r="Q155" s="23" t="s">
        <v>40</v>
      </c>
      <c r="R155" s="23" t="s">
        <v>3437</v>
      </c>
      <c r="S155" s="23" t="s">
        <v>40</v>
      </c>
      <c r="T155" s="23" t="s">
        <v>40</v>
      </c>
    </row>
    <row r="156" spans="1:20" x14ac:dyDescent="0.25">
      <c r="A156" s="23" t="s">
        <v>3561</v>
      </c>
      <c r="B156" s="23" t="s">
        <v>3430</v>
      </c>
      <c r="C156" s="23" t="s">
        <v>3472</v>
      </c>
      <c r="D156" s="23" t="s">
        <v>3562</v>
      </c>
      <c r="E156" s="23" t="s">
        <v>3433</v>
      </c>
      <c r="F156" s="23" t="s">
        <v>40</v>
      </c>
      <c r="G156" s="23" t="s">
        <v>3563</v>
      </c>
      <c r="H156" s="23" t="s">
        <v>3564</v>
      </c>
      <c r="I156" s="23" t="s">
        <v>3565</v>
      </c>
      <c r="J156" s="23" t="s">
        <v>489</v>
      </c>
      <c r="K156" s="27" t="s">
        <v>404</v>
      </c>
      <c r="L156" s="23" t="s">
        <v>490</v>
      </c>
      <c r="M156" s="25" t="s">
        <v>18</v>
      </c>
      <c r="N156" s="23" t="s">
        <v>40</v>
      </c>
      <c r="O156" s="23" t="s">
        <v>387</v>
      </c>
      <c r="P156" s="23" t="s">
        <v>40</v>
      </c>
      <c r="Q156" s="23" t="s">
        <v>40</v>
      </c>
      <c r="R156" s="23" t="s">
        <v>3437</v>
      </c>
      <c r="S156" s="23" t="s">
        <v>40</v>
      </c>
      <c r="T156" s="23" t="s">
        <v>40</v>
      </c>
    </row>
    <row r="157" spans="1:20" x14ac:dyDescent="0.25">
      <c r="A157" s="23" t="s">
        <v>3566</v>
      </c>
      <c r="B157" s="23" t="s">
        <v>3430</v>
      </c>
      <c r="C157" s="23" t="s">
        <v>3472</v>
      </c>
      <c r="D157" s="23" t="s">
        <v>3567</v>
      </c>
      <c r="E157" s="23" t="s">
        <v>3433</v>
      </c>
      <c r="F157" s="23" t="s">
        <v>40</v>
      </c>
      <c r="G157" s="23" t="s">
        <v>3568</v>
      </c>
      <c r="H157" s="23" t="s">
        <v>3569</v>
      </c>
      <c r="I157" s="23" t="s">
        <v>3570</v>
      </c>
      <c r="J157" s="23" t="s">
        <v>14</v>
      </c>
      <c r="K157" s="27" t="s">
        <v>404</v>
      </c>
      <c r="L157" s="23" t="s">
        <v>490</v>
      </c>
      <c r="M157" s="25" t="s">
        <v>18</v>
      </c>
      <c r="N157" s="23" t="s">
        <v>40</v>
      </c>
      <c r="O157" s="23" t="s">
        <v>387</v>
      </c>
      <c r="P157" s="23" t="s">
        <v>40</v>
      </c>
      <c r="Q157" s="23" t="s">
        <v>40</v>
      </c>
      <c r="R157" s="23" t="s">
        <v>3437</v>
      </c>
      <c r="S157" s="23" t="s">
        <v>40</v>
      </c>
      <c r="T157" s="23" t="s">
        <v>40</v>
      </c>
    </row>
    <row r="158" spans="1:20" x14ac:dyDescent="0.25">
      <c r="A158" s="23" t="s">
        <v>3571</v>
      </c>
      <c r="B158" s="23" t="s">
        <v>3430</v>
      </c>
      <c r="C158" s="23" t="s">
        <v>3472</v>
      </c>
      <c r="D158" s="23" t="s">
        <v>3572</v>
      </c>
      <c r="E158" s="23" t="s">
        <v>3433</v>
      </c>
      <c r="F158" s="23" t="s">
        <v>40</v>
      </c>
      <c r="G158" s="23" t="s">
        <v>3573</v>
      </c>
      <c r="H158" s="23" t="s">
        <v>3574</v>
      </c>
      <c r="I158" s="23" t="s">
        <v>3575</v>
      </c>
      <c r="J158" s="23" t="s">
        <v>395</v>
      </c>
      <c r="K158" s="26" t="s">
        <v>396</v>
      </c>
      <c r="L158" s="23" t="s">
        <v>13</v>
      </c>
      <c r="M158" s="25" t="s">
        <v>18</v>
      </c>
      <c r="N158" s="23" t="s">
        <v>40</v>
      </c>
      <c r="O158" s="23" t="s">
        <v>387</v>
      </c>
      <c r="P158" s="23" t="s">
        <v>40</v>
      </c>
      <c r="Q158" s="23" t="s">
        <v>40</v>
      </c>
      <c r="R158" s="23" t="s">
        <v>3437</v>
      </c>
      <c r="S158" s="23" t="s">
        <v>40</v>
      </c>
      <c r="T158" s="23" t="s">
        <v>3052</v>
      </c>
    </row>
    <row r="159" spans="1:20" x14ac:dyDescent="0.25">
      <c r="A159" s="23" t="s">
        <v>3576</v>
      </c>
      <c r="B159" s="23" t="s">
        <v>3430</v>
      </c>
      <c r="C159" s="23" t="s">
        <v>3472</v>
      </c>
      <c r="D159" s="23" t="s">
        <v>3577</v>
      </c>
      <c r="E159" s="23" t="s">
        <v>3433</v>
      </c>
      <c r="F159" s="23" t="s">
        <v>40</v>
      </c>
      <c r="G159" s="23" t="s">
        <v>3578</v>
      </c>
      <c r="H159" s="23" t="s">
        <v>3579</v>
      </c>
      <c r="I159" s="23" t="s">
        <v>3580</v>
      </c>
      <c r="J159" s="23" t="s">
        <v>15</v>
      </c>
      <c r="K159" s="24" t="s">
        <v>386</v>
      </c>
      <c r="L159" s="23" t="s">
        <v>13</v>
      </c>
      <c r="M159" s="25" t="s">
        <v>18</v>
      </c>
      <c r="N159" s="23" t="s">
        <v>40</v>
      </c>
      <c r="O159" s="23" t="s">
        <v>387</v>
      </c>
      <c r="P159" s="23" t="s">
        <v>40</v>
      </c>
      <c r="Q159" s="23" t="s">
        <v>40</v>
      </c>
      <c r="R159" s="23" t="s">
        <v>3437</v>
      </c>
      <c r="S159" s="23" t="s">
        <v>40</v>
      </c>
      <c r="T159" s="23" t="s">
        <v>40</v>
      </c>
    </row>
    <row r="160" spans="1:20" x14ac:dyDescent="0.25">
      <c r="A160" s="23" t="s">
        <v>3581</v>
      </c>
      <c r="B160" s="23" t="s">
        <v>3430</v>
      </c>
      <c r="C160" s="23" t="s">
        <v>3472</v>
      </c>
      <c r="D160" s="23" t="s">
        <v>3582</v>
      </c>
      <c r="E160" s="23" t="s">
        <v>3433</v>
      </c>
      <c r="F160" s="23" t="s">
        <v>40</v>
      </c>
      <c r="G160" s="23" t="s">
        <v>3583</v>
      </c>
      <c r="H160" s="23" t="s">
        <v>3584</v>
      </c>
      <c r="I160" s="23" t="s">
        <v>3585</v>
      </c>
      <c r="J160" s="23" t="s">
        <v>15</v>
      </c>
      <c r="K160" s="27" t="s">
        <v>404</v>
      </c>
      <c r="L160" s="23" t="s">
        <v>405</v>
      </c>
      <c r="M160" s="25" t="s">
        <v>18</v>
      </c>
      <c r="N160" s="23" t="s">
        <v>40</v>
      </c>
      <c r="O160" s="23" t="s">
        <v>387</v>
      </c>
      <c r="P160" s="23" t="s">
        <v>40</v>
      </c>
      <c r="Q160" s="23" t="s">
        <v>40</v>
      </c>
      <c r="R160" s="23" t="s">
        <v>3437</v>
      </c>
      <c r="S160" s="23" t="s">
        <v>40</v>
      </c>
      <c r="T160" s="23" t="s">
        <v>40</v>
      </c>
    </row>
    <row r="161" spans="1:20" x14ac:dyDescent="0.25">
      <c r="A161" s="23" t="s">
        <v>3586</v>
      </c>
      <c r="B161" s="23" t="s">
        <v>3430</v>
      </c>
      <c r="C161" s="23" t="s">
        <v>3472</v>
      </c>
      <c r="D161" s="23" t="s">
        <v>3587</v>
      </c>
      <c r="E161" s="23" t="s">
        <v>3433</v>
      </c>
      <c r="F161" s="23" t="s">
        <v>40</v>
      </c>
      <c r="G161" s="23" t="s">
        <v>3588</v>
      </c>
      <c r="H161" s="23" t="s">
        <v>3589</v>
      </c>
      <c r="I161" s="23" t="s">
        <v>3590</v>
      </c>
      <c r="J161" s="23" t="s">
        <v>395</v>
      </c>
      <c r="K161" s="24" t="s">
        <v>386</v>
      </c>
      <c r="L161" s="23" t="s">
        <v>405</v>
      </c>
      <c r="M161" s="25" t="s">
        <v>18</v>
      </c>
      <c r="N161" s="23" t="s">
        <v>40</v>
      </c>
      <c r="O161" s="23" t="s">
        <v>387</v>
      </c>
      <c r="P161" s="23" t="s">
        <v>40</v>
      </c>
      <c r="Q161" s="23" t="s">
        <v>40</v>
      </c>
      <c r="R161" s="23" t="s">
        <v>3437</v>
      </c>
      <c r="S161" s="23" t="s">
        <v>40</v>
      </c>
      <c r="T161" s="23" t="s">
        <v>40</v>
      </c>
    </row>
    <row r="162" spans="1:20" x14ac:dyDescent="0.25">
      <c r="A162" s="23" t="s">
        <v>3591</v>
      </c>
      <c r="B162" s="23" t="s">
        <v>3430</v>
      </c>
      <c r="C162" s="23" t="s">
        <v>3472</v>
      </c>
      <c r="D162" s="23" t="s">
        <v>3592</v>
      </c>
      <c r="E162" s="23" t="s">
        <v>3433</v>
      </c>
      <c r="F162" s="23" t="s">
        <v>40</v>
      </c>
      <c r="G162" s="23" t="s">
        <v>3593</v>
      </c>
      <c r="H162" s="23" t="s">
        <v>3594</v>
      </c>
      <c r="I162" s="23" t="s">
        <v>3595</v>
      </c>
      <c r="J162" s="23" t="s">
        <v>466</v>
      </c>
      <c r="K162" s="27" t="s">
        <v>404</v>
      </c>
      <c r="L162" s="23" t="s">
        <v>490</v>
      </c>
      <c r="M162" s="25" t="s">
        <v>18</v>
      </c>
      <c r="N162" s="23" t="s">
        <v>40</v>
      </c>
      <c r="O162" s="23" t="s">
        <v>387</v>
      </c>
      <c r="P162" s="23" t="s">
        <v>40</v>
      </c>
      <c r="Q162" s="23" t="s">
        <v>40</v>
      </c>
      <c r="R162" s="23" t="s">
        <v>3437</v>
      </c>
      <c r="S162" s="23" t="s">
        <v>40</v>
      </c>
      <c r="T162" s="23" t="s">
        <v>40</v>
      </c>
    </row>
    <row r="163" spans="1:20" x14ac:dyDescent="0.25">
      <c r="A163" s="23" t="s">
        <v>3596</v>
      </c>
      <c r="B163" s="23" t="s">
        <v>3430</v>
      </c>
      <c r="C163" s="23" t="s">
        <v>3472</v>
      </c>
      <c r="D163" s="23" t="s">
        <v>3597</v>
      </c>
      <c r="E163" s="23" t="s">
        <v>3433</v>
      </c>
      <c r="F163" s="23" t="s">
        <v>40</v>
      </c>
      <c r="G163" s="23" t="s">
        <v>3598</v>
      </c>
      <c r="H163" s="23" t="s">
        <v>3599</v>
      </c>
      <c r="I163" s="23" t="s">
        <v>3600</v>
      </c>
      <c r="J163" s="23" t="s">
        <v>14</v>
      </c>
      <c r="K163" s="27" t="s">
        <v>404</v>
      </c>
      <c r="L163" s="23" t="s">
        <v>490</v>
      </c>
      <c r="M163" s="25" t="s">
        <v>18</v>
      </c>
      <c r="N163" s="23" t="s">
        <v>40</v>
      </c>
      <c r="O163" s="23" t="s">
        <v>387</v>
      </c>
      <c r="P163" s="23" t="s">
        <v>40</v>
      </c>
      <c r="Q163" s="23" t="s">
        <v>40</v>
      </c>
      <c r="R163" s="23" t="s">
        <v>3437</v>
      </c>
      <c r="S163" s="23" t="s">
        <v>40</v>
      </c>
      <c r="T163" s="23" t="s">
        <v>3601</v>
      </c>
    </row>
    <row r="164" spans="1:20" x14ac:dyDescent="0.25">
      <c r="A164" s="23" t="s">
        <v>3602</v>
      </c>
      <c r="B164" s="23" t="s">
        <v>3430</v>
      </c>
      <c r="C164" s="23" t="s">
        <v>3472</v>
      </c>
      <c r="D164" s="23" t="s">
        <v>3603</v>
      </c>
      <c r="E164" s="23" t="s">
        <v>3433</v>
      </c>
      <c r="F164" s="23" t="s">
        <v>40</v>
      </c>
      <c r="G164" s="23" t="s">
        <v>3604</v>
      </c>
      <c r="H164" s="23" t="s">
        <v>3605</v>
      </c>
      <c r="I164" s="23" t="s">
        <v>3606</v>
      </c>
      <c r="J164" s="23" t="s">
        <v>801</v>
      </c>
      <c r="K164" s="27" t="s">
        <v>404</v>
      </c>
      <c r="L164" s="23" t="s">
        <v>490</v>
      </c>
      <c r="M164" s="25" t="s">
        <v>18</v>
      </c>
      <c r="N164" s="23" t="s">
        <v>40</v>
      </c>
      <c r="O164" s="23" t="s">
        <v>387</v>
      </c>
      <c r="P164" s="23" t="s">
        <v>40</v>
      </c>
      <c r="Q164" s="23" t="s">
        <v>40</v>
      </c>
      <c r="R164" s="23" t="s">
        <v>3437</v>
      </c>
      <c r="S164" s="23" t="s">
        <v>40</v>
      </c>
      <c r="T164" s="23" t="s">
        <v>3607</v>
      </c>
    </row>
    <row r="165" spans="1:20" x14ac:dyDescent="0.25">
      <c r="A165" s="23" t="s">
        <v>3608</v>
      </c>
      <c r="B165" s="23" t="s">
        <v>119</v>
      </c>
      <c r="C165" s="23" t="s">
        <v>944</v>
      </c>
      <c r="D165" s="23" t="s">
        <v>3609</v>
      </c>
      <c r="E165" s="23" t="s">
        <v>3610</v>
      </c>
      <c r="F165" s="23" t="s">
        <v>40</v>
      </c>
      <c r="G165" s="23" t="s">
        <v>3611</v>
      </c>
      <c r="H165" s="23" t="s">
        <v>3612</v>
      </c>
      <c r="I165" s="23" t="s">
        <v>3613</v>
      </c>
      <c r="J165" s="23" t="s">
        <v>385</v>
      </c>
      <c r="K165" s="24" t="s">
        <v>386</v>
      </c>
      <c r="L165" s="23" t="s">
        <v>13</v>
      </c>
      <c r="M165" s="31" t="s">
        <v>17</v>
      </c>
      <c r="N165" s="23" t="s">
        <v>3614</v>
      </c>
      <c r="O165" s="29" t="s">
        <v>87</v>
      </c>
      <c r="P165" s="23" t="s">
        <v>40</v>
      </c>
      <c r="Q165" s="23" t="s">
        <v>40</v>
      </c>
      <c r="R165" s="23" t="s">
        <v>120</v>
      </c>
      <c r="S165" s="23" t="s">
        <v>40</v>
      </c>
      <c r="T165" s="23" t="s">
        <v>40</v>
      </c>
    </row>
    <row r="166" spans="1:20" x14ac:dyDescent="0.25">
      <c r="A166" s="23" t="s">
        <v>3615</v>
      </c>
      <c r="B166" s="23" t="s">
        <v>119</v>
      </c>
      <c r="C166" s="23" t="s">
        <v>3616</v>
      </c>
      <c r="D166" s="23" t="s">
        <v>3617</v>
      </c>
      <c r="E166" s="23" t="s">
        <v>3610</v>
      </c>
      <c r="F166" s="23" t="s">
        <v>40</v>
      </c>
      <c r="G166" s="23" t="s">
        <v>3618</v>
      </c>
      <c r="H166" s="23" t="s">
        <v>3619</v>
      </c>
      <c r="I166" s="23" t="s">
        <v>3620</v>
      </c>
      <c r="J166" s="23" t="s">
        <v>801</v>
      </c>
      <c r="K166" s="26" t="s">
        <v>396</v>
      </c>
      <c r="L166" s="23" t="s">
        <v>13</v>
      </c>
      <c r="M166" s="28" t="s">
        <v>16</v>
      </c>
      <c r="N166" s="23" t="s">
        <v>3107</v>
      </c>
      <c r="O166" s="29" t="s">
        <v>87</v>
      </c>
      <c r="P166" s="23" t="s">
        <v>40</v>
      </c>
      <c r="Q166" s="23" t="s">
        <v>40</v>
      </c>
      <c r="R166" s="23" t="s">
        <v>120</v>
      </c>
      <c r="S166" s="23" t="s">
        <v>40</v>
      </c>
      <c r="T166" s="23" t="s">
        <v>40</v>
      </c>
    </row>
    <row r="167" spans="1:20" x14ac:dyDescent="0.25">
      <c r="A167" s="23" t="s">
        <v>3621</v>
      </c>
      <c r="B167" s="23" t="s">
        <v>119</v>
      </c>
      <c r="C167" s="23" t="s">
        <v>3616</v>
      </c>
      <c r="D167" s="23" t="s">
        <v>3622</v>
      </c>
      <c r="E167" s="23" t="s">
        <v>3610</v>
      </c>
      <c r="F167" s="23" t="s">
        <v>40</v>
      </c>
      <c r="G167" s="23" t="s">
        <v>3623</v>
      </c>
      <c r="H167" s="23" t="s">
        <v>3624</v>
      </c>
      <c r="I167" s="23" t="s">
        <v>3625</v>
      </c>
      <c r="J167" s="23" t="s">
        <v>14</v>
      </c>
      <c r="K167" s="24" t="s">
        <v>386</v>
      </c>
      <c r="L167" s="23" t="s">
        <v>405</v>
      </c>
      <c r="M167" s="25" t="s">
        <v>18</v>
      </c>
      <c r="N167" s="23" t="s">
        <v>40</v>
      </c>
      <c r="O167" s="23" t="s">
        <v>387</v>
      </c>
      <c r="P167" s="23" t="s">
        <v>40</v>
      </c>
      <c r="Q167" s="23" t="s">
        <v>40</v>
      </c>
      <c r="R167" s="23" t="s">
        <v>120</v>
      </c>
      <c r="S167" s="23" t="s">
        <v>40</v>
      </c>
      <c r="T167" s="23" t="s">
        <v>40</v>
      </c>
    </row>
    <row r="168" spans="1:20" x14ac:dyDescent="0.25">
      <c r="A168" s="23" t="s">
        <v>3626</v>
      </c>
      <c r="B168" s="23" t="s">
        <v>119</v>
      </c>
      <c r="C168" s="23" t="s">
        <v>3616</v>
      </c>
      <c r="D168" s="23" t="s">
        <v>3627</v>
      </c>
      <c r="E168" s="23" t="s">
        <v>3610</v>
      </c>
      <c r="F168" s="23" t="s">
        <v>40</v>
      </c>
      <c r="G168" s="23" t="s">
        <v>3628</v>
      </c>
      <c r="H168" s="23" t="s">
        <v>3629</v>
      </c>
      <c r="I168" s="23" t="s">
        <v>3630</v>
      </c>
      <c r="J168" s="23" t="s">
        <v>14</v>
      </c>
      <c r="K168" s="26" t="s">
        <v>396</v>
      </c>
      <c r="L168" s="23" t="s">
        <v>13</v>
      </c>
      <c r="M168" s="25" t="s">
        <v>18</v>
      </c>
      <c r="N168" s="23" t="s">
        <v>40</v>
      </c>
      <c r="O168" s="23" t="s">
        <v>387</v>
      </c>
      <c r="P168" s="23" t="s">
        <v>40</v>
      </c>
      <c r="Q168" s="23" t="s">
        <v>40</v>
      </c>
      <c r="R168" s="23" t="s">
        <v>120</v>
      </c>
      <c r="S168" s="23" t="s">
        <v>3631</v>
      </c>
      <c r="T168" s="23" t="s">
        <v>40</v>
      </c>
    </row>
    <row r="169" spans="1:20" x14ac:dyDescent="0.25">
      <c r="A169" s="23" t="s">
        <v>3632</v>
      </c>
      <c r="B169" s="23" t="s">
        <v>119</v>
      </c>
      <c r="C169" s="23" t="s">
        <v>3616</v>
      </c>
      <c r="D169" s="23" t="s">
        <v>3633</v>
      </c>
      <c r="E169" s="23" t="s">
        <v>3610</v>
      </c>
      <c r="F169" s="23" t="s">
        <v>40</v>
      </c>
      <c r="G169" s="23" t="s">
        <v>3634</v>
      </c>
      <c r="H169" s="23" t="s">
        <v>3635</v>
      </c>
      <c r="I169" s="23" t="s">
        <v>3636</v>
      </c>
      <c r="J169" s="23" t="s">
        <v>14</v>
      </c>
      <c r="K169" s="24" t="s">
        <v>386</v>
      </c>
      <c r="L169" s="23" t="s">
        <v>405</v>
      </c>
      <c r="M169" s="25" t="s">
        <v>18</v>
      </c>
      <c r="N169" s="23" t="s">
        <v>40</v>
      </c>
      <c r="O169" s="23" t="s">
        <v>387</v>
      </c>
      <c r="P169" s="23" t="s">
        <v>40</v>
      </c>
      <c r="Q169" s="23" t="s">
        <v>40</v>
      </c>
      <c r="R169" s="23" t="s">
        <v>120</v>
      </c>
      <c r="S169" s="23" t="s">
        <v>40</v>
      </c>
      <c r="T169" s="23" t="s">
        <v>40</v>
      </c>
    </row>
    <row r="170" spans="1:20" x14ac:dyDescent="0.25">
      <c r="A170" s="23" t="s">
        <v>3637</v>
      </c>
      <c r="B170" s="23" t="s">
        <v>119</v>
      </c>
      <c r="C170" s="23" t="s">
        <v>3616</v>
      </c>
      <c r="D170" s="23" t="s">
        <v>3638</v>
      </c>
      <c r="E170" s="23" t="s">
        <v>3610</v>
      </c>
      <c r="F170" s="23" t="s">
        <v>40</v>
      </c>
      <c r="G170" s="23" t="s">
        <v>3639</v>
      </c>
      <c r="H170" s="23" t="s">
        <v>3640</v>
      </c>
      <c r="I170" s="23" t="s">
        <v>3641</v>
      </c>
      <c r="J170" s="23" t="s">
        <v>385</v>
      </c>
      <c r="K170" s="32" t="s">
        <v>747</v>
      </c>
      <c r="L170" s="23" t="s">
        <v>490</v>
      </c>
      <c r="M170" s="25" t="s">
        <v>18</v>
      </c>
      <c r="N170" s="23" t="s">
        <v>40</v>
      </c>
      <c r="O170" s="23" t="s">
        <v>387</v>
      </c>
      <c r="P170" s="23" t="s">
        <v>40</v>
      </c>
      <c r="Q170" s="23" t="s">
        <v>40</v>
      </c>
      <c r="R170" s="23" t="s">
        <v>120</v>
      </c>
      <c r="S170" s="23" t="s">
        <v>40</v>
      </c>
      <c r="T170" s="23" t="s">
        <v>40</v>
      </c>
    </row>
    <row r="171" spans="1:20" x14ac:dyDescent="0.25">
      <c r="A171" s="23" t="s">
        <v>3642</v>
      </c>
      <c r="B171" s="23" t="s">
        <v>119</v>
      </c>
      <c r="C171" s="23" t="s">
        <v>3616</v>
      </c>
      <c r="D171" s="23" t="s">
        <v>3643</v>
      </c>
      <c r="E171" s="23" t="s">
        <v>3610</v>
      </c>
      <c r="F171" s="23" t="s">
        <v>40</v>
      </c>
      <c r="G171" s="23" t="s">
        <v>3644</v>
      </c>
      <c r="H171" s="23" t="s">
        <v>3645</v>
      </c>
      <c r="I171" s="23" t="s">
        <v>3646</v>
      </c>
      <c r="J171" s="23" t="s">
        <v>801</v>
      </c>
      <c r="K171" s="24" t="s">
        <v>386</v>
      </c>
      <c r="L171" s="23" t="s">
        <v>405</v>
      </c>
      <c r="M171" s="25" t="s">
        <v>18</v>
      </c>
      <c r="N171" s="23" t="s">
        <v>40</v>
      </c>
      <c r="O171" s="23" t="s">
        <v>387</v>
      </c>
      <c r="P171" s="23" t="s">
        <v>40</v>
      </c>
      <c r="Q171" s="23" t="s">
        <v>40</v>
      </c>
      <c r="R171" s="23" t="s">
        <v>120</v>
      </c>
      <c r="S171" s="23" t="s">
        <v>40</v>
      </c>
      <c r="T171" s="23" t="s">
        <v>40</v>
      </c>
    </row>
    <row r="172" spans="1:20" x14ac:dyDescent="0.25">
      <c r="A172" s="23" t="s">
        <v>3647</v>
      </c>
      <c r="B172" s="23" t="s">
        <v>119</v>
      </c>
      <c r="C172" s="23" t="s">
        <v>3616</v>
      </c>
      <c r="D172" s="23" t="s">
        <v>3648</v>
      </c>
      <c r="E172" s="23" t="s">
        <v>3610</v>
      </c>
      <c r="F172" s="23" t="s">
        <v>40</v>
      </c>
      <c r="G172" s="23" t="s">
        <v>3649</v>
      </c>
      <c r="H172" s="23" t="s">
        <v>3650</v>
      </c>
      <c r="I172" s="23" t="s">
        <v>3651</v>
      </c>
      <c r="J172" s="23" t="s">
        <v>14</v>
      </c>
      <c r="K172" s="27" t="s">
        <v>404</v>
      </c>
      <c r="L172" s="23" t="s">
        <v>490</v>
      </c>
      <c r="M172" s="25" t="s">
        <v>18</v>
      </c>
      <c r="N172" s="23" t="s">
        <v>40</v>
      </c>
      <c r="O172" s="23" t="s">
        <v>387</v>
      </c>
      <c r="P172" s="23" t="s">
        <v>40</v>
      </c>
      <c r="Q172" s="23" t="s">
        <v>40</v>
      </c>
      <c r="R172" s="23" t="s">
        <v>120</v>
      </c>
      <c r="S172" s="23" t="s">
        <v>40</v>
      </c>
      <c r="T172" s="23" t="s">
        <v>40</v>
      </c>
    </row>
    <row r="173" spans="1:20" x14ac:dyDescent="0.25">
      <c r="A173" s="23" t="s">
        <v>3652</v>
      </c>
      <c r="B173" s="23" t="s">
        <v>119</v>
      </c>
      <c r="C173" s="23" t="s">
        <v>3616</v>
      </c>
      <c r="D173" s="23" t="s">
        <v>3653</v>
      </c>
      <c r="E173" s="23" t="s">
        <v>3610</v>
      </c>
      <c r="F173" s="23" t="s">
        <v>40</v>
      </c>
      <c r="G173" s="23" t="s">
        <v>3654</v>
      </c>
      <c r="H173" s="23" t="s">
        <v>3655</v>
      </c>
      <c r="I173" s="23" t="s">
        <v>3656</v>
      </c>
      <c r="J173" s="23" t="s">
        <v>466</v>
      </c>
      <c r="K173" s="27" t="s">
        <v>404</v>
      </c>
      <c r="L173" s="23" t="s">
        <v>405</v>
      </c>
      <c r="M173" s="25" t="s">
        <v>18</v>
      </c>
      <c r="N173" s="23" t="s">
        <v>40</v>
      </c>
      <c r="O173" s="23" t="s">
        <v>387</v>
      </c>
      <c r="P173" s="23" t="s">
        <v>40</v>
      </c>
      <c r="Q173" s="23" t="s">
        <v>40</v>
      </c>
      <c r="R173" s="23" t="s">
        <v>120</v>
      </c>
      <c r="S173" s="23" t="s">
        <v>40</v>
      </c>
      <c r="T173" s="23" t="s">
        <v>3657</v>
      </c>
    </row>
    <row r="174" spans="1:20" x14ac:dyDescent="0.25">
      <c r="A174" s="23" t="s">
        <v>3658</v>
      </c>
      <c r="B174" s="23" t="s">
        <v>119</v>
      </c>
      <c r="C174" s="23" t="s">
        <v>3616</v>
      </c>
      <c r="D174" s="23" t="s">
        <v>3659</v>
      </c>
      <c r="E174" s="23" t="s">
        <v>3610</v>
      </c>
      <c r="F174" s="23" t="s">
        <v>40</v>
      </c>
      <c r="G174" s="23" t="s">
        <v>3660</v>
      </c>
      <c r="H174" s="23" t="s">
        <v>3661</v>
      </c>
      <c r="I174" s="23" t="s">
        <v>3662</v>
      </c>
      <c r="J174" s="23" t="s">
        <v>14</v>
      </c>
      <c r="K174" s="24" t="s">
        <v>386</v>
      </c>
      <c r="L174" s="23" t="s">
        <v>405</v>
      </c>
      <c r="M174" s="25" t="s">
        <v>18</v>
      </c>
      <c r="N174" s="23" t="s">
        <v>40</v>
      </c>
      <c r="O174" s="23" t="s">
        <v>387</v>
      </c>
      <c r="P174" s="23" t="s">
        <v>40</v>
      </c>
      <c r="Q174" s="23" t="s">
        <v>40</v>
      </c>
      <c r="R174" s="23" t="s">
        <v>120</v>
      </c>
      <c r="S174" s="23" t="s">
        <v>40</v>
      </c>
      <c r="T174" s="23" t="s">
        <v>40</v>
      </c>
    </row>
    <row r="175" spans="1:20" x14ac:dyDescent="0.25">
      <c r="A175" s="23" t="s">
        <v>3663</v>
      </c>
      <c r="B175" s="23" t="s">
        <v>119</v>
      </c>
      <c r="C175" s="23" t="s">
        <v>3616</v>
      </c>
      <c r="D175" s="23" t="s">
        <v>1021</v>
      </c>
      <c r="E175" s="23" t="s">
        <v>3610</v>
      </c>
      <c r="F175" s="23" t="s">
        <v>40</v>
      </c>
      <c r="G175" s="23" t="s">
        <v>3664</v>
      </c>
      <c r="H175" s="23" t="s">
        <v>3665</v>
      </c>
      <c r="I175" s="23" t="s">
        <v>3666</v>
      </c>
      <c r="J175" s="23" t="s">
        <v>385</v>
      </c>
      <c r="K175" s="32" t="s">
        <v>747</v>
      </c>
      <c r="L175" s="23" t="s">
        <v>490</v>
      </c>
      <c r="M175" s="25" t="s">
        <v>18</v>
      </c>
      <c r="N175" s="23" t="s">
        <v>40</v>
      </c>
      <c r="O175" s="23" t="s">
        <v>387</v>
      </c>
      <c r="P175" s="23" t="s">
        <v>40</v>
      </c>
      <c r="Q175" s="23" t="s">
        <v>40</v>
      </c>
      <c r="R175" s="23" t="s">
        <v>120</v>
      </c>
      <c r="S175" s="23" t="s">
        <v>40</v>
      </c>
      <c r="T175" s="23" t="s">
        <v>40</v>
      </c>
    </row>
    <row r="176" spans="1:20" x14ac:dyDescent="0.25">
      <c r="A176" s="23" t="s">
        <v>3667</v>
      </c>
      <c r="B176" s="23" t="s">
        <v>119</v>
      </c>
      <c r="C176" s="23" t="s">
        <v>3616</v>
      </c>
      <c r="D176" s="23" t="s">
        <v>3668</v>
      </c>
      <c r="E176" s="23" t="s">
        <v>2944</v>
      </c>
      <c r="F176" s="23" t="s">
        <v>40</v>
      </c>
      <c r="G176" s="23" t="s">
        <v>3669</v>
      </c>
      <c r="H176" s="23" t="s">
        <v>3670</v>
      </c>
      <c r="I176" s="23" t="s">
        <v>3671</v>
      </c>
      <c r="J176" s="23" t="s">
        <v>525</v>
      </c>
      <c r="K176" s="24" t="s">
        <v>386</v>
      </c>
      <c r="L176" s="23" t="s">
        <v>405</v>
      </c>
      <c r="M176" s="25" t="s">
        <v>18</v>
      </c>
      <c r="N176" s="23" t="s">
        <v>40</v>
      </c>
      <c r="O176" s="23" t="s">
        <v>387</v>
      </c>
      <c r="P176" s="23" t="s">
        <v>40</v>
      </c>
      <c r="Q176" s="23" t="s">
        <v>40</v>
      </c>
      <c r="R176" s="23" t="s">
        <v>120</v>
      </c>
      <c r="S176" s="23" t="s">
        <v>40</v>
      </c>
      <c r="T176" s="23" t="s">
        <v>40</v>
      </c>
    </row>
    <row r="177" spans="1:20" x14ac:dyDescent="0.25">
      <c r="A177" s="23" t="s">
        <v>3672</v>
      </c>
      <c r="B177" s="23" t="s">
        <v>122</v>
      </c>
      <c r="C177" s="23" t="s">
        <v>944</v>
      </c>
      <c r="D177" s="23" t="s">
        <v>3673</v>
      </c>
      <c r="E177" s="23" t="s">
        <v>3674</v>
      </c>
      <c r="F177" s="23" t="s">
        <v>40</v>
      </c>
      <c r="G177" s="23" t="s">
        <v>3675</v>
      </c>
      <c r="H177" s="23" t="s">
        <v>3676</v>
      </c>
      <c r="I177" s="23" t="s">
        <v>3677</v>
      </c>
      <c r="J177" s="23" t="s">
        <v>385</v>
      </c>
      <c r="K177" s="24" t="s">
        <v>386</v>
      </c>
      <c r="L177" s="23" t="s">
        <v>13</v>
      </c>
      <c r="M177" s="31" t="s">
        <v>17</v>
      </c>
      <c r="N177" s="23" t="s">
        <v>3678</v>
      </c>
      <c r="O177" s="29" t="s">
        <v>87</v>
      </c>
      <c r="P177" s="23" t="s">
        <v>40</v>
      </c>
      <c r="Q177" s="23" t="s">
        <v>40</v>
      </c>
      <c r="R177" s="23" t="s">
        <v>123</v>
      </c>
      <c r="S177" s="23" t="s">
        <v>40</v>
      </c>
      <c r="T177" s="23" t="s">
        <v>40</v>
      </c>
    </row>
    <row r="178" spans="1:20" x14ac:dyDescent="0.25">
      <c r="A178" s="23" t="s">
        <v>3679</v>
      </c>
      <c r="B178" s="23" t="s">
        <v>122</v>
      </c>
      <c r="C178" s="23" t="s">
        <v>944</v>
      </c>
      <c r="D178" s="23" t="s">
        <v>3680</v>
      </c>
      <c r="E178" s="23" t="s">
        <v>3674</v>
      </c>
      <c r="F178" s="23" t="s">
        <v>40</v>
      </c>
      <c r="G178" s="23" t="s">
        <v>3681</v>
      </c>
      <c r="H178" s="23" t="s">
        <v>3682</v>
      </c>
      <c r="I178" s="23" t="s">
        <v>3683</v>
      </c>
      <c r="J178" s="23" t="s">
        <v>385</v>
      </c>
      <c r="K178" s="32" t="s">
        <v>747</v>
      </c>
      <c r="L178" s="23" t="s">
        <v>490</v>
      </c>
      <c r="M178" s="25" t="s">
        <v>18</v>
      </c>
      <c r="N178" s="23" t="s">
        <v>40</v>
      </c>
      <c r="O178" s="23" t="s">
        <v>387</v>
      </c>
      <c r="P178" s="23" t="s">
        <v>40</v>
      </c>
      <c r="Q178" s="23" t="s">
        <v>40</v>
      </c>
      <c r="R178" s="23" t="s">
        <v>123</v>
      </c>
      <c r="S178" s="23" t="s">
        <v>40</v>
      </c>
      <c r="T178" s="23" t="s">
        <v>3684</v>
      </c>
    </row>
    <row r="179" spans="1:20" x14ac:dyDescent="0.25">
      <c r="A179" s="23" t="s">
        <v>3685</v>
      </c>
      <c r="B179" s="23" t="s">
        <v>122</v>
      </c>
      <c r="C179" s="23" t="s">
        <v>944</v>
      </c>
      <c r="D179" s="23" t="s">
        <v>3686</v>
      </c>
      <c r="E179" s="23" t="s">
        <v>3674</v>
      </c>
      <c r="F179" s="23" t="s">
        <v>40</v>
      </c>
      <c r="G179" s="23" t="s">
        <v>3687</v>
      </c>
      <c r="H179" s="23" t="s">
        <v>3688</v>
      </c>
      <c r="I179" s="23" t="s">
        <v>3689</v>
      </c>
      <c r="J179" s="23" t="s">
        <v>385</v>
      </c>
      <c r="K179" s="32" t="s">
        <v>747</v>
      </c>
      <c r="L179" s="23" t="s">
        <v>490</v>
      </c>
      <c r="M179" s="25" t="s">
        <v>18</v>
      </c>
      <c r="N179" s="23" t="s">
        <v>40</v>
      </c>
      <c r="O179" s="23" t="s">
        <v>387</v>
      </c>
      <c r="P179" s="23" t="s">
        <v>40</v>
      </c>
      <c r="Q179" s="23" t="s">
        <v>40</v>
      </c>
      <c r="R179" s="23" t="s">
        <v>123</v>
      </c>
      <c r="S179" s="23" t="s">
        <v>3690</v>
      </c>
      <c r="T179" s="23" t="s">
        <v>40</v>
      </c>
    </row>
    <row r="180" spans="1:20" x14ac:dyDescent="0.25">
      <c r="A180" s="23" t="s">
        <v>3691</v>
      </c>
      <c r="B180" s="23" t="s">
        <v>122</v>
      </c>
      <c r="C180" s="23" t="s">
        <v>3692</v>
      </c>
      <c r="D180" s="23" t="s">
        <v>3693</v>
      </c>
      <c r="E180" s="23" t="s">
        <v>3674</v>
      </c>
      <c r="F180" s="23" t="s">
        <v>3694</v>
      </c>
      <c r="G180" s="23" t="s">
        <v>3695</v>
      </c>
      <c r="H180" s="23" t="s">
        <v>3696</v>
      </c>
      <c r="I180" s="23" t="s">
        <v>3697</v>
      </c>
      <c r="J180" s="23" t="s">
        <v>14</v>
      </c>
      <c r="K180" s="26" t="s">
        <v>396</v>
      </c>
      <c r="L180" s="23" t="s">
        <v>13</v>
      </c>
      <c r="M180" s="28" t="s">
        <v>16</v>
      </c>
      <c r="N180" s="23" t="s">
        <v>3698</v>
      </c>
      <c r="O180" s="29" t="s">
        <v>87</v>
      </c>
      <c r="P180" s="23" t="s">
        <v>40</v>
      </c>
      <c r="Q180" s="23" t="s">
        <v>40</v>
      </c>
      <c r="R180" s="23" t="s">
        <v>123</v>
      </c>
      <c r="S180" s="23" t="s">
        <v>40</v>
      </c>
      <c r="T180" s="23" t="s">
        <v>40</v>
      </c>
    </row>
    <row r="181" spans="1:20" x14ac:dyDescent="0.25">
      <c r="A181" s="23" t="s">
        <v>3699</v>
      </c>
      <c r="B181" s="23" t="s">
        <v>122</v>
      </c>
      <c r="C181" s="23" t="s">
        <v>3692</v>
      </c>
      <c r="D181" s="23" t="s">
        <v>3700</v>
      </c>
      <c r="E181" s="23" t="s">
        <v>3674</v>
      </c>
      <c r="F181" s="23" t="s">
        <v>40</v>
      </c>
      <c r="G181" s="23" t="s">
        <v>3701</v>
      </c>
      <c r="H181" s="23" t="s">
        <v>3702</v>
      </c>
      <c r="I181" s="23" t="s">
        <v>3703</v>
      </c>
      <c r="J181" s="23" t="s">
        <v>14</v>
      </c>
      <c r="K181" s="27" t="s">
        <v>404</v>
      </c>
      <c r="L181" s="23" t="s">
        <v>490</v>
      </c>
      <c r="M181" s="25" t="s">
        <v>18</v>
      </c>
      <c r="N181" s="23" t="s">
        <v>40</v>
      </c>
      <c r="O181" s="23" t="s">
        <v>387</v>
      </c>
      <c r="P181" s="23" t="s">
        <v>40</v>
      </c>
      <c r="Q181" s="23" t="s">
        <v>40</v>
      </c>
      <c r="R181" s="23" t="s">
        <v>123</v>
      </c>
      <c r="S181" s="23" t="s">
        <v>40</v>
      </c>
      <c r="T181" s="23" t="s">
        <v>40</v>
      </c>
    </row>
    <row r="182" spans="1:20" x14ac:dyDescent="0.25">
      <c r="A182" s="23" t="s">
        <v>3704</v>
      </c>
      <c r="B182" s="23" t="s">
        <v>122</v>
      </c>
      <c r="C182" s="23" t="s">
        <v>3692</v>
      </c>
      <c r="D182" s="23" t="s">
        <v>3705</v>
      </c>
      <c r="E182" s="23" t="s">
        <v>3674</v>
      </c>
      <c r="F182" s="23" t="s">
        <v>40</v>
      </c>
      <c r="G182" s="23" t="s">
        <v>3706</v>
      </c>
      <c r="H182" s="23" t="s">
        <v>3707</v>
      </c>
      <c r="I182" s="23" t="s">
        <v>3708</v>
      </c>
      <c r="J182" s="23" t="s">
        <v>466</v>
      </c>
      <c r="K182" s="24" t="s">
        <v>386</v>
      </c>
      <c r="L182" s="23" t="s">
        <v>13</v>
      </c>
      <c r="M182" s="25" t="s">
        <v>18</v>
      </c>
      <c r="N182" s="23" t="s">
        <v>40</v>
      </c>
      <c r="O182" s="23" t="s">
        <v>387</v>
      </c>
      <c r="P182" s="23" t="s">
        <v>40</v>
      </c>
      <c r="Q182" s="23" t="s">
        <v>40</v>
      </c>
      <c r="R182" s="23" t="s">
        <v>123</v>
      </c>
      <c r="S182" s="23" t="s">
        <v>40</v>
      </c>
      <c r="T182" s="23" t="s">
        <v>40</v>
      </c>
    </row>
    <row r="183" spans="1:20" x14ac:dyDescent="0.25">
      <c r="A183" s="23" t="s">
        <v>3709</v>
      </c>
      <c r="B183" s="23" t="s">
        <v>122</v>
      </c>
      <c r="C183" s="23" t="s">
        <v>3692</v>
      </c>
      <c r="D183" s="23" t="s">
        <v>3710</v>
      </c>
      <c r="E183" s="23" t="s">
        <v>3674</v>
      </c>
      <c r="F183" s="23" t="s">
        <v>40</v>
      </c>
      <c r="G183" s="23" t="s">
        <v>3711</v>
      </c>
      <c r="H183" s="23" t="s">
        <v>3712</v>
      </c>
      <c r="I183" s="23" t="s">
        <v>3713</v>
      </c>
      <c r="J183" s="23" t="s">
        <v>466</v>
      </c>
      <c r="K183" s="27" t="s">
        <v>404</v>
      </c>
      <c r="L183" s="23" t="s">
        <v>405</v>
      </c>
      <c r="M183" s="25" t="s">
        <v>18</v>
      </c>
      <c r="N183" s="23" t="s">
        <v>40</v>
      </c>
      <c r="O183" s="23" t="s">
        <v>387</v>
      </c>
      <c r="P183" s="23" t="s">
        <v>40</v>
      </c>
      <c r="Q183" s="23" t="s">
        <v>40</v>
      </c>
      <c r="R183" s="23" t="s">
        <v>123</v>
      </c>
      <c r="S183" s="23" t="s">
        <v>40</v>
      </c>
      <c r="T183" s="23" t="s">
        <v>40</v>
      </c>
    </row>
    <row r="184" spans="1:20" x14ac:dyDescent="0.25">
      <c r="A184" s="23" t="s">
        <v>3714</v>
      </c>
      <c r="B184" s="23" t="s">
        <v>122</v>
      </c>
      <c r="C184" s="23" t="s">
        <v>3692</v>
      </c>
      <c r="D184" s="23" t="s">
        <v>3715</v>
      </c>
      <c r="E184" s="23" t="s">
        <v>3674</v>
      </c>
      <c r="F184" s="23" t="s">
        <v>40</v>
      </c>
      <c r="G184" s="23" t="s">
        <v>3716</v>
      </c>
      <c r="H184" s="23" t="s">
        <v>3717</v>
      </c>
      <c r="I184" s="23" t="s">
        <v>3035</v>
      </c>
      <c r="J184" s="23" t="s">
        <v>489</v>
      </c>
      <c r="K184" s="27" t="s">
        <v>404</v>
      </c>
      <c r="L184" s="23" t="s">
        <v>405</v>
      </c>
      <c r="M184" s="25" t="s">
        <v>18</v>
      </c>
      <c r="N184" s="23" t="s">
        <v>40</v>
      </c>
      <c r="O184" s="23" t="s">
        <v>387</v>
      </c>
      <c r="P184" s="23" t="s">
        <v>40</v>
      </c>
      <c r="Q184" s="23" t="s">
        <v>40</v>
      </c>
      <c r="R184" s="23" t="s">
        <v>123</v>
      </c>
      <c r="S184" s="23" t="s">
        <v>40</v>
      </c>
      <c r="T184" s="23" t="s">
        <v>40</v>
      </c>
    </row>
    <row r="185" spans="1:20" x14ac:dyDescent="0.25">
      <c r="A185" s="23" t="s">
        <v>3718</v>
      </c>
      <c r="B185" s="23" t="s">
        <v>122</v>
      </c>
      <c r="C185" s="23" t="s">
        <v>3692</v>
      </c>
      <c r="D185" s="23" t="s">
        <v>3719</v>
      </c>
      <c r="E185" s="23" t="s">
        <v>3674</v>
      </c>
      <c r="F185" s="23" t="s">
        <v>40</v>
      </c>
      <c r="G185" s="23" t="s">
        <v>3720</v>
      </c>
      <c r="H185" s="23" t="s">
        <v>3721</v>
      </c>
      <c r="I185" s="23" t="s">
        <v>3722</v>
      </c>
      <c r="J185" s="23" t="s">
        <v>489</v>
      </c>
      <c r="K185" s="27" t="s">
        <v>404</v>
      </c>
      <c r="L185" s="23" t="s">
        <v>490</v>
      </c>
      <c r="M185" s="25" t="s">
        <v>18</v>
      </c>
      <c r="N185" s="23" t="s">
        <v>40</v>
      </c>
      <c r="O185" s="23" t="s">
        <v>387</v>
      </c>
      <c r="P185" s="23" t="s">
        <v>40</v>
      </c>
      <c r="Q185" s="23" t="s">
        <v>40</v>
      </c>
      <c r="R185" s="23" t="s">
        <v>123</v>
      </c>
      <c r="S185" s="23" t="s">
        <v>3723</v>
      </c>
      <c r="T185" s="23" t="s">
        <v>40</v>
      </c>
    </row>
    <row r="186" spans="1:20" x14ac:dyDescent="0.25">
      <c r="A186" s="23" t="s">
        <v>3724</v>
      </c>
      <c r="B186" s="23" t="s">
        <v>122</v>
      </c>
      <c r="C186" s="23" t="s">
        <v>3692</v>
      </c>
      <c r="D186" s="23" t="s">
        <v>3725</v>
      </c>
      <c r="E186" s="23" t="s">
        <v>3674</v>
      </c>
      <c r="F186" s="23" t="s">
        <v>40</v>
      </c>
      <c r="G186" s="23" t="s">
        <v>3726</v>
      </c>
      <c r="H186" s="23" t="s">
        <v>3727</v>
      </c>
      <c r="I186" s="23" t="s">
        <v>3728</v>
      </c>
      <c r="J186" s="23" t="s">
        <v>489</v>
      </c>
      <c r="K186" s="27" t="s">
        <v>404</v>
      </c>
      <c r="L186" s="23" t="s">
        <v>490</v>
      </c>
      <c r="M186" s="25" t="s">
        <v>18</v>
      </c>
      <c r="N186" s="23" t="s">
        <v>40</v>
      </c>
      <c r="O186" s="23" t="s">
        <v>387</v>
      </c>
      <c r="P186" s="23" t="s">
        <v>40</v>
      </c>
      <c r="Q186" s="23" t="s">
        <v>40</v>
      </c>
      <c r="R186" s="23" t="s">
        <v>123</v>
      </c>
      <c r="S186" s="23" t="s">
        <v>40</v>
      </c>
      <c r="T186" s="23" t="s">
        <v>40</v>
      </c>
    </row>
    <row r="187" spans="1:20" x14ac:dyDescent="0.25">
      <c r="A187" s="23" t="s">
        <v>3729</v>
      </c>
      <c r="B187" s="23" t="s">
        <v>122</v>
      </c>
      <c r="C187" s="23" t="s">
        <v>3692</v>
      </c>
      <c r="D187" s="23" t="s">
        <v>3730</v>
      </c>
      <c r="E187" s="23" t="s">
        <v>3674</v>
      </c>
      <c r="F187" s="23" t="s">
        <v>40</v>
      </c>
      <c r="G187" s="23" t="s">
        <v>3731</v>
      </c>
      <c r="H187" s="23" t="s">
        <v>3732</v>
      </c>
      <c r="I187" s="23" t="s">
        <v>3733</v>
      </c>
      <c r="J187" s="23" t="s">
        <v>14</v>
      </c>
      <c r="K187" s="27" t="s">
        <v>404</v>
      </c>
      <c r="L187" s="23" t="s">
        <v>490</v>
      </c>
      <c r="M187" s="25" t="s">
        <v>18</v>
      </c>
      <c r="N187" s="23" t="s">
        <v>40</v>
      </c>
      <c r="O187" s="23" t="s">
        <v>387</v>
      </c>
      <c r="P187" s="23" t="s">
        <v>40</v>
      </c>
      <c r="Q187" s="23" t="s">
        <v>40</v>
      </c>
      <c r="R187" s="23" t="s">
        <v>123</v>
      </c>
      <c r="S187" s="23" t="s">
        <v>40</v>
      </c>
      <c r="T187" s="23" t="s">
        <v>40</v>
      </c>
    </row>
    <row r="188" spans="1:20" x14ac:dyDescent="0.25">
      <c r="A188" s="23" t="s">
        <v>3734</v>
      </c>
      <c r="B188" s="23" t="s">
        <v>122</v>
      </c>
      <c r="C188" s="23" t="s">
        <v>3692</v>
      </c>
      <c r="D188" s="23" t="s">
        <v>3735</v>
      </c>
      <c r="E188" s="23" t="s">
        <v>3674</v>
      </c>
      <c r="F188" s="23" t="s">
        <v>40</v>
      </c>
      <c r="G188" s="23" t="s">
        <v>3736</v>
      </c>
      <c r="H188" s="23" t="s">
        <v>3737</v>
      </c>
      <c r="I188" s="23" t="s">
        <v>3738</v>
      </c>
      <c r="J188" s="23" t="s">
        <v>14</v>
      </c>
      <c r="K188" s="27" t="s">
        <v>404</v>
      </c>
      <c r="L188" s="23" t="s">
        <v>490</v>
      </c>
      <c r="M188" s="25" t="s">
        <v>18</v>
      </c>
      <c r="N188" s="23" t="s">
        <v>40</v>
      </c>
      <c r="O188" s="23" t="s">
        <v>387</v>
      </c>
      <c r="P188" s="23" t="s">
        <v>40</v>
      </c>
      <c r="Q188" s="23" t="s">
        <v>40</v>
      </c>
      <c r="R188" s="23" t="s">
        <v>123</v>
      </c>
      <c r="S188" s="23" t="s">
        <v>40</v>
      </c>
      <c r="T188" s="23" t="s">
        <v>40</v>
      </c>
    </row>
    <row r="189" spans="1:20" x14ac:dyDescent="0.25">
      <c r="A189" s="23" t="s">
        <v>3739</v>
      </c>
      <c r="B189" s="23" t="s">
        <v>122</v>
      </c>
      <c r="C189" s="23" t="s">
        <v>3692</v>
      </c>
      <c r="D189" s="23" t="s">
        <v>3740</v>
      </c>
      <c r="E189" s="23" t="s">
        <v>3674</v>
      </c>
      <c r="F189" s="23" t="s">
        <v>40</v>
      </c>
      <c r="G189" s="23" t="s">
        <v>3741</v>
      </c>
      <c r="H189" s="23" t="s">
        <v>3742</v>
      </c>
      <c r="I189" s="23" t="s">
        <v>3743</v>
      </c>
      <c r="J189" s="23" t="s">
        <v>14</v>
      </c>
      <c r="K189" s="27" t="s">
        <v>404</v>
      </c>
      <c r="L189" s="23" t="s">
        <v>490</v>
      </c>
      <c r="M189" s="25" t="s">
        <v>18</v>
      </c>
      <c r="N189" s="23" t="s">
        <v>40</v>
      </c>
      <c r="O189" s="23" t="s">
        <v>387</v>
      </c>
      <c r="P189" s="23" t="s">
        <v>40</v>
      </c>
      <c r="Q189" s="23" t="s">
        <v>40</v>
      </c>
      <c r="R189" s="23" t="s">
        <v>123</v>
      </c>
      <c r="S189" s="23" t="s">
        <v>40</v>
      </c>
      <c r="T189" s="23" t="s">
        <v>40</v>
      </c>
    </row>
    <row r="190" spans="1:20" x14ac:dyDescent="0.25">
      <c r="A190" s="23" t="s">
        <v>3744</v>
      </c>
      <c r="B190" s="23" t="s">
        <v>122</v>
      </c>
      <c r="C190" s="23" t="s">
        <v>3745</v>
      </c>
      <c r="D190" s="23" t="s">
        <v>3746</v>
      </c>
      <c r="E190" s="23" t="s">
        <v>3674</v>
      </c>
      <c r="F190" s="23" t="s">
        <v>40</v>
      </c>
      <c r="G190" s="23" t="s">
        <v>3747</v>
      </c>
      <c r="H190" s="23" t="s">
        <v>3748</v>
      </c>
      <c r="I190" s="23" t="s">
        <v>3749</v>
      </c>
      <c r="J190" s="23" t="s">
        <v>14</v>
      </c>
      <c r="K190" s="26" t="s">
        <v>396</v>
      </c>
      <c r="L190" s="23" t="s">
        <v>13</v>
      </c>
      <c r="M190" s="28" t="s">
        <v>16</v>
      </c>
      <c r="N190" s="23" t="s">
        <v>3698</v>
      </c>
      <c r="O190" s="29" t="s">
        <v>87</v>
      </c>
      <c r="P190" s="23" t="s">
        <v>40</v>
      </c>
      <c r="Q190" s="23" t="s">
        <v>40</v>
      </c>
      <c r="R190" s="23" t="s">
        <v>123</v>
      </c>
      <c r="S190" s="23" t="s">
        <v>40</v>
      </c>
      <c r="T190" s="23" t="s">
        <v>40</v>
      </c>
    </row>
    <row r="191" spans="1:20" x14ac:dyDescent="0.25">
      <c r="A191" s="23" t="s">
        <v>3750</v>
      </c>
      <c r="B191" s="23" t="s">
        <v>122</v>
      </c>
      <c r="C191" s="23" t="s">
        <v>3745</v>
      </c>
      <c r="D191" s="23" t="s">
        <v>3751</v>
      </c>
      <c r="E191" s="23" t="s">
        <v>3674</v>
      </c>
      <c r="F191" s="23" t="s">
        <v>40</v>
      </c>
      <c r="G191" s="23" t="s">
        <v>3752</v>
      </c>
      <c r="H191" s="23" t="s">
        <v>3753</v>
      </c>
      <c r="I191" s="23" t="s">
        <v>3754</v>
      </c>
      <c r="J191" s="23" t="s">
        <v>466</v>
      </c>
      <c r="K191" s="27" t="s">
        <v>404</v>
      </c>
      <c r="L191" s="23" t="s">
        <v>405</v>
      </c>
      <c r="M191" s="25" t="s">
        <v>18</v>
      </c>
      <c r="N191" s="23" t="s">
        <v>40</v>
      </c>
      <c r="O191" s="23" t="s">
        <v>387</v>
      </c>
      <c r="P191" s="23" t="s">
        <v>40</v>
      </c>
      <c r="Q191" s="23" t="s">
        <v>40</v>
      </c>
      <c r="R191" s="23" t="s">
        <v>123</v>
      </c>
      <c r="S191" s="23" t="s">
        <v>40</v>
      </c>
      <c r="T191" s="23" t="s">
        <v>40</v>
      </c>
    </row>
    <row r="192" spans="1:20" x14ac:dyDescent="0.25">
      <c r="A192" s="23" t="s">
        <v>3755</v>
      </c>
      <c r="B192" s="23" t="s">
        <v>122</v>
      </c>
      <c r="C192" s="23" t="s">
        <v>3745</v>
      </c>
      <c r="D192" s="23" t="s">
        <v>3756</v>
      </c>
      <c r="E192" s="23" t="s">
        <v>3674</v>
      </c>
      <c r="F192" s="23" t="s">
        <v>40</v>
      </c>
      <c r="G192" s="23" t="s">
        <v>3757</v>
      </c>
      <c r="H192" s="23" t="s">
        <v>3758</v>
      </c>
      <c r="I192" s="23" t="s">
        <v>3759</v>
      </c>
      <c r="J192" s="23" t="s">
        <v>15</v>
      </c>
      <c r="K192" s="27" t="s">
        <v>404</v>
      </c>
      <c r="L192" s="23" t="s">
        <v>405</v>
      </c>
      <c r="M192" s="25" t="s">
        <v>18</v>
      </c>
      <c r="N192" s="23" t="s">
        <v>40</v>
      </c>
      <c r="O192" s="23" t="s">
        <v>387</v>
      </c>
      <c r="P192" s="23" t="s">
        <v>40</v>
      </c>
      <c r="Q192" s="23" t="s">
        <v>40</v>
      </c>
      <c r="R192" s="23" t="s">
        <v>123</v>
      </c>
      <c r="S192" s="23" t="s">
        <v>40</v>
      </c>
      <c r="T192" s="23" t="s">
        <v>40</v>
      </c>
    </row>
    <row r="193" spans="1:20" x14ac:dyDescent="0.25">
      <c r="A193" s="23" t="s">
        <v>3760</v>
      </c>
      <c r="B193" s="23" t="s">
        <v>122</v>
      </c>
      <c r="C193" s="23" t="s">
        <v>3745</v>
      </c>
      <c r="D193" s="23" t="s">
        <v>3761</v>
      </c>
      <c r="E193" s="23" t="s">
        <v>3674</v>
      </c>
      <c r="F193" s="23" t="s">
        <v>40</v>
      </c>
      <c r="G193" s="23" t="s">
        <v>3762</v>
      </c>
      <c r="H193" s="23" t="s">
        <v>3763</v>
      </c>
      <c r="I193" s="23" t="s">
        <v>3764</v>
      </c>
      <c r="J193" s="23" t="s">
        <v>15</v>
      </c>
      <c r="K193" s="27" t="s">
        <v>404</v>
      </c>
      <c r="L193" s="23" t="s">
        <v>405</v>
      </c>
      <c r="M193" s="25" t="s">
        <v>18</v>
      </c>
      <c r="N193" s="23" t="s">
        <v>40</v>
      </c>
      <c r="O193" s="23" t="s">
        <v>387</v>
      </c>
      <c r="P193" s="23" t="s">
        <v>40</v>
      </c>
      <c r="Q193" s="23" t="s">
        <v>40</v>
      </c>
      <c r="R193" s="23" t="s">
        <v>123</v>
      </c>
      <c r="S193" s="23" t="s">
        <v>40</v>
      </c>
      <c r="T193" s="23" t="s">
        <v>3052</v>
      </c>
    </row>
    <row r="194" spans="1:20" x14ac:dyDescent="0.25">
      <c r="A194" s="23" t="s">
        <v>3765</v>
      </c>
      <c r="B194" s="23" t="s">
        <v>122</v>
      </c>
      <c r="C194" s="23" t="s">
        <v>3766</v>
      </c>
      <c r="D194" s="23" t="s">
        <v>3767</v>
      </c>
      <c r="E194" s="23" t="s">
        <v>3674</v>
      </c>
      <c r="F194" s="23" t="s">
        <v>40</v>
      </c>
      <c r="G194" s="23" t="s">
        <v>3768</v>
      </c>
      <c r="H194" s="23" t="s">
        <v>3769</v>
      </c>
      <c r="I194" s="23" t="s">
        <v>3770</v>
      </c>
      <c r="J194" s="23" t="s">
        <v>14</v>
      </c>
      <c r="K194" s="24" t="s">
        <v>386</v>
      </c>
      <c r="L194" s="23" t="s">
        <v>405</v>
      </c>
      <c r="M194" s="28" t="s">
        <v>16</v>
      </c>
      <c r="N194" s="23" t="s">
        <v>3698</v>
      </c>
      <c r="O194" s="29" t="s">
        <v>87</v>
      </c>
      <c r="P194" s="23" t="s">
        <v>40</v>
      </c>
      <c r="Q194" s="23" t="s">
        <v>40</v>
      </c>
      <c r="R194" s="23" t="s">
        <v>123</v>
      </c>
      <c r="S194" s="23" t="s">
        <v>40</v>
      </c>
      <c r="T194" s="23" t="s">
        <v>40</v>
      </c>
    </row>
    <row r="195" spans="1:20" x14ac:dyDescent="0.25">
      <c r="A195" s="23" t="s">
        <v>3771</v>
      </c>
      <c r="B195" s="23" t="s">
        <v>122</v>
      </c>
      <c r="C195" s="23" t="s">
        <v>3766</v>
      </c>
      <c r="D195" s="23" t="s">
        <v>3772</v>
      </c>
      <c r="E195" s="23" t="s">
        <v>3674</v>
      </c>
      <c r="F195" s="23" t="s">
        <v>40</v>
      </c>
      <c r="G195" s="23" t="s">
        <v>3773</v>
      </c>
      <c r="H195" s="23" t="s">
        <v>3774</v>
      </c>
      <c r="I195" s="23" t="s">
        <v>3775</v>
      </c>
      <c r="J195" s="23" t="s">
        <v>525</v>
      </c>
      <c r="K195" s="24" t="s">
        <v>386</v>
      </c>
      <c r="L195" s="23" t="s">
        <v>13</v>
      </c>
      <c r="M195" s="28" t="s">
        <v>16</v>
      </c>
      <c r="N195" s="23" t="s">
        <v>3698</v>
      </c>
      <c r="O195" s="29" t="s">
        <v>87</v>
      </c>
      <c r="P195" s="23" t="s">
        <v>40</v>
      </c>
      <c r="Q195" s="23" t="s">
        <v>40</v>
      </c>
      <c r="R195" s="23" t="s">
        <v>123</v>
      </c>
      <c r="S195" s="23" t="s">
        <v>3776</v>
      </c>
      <c r="T195" s="23" t="s">
        <v>40</v>
      </c>
    </row>
    <row r="196" spans="1:20" x14ac:dyDescent="0.25">
      <c r="A196" s="23" t="s">
        <v>3777</v>
      </c>
      <c r="B196" s="23" t="s">
        <v>122</v>
      </c>
      <c r="C196" s="23" t="s">
        <v>3766</v>
      </c>
      <c r="D196" s="23" t="s">
        <v>3778</v>
      </c>
      <c r="E196" s="23" t="s">
        <v>3674</v>
      </c>
      <c r="F196" s="23" t="s">
        <v>40</v>
      </c>
      <c r="G196" s="23" t="s">
        <v>3779</v>
      </c>
      <c r="H196" s="23" t="s">
        <v>3780</v>
      </c>
      <c r="I196" s="23" t="s">
        <v>3781</v>
      </c>
      <c r="J196" s="23" t="s">
        <v>14</v>
      </c>
      <c r="K196" s="26" t="s">
        <v>396</v>
      </c>
      <c r="L196" s="23" t="s">
        <v>13</v>
      </c>
      <c r="M196" s="28" t="s">
        <v>16</v>
      </c>
      <c r="N196" s="23" t="s">
        <v>3782</v>
      </c>
      <c r="O196" s="29" t="s">
        <v>87</v>
      </c>
      <c r="P196" s="23" t="s">
        <v>40</v>
      </c>
      <c r="Q196" s="23" t="s">
        <v>40</v>
      </c>
      <c r="R196" s="23" t="s">
        <v>123</v>
      </c>
      <c r="S196" s="23" t="s">
        <v>40</v>
      </c>
      <c r="T196" s="23" t="s">
        <v>40</v>
      </c>
    </row>
    <row r="197" spans="1:20" x14ac:dyDescent="0.25">
      <c r="A197" s="23" t="s">
        <v>3783</v>
      </c>
      <c r="B197" s="23" t="s">
        <v>122</v>
      </c>
      <c r="C197" s="23" t="s">
        <v>3766</v>
      </c>
      <c r="D197" s="23" t="s">
        <v>3784</v>
      </c>
      <c r="E197" s="23" t="s">
        <v>3674</v>
      </c>
      <c r="F197" s="23" t="s">
        <v>3785</v>
      </c>
      <c r="G197" s="23" t="s">
        <v>3786</v>
      </c>
      <c r="H197" s="23" t="s">
        <v>3787</v>
      </c>
      <c r="I197" s="23" t="s">
        <v>3788</v>
      </c>
      <c r="J197" s="23" t="s">
        <v>489</v>
      </c>
      <c r="K197" s="27" t="s">
        <v>404</v>
      </c>
      <c r="L197" s="23" t="s">
        <v>405</v>
      </c>
      <c r="M197" s="25" t="s">
        <v>18</v>
      </c>
      <c r="N197" s="23" t="s">
        <v>40</v>
      </c>
      <c r="O197" s="23" t="s">
        <v>387</v>
      </c>
      <c r="P197" s="23" t="s">
        <v>40</v>
      </c>
      <c r="Q197" s="23" t="s">
        <v>40</v>
      </c>
      <c r="R197" s="23" t="s">
        <v>123</v>
      </c>
      <c r="S197" s="23" t="s">
        <v>40</v>
      </c>
      <c r="T197" s="23" t="s">
        <v>40</v>
      </c>
    </row>
    <row r="198" spans="1:20" x14ac:dyDescent="0.25">
      <c r="A198" s="23" t="s">
        <v>3789</v>
      </c>
      <c r="B198" s="23" t="s">
        <v>122</v>
      </c>
      <c r="C198" s="23" t="s">
        <v>3766</v>
      </c>
      <c r="D198" s="23" t="s">
        <v>3790</v>
      </c>
      <c r="E198" s="23" t="s">
        <v>3674</v>
      </c>
      <c r="F198" s="23" t="s">
        <v>40</v>
      </c>
      <c r="G198" s="23" t="s">
        <v>3791</v>
      </c>
      <c r="H198" s="23" t="s">
        <v>3792</v>
      </c>
      <c r="I198" s="23" t="s">
        <v>3793</v>
      </c>
      <c r="J198" s="23" t="s">
        <v>14</v>
      </c>
      <c r="K198" s="27" t="s">
        <v>404</v>
      </c>
      <c r="L198" s="23" t="s">
        <v>490</v>
      </c>
      <c r="M198" s="25" t="s">
        <v>18</v>
      </c>
      <c r="N198" s="23" t="s">
        <v>40</v>
      </c>
      <c r="O198" s="23" t="s">
        <v>387</v>
      </c>
      <c r="P198" s="23" t="s">
        <v>40</v>
      </c>
      <c r="Q198" s="23" t="s">
        <v>40</v>
      </c>
      <c r="R198" s="23" t="s">
        <v>123</v>
      </c>
      <c r="S198" s="23" t="s">
        <v>40</v>
      </c>
      <c r="T198" s="23" t="s">
        <v>40</v>
      </c>
    </row>
    <row r="199" spans="1:20" x14ac:dyDescent="0.25">
      <c r="A199" s="23" t="s">
        <v>3794</v>
      </c>
      <c r="B199" s="23" t="s">
        <v>122</v>
      </c>
      <c r="C199" s="23" t="s">
        <v>3766</v>
      </c>
      <c r="D199" s="23" t="s">
        <v>3795</v>
      </c>
      <c r="E199" s="23" t="s">
        <v>3674</v>
      </c>
      <c r="F199" s="23" t="s">
        <v>40</v>
      </c>
      <c r="G199" s="23" t="s">
        <v>3796</v>
      </c>
      <c r="H199" s="23" t="s">
        <v>3797</v>
      </c>
      <c r="I199" s="23" t="s">
        <v>3798</v>
      </c>
      <c r="J199" s="23" t="s">
        <v>14</v>
      </c>
      <c r="K199" s="24" t="s">
        <v>386</v>
      </c>
      <c r="L199" s="23" t="s">
        <v>405</v>
      </c>
      <c r="M199" s="30" t="s">
        <v>19</v>
      </c>
      <c r="N199" s="23" t="s">
        <v>40</v>
      </c>
      <c r="O199" s="23" t="s">
        <v>387</v>
      </c>
      <c r="P199" s="23" t="s">
        <v>40</v>
      </c>
      <c r="Q199" s="23" t="s">
        <v>40</v>
      </c>
      <c r="R199" s="23" t="s">
        <v>123</v>
      </c>
      <c r="S199" s="23" t="s">
        <v>3799</v>
      </c>
      <c r="T199" s="23" t="s">
        <v>40</v>
      </c>
    </row>
    <row r="200" spans="1:20" x14ac:dyDescent="0.25">
      <c r="A200" s="23" t="s">
        <v>3800</v>
      </c>
      <c r="B200" s="23" t="s">
        <v>122</v>
      </c>
      <c r="C200" s="23" t="s">
        <v>3766</v>
      </c>
      <c r="D200" s="23" t="s">
        <v>3801</v>
      </c>
      <c r="E200" s="23" t="s">
        <v>3674</v>
      </c>
      <c r="F200" s="23" t="s">
        <v>40</v>
      </c>
      <c r="G200" s="23" t="s">
        <v>3802</v>
      </c>
      <c r="H200" s="23" t="s">
        <v>3803</v>
      </c>
      <c r="I200" s="23" t="s">
        <v>3804</v>
      </c>
      <c r="J200" s="23" t="s">
        <v>385</v>
      </c>
      <c r="K200" s="32" t="s">
        <v>747</v>
      </c>
      <c r="L200" s="23" t="s">
        <v>490</v>
      </c>
      <c r="M200" s="25" t="s">
        <v>18</v>
      </c>
      <c r="N200" s="23" t="s">
        <v>40</v>
      </c>
      <c r="O200" s="23" t="s">
        <v>387</v>
      </c>
      <c r="P200" s="23" t="s">
        <v>40</v>
      </c>
      <c r="Q200" s="23" t="s">
        <v>40</v>
      </c>
      <c r="R200" s="23" t="s">
        <v>123</v>
      </c>
      <c r="S200" s="23" t="s">
        <v>40</v>
      </c>
      <c r="T200" s="23" t="s">
        <v>40</v>
      </c>
    </row>
    <row r="201" spans="1:20" x14ac:dyDescent="0.25">
      <c r="A201" s="23" t="s">
        <v>3805</v>
      </c>
      <c r="B201" s="23" t="s">
        <v>122</v>
      </c>
      <c r="C201" s="23" t="s">
        <v>3806</v>
      </c>
      <c r="D201" s="23" t="s">
        <v>3807</v>
      </c>
      <c r="E201" s="23" t="s">
        <v>3674</v>
      </c>
      <c r="F201" s="23" t="s">
        <v>3808</v>
      </c>
      <c r="G201" s="23" t="s">
        <v>3809</v>
      </c>
      <c r="H201" s="23" t="s">
        <v>3810</v>
      </c>
      <c r="I201" s="23" t="s">
        <v>3811</v>
      </c>
      <c r="J201" s="23" t="s">
        <v>14</v>
      </c>
      <c r="K201" s="26" t="s">
        <v>396</v>
      </c>
      <c r="L201" s="23" t="s">
        <v>13</v>
      </c>
      <c r="M201" s="28" t="s">
        <v>16</v>
      </c>
      <c r="N201" s="23" t="s">
        <v>3698</v>
      </c>
      <c r="O201" s="29" t="s">
        <v>87</v>
      </c>
      <c r="P201" s="23" t="s">
        <v>40</v>
      </c>
      <c r="Q201" s="23" t="s">
        <v>40</v>
      </c>
      <c r="R201" s="23" t="s">
        <v>123</v>
      </c>
      <c r="S201" s="23" t="s">
        <v>40</v>
      </c>
      <c r="T201" s="23" t="s">
        <v>40</v>
      </c>
    </row>
    <row r="202" spans="1:20" x14ac:dyDescent="0.25">
      <c r="A202" s="23" t="s">
        <v>3812</v>
      </c>
      <c r="B202" s="23" t="s">
        <v>122</v>
      </c>
      <c r="C202" s="23" t="s">
        <v>3806</v>
      </c>
      <c r="D202" s="23" t="s">
        <v>3813</v>
      </c>
      <c r="E202" s="23" t="s">
        <v>3674</v>
      </c>
      <c r="F202" s="23" t="s">
        <v>40</v>
      </c>
      <c r="G202" s="23" t="s">
        <v>3814</v>
      </c>
      <c r="H202" s="23" t="s">
        <v>3815</v>
      </c>
      <c r="I202" s="23" t="s">
        <v>3816</v>
      </c>
      <c r="J202" s="23" t="s">
        <v>466</v>
      </c>
      <c r="K202" s="27" t="s">
        <v>404</v>
      </c>
      <c r="L202" s="23" t="s">
        <v>405</v>
      </c>
      <c r="M202" s="25" t="s">
        <v>18</v>
      </c>
      <c r="N202" s="23" t="s">
        <v>40</v>
      </c>
      <c r="O202" s="23" t="s">
        <v>387</v>
      </c>
      <c r="P202" s="23" t="s">
        <v>40</v>
      </c>
      <c r="Q202" s="23" t="s">
        <v>40</v>
      </c>
      <c r="R202" s="23" t="s">
        <v>123</v>
      </c>
      <c r="S202" s="23" t="s">
        <v>40</v>
      </c>
      <c r="T202" s="23" t="s">
        <v>40</v>
      </c>
    </row>
    <row r="203" spans="1:20" x14ac:dyDescent="0.25">
      <c r="A203" s="23" t="s">
        <v>3817</v>
      </c>
      <c r="B203" s="23" t="s">
        <v>122</v>
      </c>
      <c r="C203" s="23" t="s">
        <v>3806</v>
      </c>
      <c r="D203" s="23" t="s">
        <v>3818</v>
      </c>
      <c r="E203" s="23" t="s">
        <v>3674</v>
      </c>
      <c r="F203" s="23" t="s">
        <v>40</v>
      </c>
      <c r="G203" s="23" t="s">
        <v>3819</v>
      </c>
      <c r="H203" s="23" t="s">
        <v>3820</v>
      </c>
      <c r="I203" s="23" t="s">
        <v>3821</v>
      </c>
      <c r="J203" s="23" t="s">
        <v>466</v>
      </c>
      <c r="K203" s="27" t="s">
        <v>404</v>
      </c>
      <c r="L203" s="23" t="s">
        <v>490</v>
      </c>
      <c r="M203" s="25" t="s">
        <v>18</v>
      </c>
      <c r="N203" s="23" t="s">
        <v>40</v>
      </c>
      <c r="O203" s="23" t="s">
        <v>387</v>
      </c>
      <c r="P203" s="23" t="s">
        <v>40</v>
      </c>
      <c r="Q203" s="23" t="s">
        <v>40</v>
      </c>
      <c r="R203" s="23" t="s">
        <v>123</v>
      </c>
      <c r="S203" s="23" t="s">
        <v>40</v>
      </c>
      <c r="T203" s="23" t="s">
        <v>40</v>
      </c>
    </row>
    <row r="204" spans="1:20" x14ac:dyDescent="0.25">
      <c r="A204" s="23" t="s">
        <v>3822</v>
      </c>
      <c r="B204" s="23" t="s">
        <v>122</v>
      </c>
      <c r="C204" s="23" t="s">
        <v>3806</v>
      </c>
      <c r="D204" s="23" t="s">
        <v>3823</v>
      </c>
      <c r="E204" s="23" t="s">
        <v>3674</v>
      </c>
      <c r="F204" s="23" t="s">
        <v>40</v>
      </c>
      <c r="G204" s="23" t="s">
        <v>3824</v>
      </c>
      <c r="H204" s="23" t="s">
        <v>3825</v>
      </c>
      <c r="I204" s="23" t="s">
        <v>3826</v>
      </c>
      <c r="J204" s="23" t="s">
        <v>14</v>
      </c>
      <c r="K204" s="27" t="s">
        <v>404</v>
      </c>
      <c r="L204" s="23" t="s">
        <v>490</v>
      </c>
      <c r="M204" s="25" t="s">
        <v>18</v>
      </c>
      <c r="N204" s="23" t="s">
        <v>40</v>
      </c>
      <c r="O204" s="23" t="s">
        <v>387</v>
      </c>
      <c r="P204" s="23" t="s">
        <v>40</v>
      </c>
      <c r="Q204" s="23" t="s">
        <v>40</v>
      </c>
      <c r="R204" s="23" t="s">
        <v>123</v>
      </c>
      <c r="S204" s="23" t="s">
        <v>40</v>
      </c>
      <c r="T204" s="23" t="s">
        <v>40</v>
      </c>
    </row>
    <row r="205" spans="1:20" x14ac:dyDescent="0.25">
      <c r="A205" s="23" t="s">
        <v>3827</v>
      </c>
      <c r="B205" s="23" t="s">
        <v>122</v>
      </c>
      <c r="C205" s="23" t="s">
        <v>3806</v>
      </c>
      <c r="D205" s="23" t="s">
        <v>3828</v>
      </c>
      <c r="E205" s="23" t="s">
        <v>3674</v>
      </c>
      <c r="F205" s="23" t="s">
        <v>40</v>
      </c>
      <c r="G205" s="23" t="s">
        <v>3829</v>
      </c>
      <c r="H205" s="23" t="s">
        <v>3830</v>
      </c>
      <c r="I205" s="23" t="s">
        <v>3831</v>
      </c>
      <c r="J205" s="23" t="s">
        <v>801</v>
      </c>
      <c r="K205" s="27" t="s">
        <v>404</v>
      </c>
      <c r="L205" s="23" t="s">
        <v>490</v>
      </c>
      <c r="M205" s="25" t="s">
        <v>18</v>
      </c>
      <c r="N205" s="23" t="s">
        <v>40</v>
      </c>
      <c r="O205" s="23" t="s">
        <v>387</v>
      </c>
      <c r="P205" s="23" t="s">
        <v>40</v>
      </c>
      <c r="Q205" s="23" t="s">
        <v>40</v>
      </c>
      <c r="R205" s="23" t="s">
        <v>123</v>
      </c>
      <c r="S205" s="23" t="s">
        <v>40</v>
      </c>
      <c r="T205" s="23" t="s">
        <v>40</v>
      </c>
    </row>
    <row r="206" spans="1:20" x14ac:dyDescent="0.25">
      <c r="A206" s="23" t="s">
        <v>3832</v>
      </c>
      <c r="B206" s="23" t="s">
        <v>142</v>
      </c>
      <c r="C206" s="23" t="s">
        <v>3833</v>
      </c>
      <c r="D206" s="23" t="s">
        <v>3834</v>
      </c>
      <c r="E206" s="23" t="s">
        <v>3835</v>
      </c>
      <c r="F206" s="23" t="s">
        <v>40</v>
      </c>
      <c r="G206" s="23" t="s">
        <v>3836</v>
      </c>
      <c r="H206" s="23" t="s">
        <v>3837</v>
      </c>
      <c r="I206" s="23" t="s">
        <v>3838</v>
      </c>
      <c r="J206" s="23" t="s">
        <v>385</v>
      </c>
      <c r="K206" s="24" t="s">
        <v>386</v>
      </c>
      <c r="L206" s="23" t="s">
        <v>13</v>
      </c>
      <c r="M206" s="31" t="s">
        <v>17</v>
      </c>
      <c r="N206" s="23" t="s">
        <v>3839</v>
      </c>
      <c r="O206" s="29" t="s">
        <v>87</v>
      </c>
      <c r="P206" s="23" t="s">
        <v>40</v>
      </c>
      <c r="Q206" s="23" t="s">
        <v>40</v>
      </c>
      <c r="R206" s="23" t="s">
        <v>143</v>
      </c>
      <c r="S206" s="23" t="s">
        <v>40</v>
      </c>
      <c r="T206" s="23" t="s">
        <v>40</v>
      </c>
    </row>
    <row r="207" spans="1:20" x14ac:dyDescent="0.25">
      <c r="A207" s="23" t="s">
        <v>3840</v>
      </c>
      <c r="B207" s="23" t="s">
        <v>142</v>
      </c>
      <c r="C207" s="23" t="s">
        <v>3833</v>
      </c>
      <c r="D207" s="23" t="s">
        <v>3841</v>
      </c>
      <c r="E207" s="23" t="s">
        <v>3835</v>
      </c>
      <c r="F207" s="23" t="s">
        <v>3842</v>
      </c>
      <c r="G207" s="23" t="s">
        <v>3843</v>
      </c>
      <c r="H207" s="23" t="s">
        <v>3844</v>
      </c>
      <c r="I207" s="23" t="s">
        <v>3845</v>
      </c>
      <c r="J207" s="23" t="s">
        <v>14</v>
      </c>
      <c r="K207" s="26" t="s">
        <v>396</v>
      </c>
      <c r="L207" s="23" t="s">
        <v>13</v>
      </c>
      <c r="M207" s="28" t="s">
        <v>16</v>
      </c>
      <c r="N207" s="23" t="s">
        <v>3782</v>
      </c>
      <c r="O207" s="29" t="s">
        <v>87</v>
      </c>
      <c r="P207" s="23" t="s">
        <v>40</v>
      </c>
      <c r="Q207" s="23" t="s">
        <v>40</v>
      </c>
      <c r="R207" s="23" t="s">
        <v>143</v>
      </c>
      <c r="S207" s="23" t="s">
        <v>40</v>
      </c>
      <c r="T207" s="23" t="s">
        <v>40</v>
      </c>
    </row>
    <row r="208" spans="1:20" x14ac:dyDescent="0.25">
      <c r="A208" s="23" t="s">
        <v>3846</v>
      </c>
      <c r="B208" s="23" t="s">
        <v>142</v>
      </c>
      <c r="C208" s="23" t="s">
        <v>3833</v>
      </c>
      <c r="D208" s="23" t="s">
        <v>3847</v>
      </c>
      <c r="E208" s="23" t="s">
        <v>3835</v>
      </c>
      <c r="F208" s="23" t="s">
        <v>40</v>
      </c>
      <c r="G208" s="23" t="s">
        <v>3848</v>
      </c>
      <c r="H208" s="23" t="s">
        <v>3849</v>
      </c>
      <c r="I208" s="23" t="s">
        <v>3850</v>
      </c>
      <c r="J208" s="23" t="s">
        <v>466</v>
      </c>
      <c r="K208" s="27" t="s">
        <v>404</v>
      </c>
      <c r="L208" s="23" t="s">
        <v>405</v>
      </c>
      <c r="M208" s="25" t="s">
        <v>18</v>
      </c>
      <c r="N208" s="23" t="s">
        <v>40</v>
      </c>
      <c r="O208" s="23" t="s">
        <v>387</v>
      </c>
      <c r="P208" s="23" t="s">
        <v>40</v>
      </c>
      <c r="Q208" s="23" t="s">
        <v>40</v>
      </c>
      <c r="R208" s="23" t="s">
        <v>143</v>
      </c>
      <c r="S208" s="23" t="s">
        <v>40</v>
      </c>
      <c r="T208" s="23" t="s">
        <v>40</v>
      </c>
    </row>
    <row r="209" spans="1:20" x14ac:dyDescent="0.25">
      <c r="A209" s="23" t="s">
        <v>3851</v>
      </c>
      <c r="B209" s="23" t="s">
        <v>142</v>
      </c>
      <c r="C209" s="23" t="s">
        <v>3833</v>
      </c>
      <c r="D209" s="23" t="s">
        <v>3852</v>
      </c>
      <c r="E209" s="23" t="s">
        <v>3835</v>
      </c>
      <c r="F209" s="23" t="s">
        <v>40</v>
      </c>
      <c r="G209" s="23" t="s">
        <v>3853</v>
      </c>
      <c r="H209" s="23" t="s">
        <v>3854</v>
      </c>
      <c r="I209" s="23" t="s">
        <v>3855</v>
      </c>
      <c r="J209" s="23" t="s">
        <v>466</v>
      </c>
      <c r="K209" s="27" t="s">
        <v>404</v>
      </c>
      <c r="L209" s="23" t="s">
        <v>405</v>
      </c>
      <c r="M209" s="25" t="s">
        <v>18</v>
      </c>
      <c r="N209" s="23" t="s">
        <v>40</v>
      </c>
      <c r="O209" s="23" t="s">
        <v>387</v>
      </c>
      <c r="P209" s="23" t="s">
        <v>40</v>
      </c>
      <c r="Q209" s="23" t="s">
        <v>40</v>
      </c>
      <c r="R209" s="23" t="s">
        <v>143</v>
      </c>
      <c r="S209" s="23" t="s">
        <v>40</v>
      </c>
      <c r="T209" s="23" t="s">
        <v>40</v>
      </c>
    </row>
    <row r="210" spans="1:20" x14ac:dyDescent="0.25">
      <c r="A210" s="23" t="s">
        <v>3856</v>
      </c>
      <c r="B210" s="23" t="s">
        <v>142</v>
      </c>
      <c r="C210" s="23" t="s">
        <v>3833</v>
      </c>
      <c r="D210" s="23" t="s">
        <v>3857</v>
      </c>
      <c r="E210" s="23" t="s">
        <v>3835</v>
      </c>
      <c r="F210" s="23" t="s">
        <v>40</v>
      </c>
      <c r="G210" s="23" t="s">
        <v>3858</v>
      </c>
      <c r="H210" s="23" t="s">
        <v>3859</v>
      </c>
      <c r="I210" s="23" t="s">
        <v>3860</v>
      </c>
      <c r="J210" s="23" t="s">
        <v>15</v>
      </c>
      <c r="K210" s="24" t="s">
        <v>386</v>
      </c>
      <c r="L210" s="23" t="s">
        <v>13</v>
      </c>
      <c r="M210" s="25" t="s">
        <v>18</v>
      </c>
      <c r="N210" s="23" t="s">
        <v>40</v>
      </c>
      <c r="O210" s="23" t="s">
        <v>387</v>
      </c>
      <c r="P210" s="23" t="s">
        <v>40</v>
      </c>
      <c r="Q210" s="23" t="s">
        <v>40</v>
      </c>
      <c r="R210" s="23" t="s">
        <v>143</v>
      </c>
      <c r="S210" s="23" t="s">
        <v>3861</v>
      </c>
      <c r="T210" s="23" t="s">
        <v>40</v>
      </c>
    </row>
    <row r="211" spans="1:20" x14ac:dyDescent="0.25">
      <c r="A211" s="23" t="s">
        <v>3862</v>
      </c>
      <c r="B211" s="23" t="s">
        <v>142</v>
      </c>
      <c r="C211" s="23" t="s">
        <v>3833</v>
      </c>
      <c r="D211" s="23" t="s">
        <v>3863</v>
      </c>
      <c r="E211" s="23" t="s">
        <v>3835</v>
      </c>
      <c r="F211" s="23" t="s">
        <v>40</v>
      </c>
      <c r="G211" s="23" t="s">
        <v>3864</v>
      </c>
      <c r="H211" s="23" t="s">
        <v>3865</v>
      </c>
      <c r="I211" s="23" t="s">
        <v>3866</v>
      </c>
      <c r="J211" s="23" t="s">
        <v>14</v>
      </c>
      <c r="K211" s="27" t="s">
        <v>404</v>
      </c>
      <c r="L211" s="23" t="s">
        <v>490</v>
      </c>
      <c r="M211" s="25" t="s">
        <v>18</v>
      </c>
      <c r="N211" s="23" t="s">
        <v>40</v>
      </c>
      <c r="O211" s="23" t="s">
        <v>387</v>
      </c>
      <c r="P211" s="23" t="s">
        <v>40</v>
      </c>
      <c r="Q211" s="23" t="s">
        <v>40</v>
      </c>
      <c r="R211" s="23" t="s">
        <v>143</v>
      </c>
      <c r="S211" s="23" t="s">
        <v>40</v>
      </c>
      <c r="T211" s="23" t="s">
        <v>40</v>
      </c>
    </row>
    <row r="212" spans="1:20" x14ac:dyDescent="0.25">
      <c r="A212" s="23" t="s">
        <v>3867</v>
      </c>
      <c r="B212" s="23" t="s">
        <v>142</v>
      </c>
      <c r="C212" s="23" t="s">
        <v>3833</v>
      </c>
      <c r="D212" s="23" t="s">
        <v>3868</v>
      </c>
      <c r="E212" s="23" t="s">
        <v>3835</v>
      </c>
      <c r="F212" s="23" t="s">
        <v>40</v>
      </c>
      <c r="G212" s="23" t="s">
        <v>3869</v>
      </c>
      <c r="H212" s="23" t="s">
        <v>3870</v>
      </c>
      <c r="I212" s="23" t="s">
        <v>3871</v>
      </c>
      <c r="J212" s="23" t="s">
        <v>489</v>
      </c>
      <c r="K212" s="27" t="s">
        <v>404</v>
      </c>
      <c r="L212" s="23" t="s">
        <v>490</v>
      </c>
      <c r="M212" s="25" t="s">
        <v>18</v>
      </c>
      <c r="N212" s="23" t="s">
        <v>40</v>
      </c>
      <c r="O212" s="23" t="s">
        <v>387</v>
      </c>
      <c r="P212" s="23" t="s">
        <v>40</v>
      </c>
      <c r="Q212" s="23" t="s">
        <v>40</v>
      </c>
      <c r="R212" s="23" t="s">
        <v>143</v>
      </c>
      <c r="S212" s="23" t="s">
        <v>40</v>
      </c>
      <c r="T212" s="23" t="s">
        <v>40</v>
      </c>
    </row>
    <row r="213" spans="1:20" x14ac:dyDescent="0.25">
      <c r="A213" s="23" t="s">
        <v>3872</v>
      </c>
      <c r="B213" s="23" t="s">
        <v>142</v>
      </c>
      <c r="C213" s="23" t="s">
        <v>3833</v>
      </c>
      <c r="D213" s="23" t="s">
        <v>3873</v>
      </c>
      <c r="E213" s="23" t="s">
        <v>3835</v>
      </c>
      <c r="F213" s="23" t="s">
        <v>40</v>
      </c>
      <c r="G213" s="23" t="s">
        <v>3874</v>
      </c>
      <c r="H213" s="23" t="s">
        <v>3875</v>
      </c>
      <c r="I213" s="23" t="s">
        <v>3876</v>
      </c>
      <c r="J213" s="23" t="s">
        <v>14</v>
      </c>
      <c r="K213" s="27" t="s">
        <v>404</v>
      </c>
      <c r="L213" s="23" t="s">
        <v>490</v>
      </c>
      <c r="M213" s="25" t="s">
        <v>18</v>
      </c>
      <c r="N213" s="23" t="s">
        <v>40</v>
      </c>
      <c r="O213" s="23" t="s">
        <v>387</v>
      </c>
      <c r="P213" s="23" t="s">
        <v>40</v>
      </c>
      <c r="Q213" s="23" t="s">
        <v>40</v>
      </c>
      <c r="R213" s="23" t="s">
        <v>143</v>
      </c>
      <c r="S213" s="23" t="s">
        <v>40</v>
      </c>
      <c r="T213" s="23" t="s">
        <v>40</v>
      </c>
    </row>
    <row r="214" spans="1:20" x14ac:dyDescent="0.25">
      <c r="A214" s="23" t="s">
        <v>3877</v>
      </c>
      <c r="B214" s="23" t="s">
        <v>142</v>
      </c>
      <c r="C214" s="23" t="s">
        <v>3833</v>
      </c>
      <c r="D214" s="23" t="s">
        <v>3878</v>
      </c>
      <c r="E214" s="23" t="s">
        <v>3835</v>
      </c>
      <c r="F214" s="23" t="s">
        <v>40</v>
      </c>
      <c r="G214" s="23" t="s">
        <v>3879</v>
      </c>
      <c r="H214" s="23" t="s">
        <v>3880</v>
      </c>
      <c r="I214" s="23" t="s">
        <v>3881</v>
      </c>
      <c r="J214" s="23" t="s">
        <v>14</v>
      </c>
      <c r="K214" s="27" t="s">
        <v>404</v>
      </c>
      <c r="L214" s="23" t="s">
        <v>490</v>
      </c>
      <c r="M214" s="25" t="s">
        <v>18</v>
      </c>
      <c r="N214" s="23" t="s">
        <v>40</v>
      </c>
      <c r="O214" s="23" t="s">
        <v>387</v>
      </c>
      <c r="P214" s="23" t="s">
        <v>40</v>
      </c>
      <c r="Q214" s="23" t="s">
        <v>40</v>
      </c>
      <c r="R214" s="23" t="s">
        <v>143</v>
      </c>
      <c r="S214" s="23" t="s">
        <v>40</v>
      </c>
      <c r="T214" s="23" t="s">
        <v>40</v>
      </c>
    </row>
    <row r="215" spans="1:20" x14ac:dyDescent="0.25">
      <c r="A215" s="23" t="s">
        <v>3882</v>
      </c>
      <c r="B215" s="23" t="s">
        <v>142</v>
      </c>
      <c r="C215" s="23" t="s">
        <v>3833</v>
      </c>
      <c r="D215" s="23" t="s">
        <v>3883</v>
      </c>
      <c r="E215" s="23" t="s">
        <v>3835</v>
      </c>
      <c r="F215" s="23" t="s">
        <v>40</v>
      </c>
      <c r="G215" s="23" t="s">
        <v>3884</v>
      </c>
      <c r="H215" s="23" t="s">
        <v>3885</v>
      </c>
      <c r="I215" s="23" t="s">
        <v>3886</v>
      </c>
      <c r="J215" s="23" t="s">
        <v>15</v>
      </c>
      <c r="K215" s="27" t="s">
        <v>404</v>
      </c>
      <c r="L215" s="23" t="s">
        <v>405</v>
      </c>
      <c r="M215" s="25" t="s">
        <v>18</v>
      </c>
      <c r="N215" s="23" t="s">
        <v>40</v>
      </c>
      <c r="O215" s="23" t="s">
        <v>387</v>
      </c>
      <c r="P215" s="23" t="s">
        <v>40</v>
      </c>
      <c r="Q215" s="23" t="s">
        <v>40</v>
      </c>
      <c r="R215" s="23" t="s">
        <v>143</v>
      </c>
      <c r="S215" s="23" t="s">
        <v>40</v>
      </c>
      <c r="T215" s="23" t="s">
        <v>40</v>
      </c>
    </row>
    <row r="216" spans="1:20" x14ac:dyDescent="0.25">
      <c r="A216" s="23" t="s">
        <v>3887</v>
      </c>
      <c r="B216" s="23" t="s">
        <v>142</v>
      </c>
      <c r="C216" s="23" t="s">
        <v>3833</v>
      </c>
      <c r="D216" s="23" t="s">
        <v>3888</v>
      </c>
      <c r="E216" s="23" t="s">
        <v>3835</v>
      </c>
      <c r="F216" s="23" t="s">
        <v>40</v>
      </c>
      <c r="G216" s="23" t="s">
        <v>3889</v>
      </c>
      <c r="H216" s="23" t="s">
        <v>3890</v>
      </c>
      <c r="I216" s="23" t="s">
        <v>3891</v>
      </c>
      <c r="J216" s="23" t="s">
        <v>14</v>
      </c>
      <c r="K216" s="27" t="s">
        <v>404</v>
      </c>
      <c r="L216" s="23" t="s">
        <v>490</v>
      </c>
      <c r="M216" s="25" t="s">
        <v>18</v>
      </c>
      <c r="N216" s="23" t="s">
        <v>40</v>
      </c>
      <c r="O216" s="23" t="s">
        <v>387</v>
      </c>
      <c r="P216" s="23" t="s">
        <v>40</v>
      </c>
      <c r="Q216" s="23" t="s">
        <v>40</v>
      </c>
      <c r="R216" s="23" t="s">
        <v>143</v>
      </c>
      <c r="S216" s="23" t="s">
        <v>40</v>
      </c>
      <c r="T216" s="23" t="s">
        <v>40</v>
      </c>
    </row>
    <row r="217" spans="1:20" x14ac:dyDescent="0.25">
      <c r="A217" s="23" t="s">
        <v>3892</v>
      </c>
      <c r="B217" s="23" t="s">
        <v>142</v>
      </c>
      <c r="C217" s="23" t="s">
        <v>3833</v>
      </c>
      <c r="D217" s="23" t="s">
        <v>3893</v>
      </c>
      <c r="E217" s="23" t="s">
        <v>3835</v>
      </c>
      <c r="F217" s="23" t="s">
        <v>40</v>
      </c>
      <c r="G217" s="23" t="s">
        <v>3894</v>
      </c>
      <c r="H217" s="23" t="s">
        <v>3895</v>
      </c>
      <c r="I217" s="23" t="s">
        <v>3896</v>
      </c>
      <c r="J217" s="23" t="s">
        <v>801</v>
      </c>
      <c r="K217" s="24" t="s">
        <v>386</v>
      </c>
      <c r="L217" s="23" t="s">
        <v>405</v>
      </c>
      <c r="M217" s="25" t="s">
        <v>18</v>
      </c>
      <c r="N217" s="23" t="s">
        <v>40</v>
      </c>
      <c r="O217" s="23" t="s">
        <v>387</v>
      </c>
      <c r="P217" s="23" t="s">
        <v>40</v>
      </c>
      <c r="Q217" s="23" t="s">
        <v>40</v>
      </c>
      <c r="R217" s="23" t="s">
        <v>143</v>
      </c>
      <c r="S217" s="23" t="s">
        <v>40</v>
      </c>
      <c r="T217" s="23" t="s">
        <v>3897</v>
      </c>
    </row>
    <row r="218" spans="1:20" x14ac:dyDescent="0.25">
      <c r="A218" s="23" t="s">
        <v>3898</v>
      </c>
      <c r="B218" s="23" t="s">
        <v>125</v>
      </c>
      <c r="C218" s="23" t="s">
        <v>944</v>
      </c>
      <c r="D218" s="23" t="s">
        <v>3899</v>
      </c>
      <c r="E218" s="23" t="s">
        <v>3900</v>
      </c>
      <c r="F218" s="23" t="s">
        <v>40</v>
      </c>
      <c r="G218" s="23" t="s">
        <v>3901</v>
      </c>
      <c r="H218" s="23" t="s">
        <v>3902</v>
      </c>
      <c r="I218" s="23" t="s">
        <v>3903</v>
      </c>
      <c r="J218" s="23" t="s">
        <v>385</v>
      </c>
      <c r="K218" s="24" t="s">
        <v>386</v>
      </c>
      <c r="L218" s="23" t="s">
        <v>13</v>
      </c>
      <c r="M218" s="31" t="s">
        <v>17</v>
      </c>
      <c r="N218" s="23" t="s">
        <v>3904</v>
      </c>
      <c r="O218" s="29" t="s">
        <v>87</v>
      </c>
      <c r="P218" s="23" t="s">
        <v>40</v>
      </c>
      <c r="Q218" s="23" t="s">
        <v>40</v>
      </c>
      <c r="R218" s="23" t="s">
        <v>126</v>
      </c>
      <c r="S218" s="23" t="s">
        <v>40</v>
      </c>
      <c r="T218" s="23" t="s">
        <v>40</v>
      </c>
    </row>
    <row r="219" spans="1:20" x14ac:dyDescent="0.25">
      <c r="A219" s="23" t="s">
        <v>3905</v>
      </c>
      <c r="B219" s="23" t="s">
        <v>125</v>
      </c>
      <c r="C219" s="23" t="s">
        <v>3906</v>
      </c>
      <c r="D219" s="23" t="s">
        <v>3907</v>
      </c>
      <c r="E219" s="23" t="s">
        <v>3900</v>
      </c>
      <c r="F219" s="23" t="s">
        <v>40</v>
      </c>
      <c r="G219" s="23" t="s">
        <v>3908</v>
      </c>
      <c r="H219" s="23" t="s">
        <v>3909</v>
      </c>
      <c r="I219" s="23" t="s">
        <v>3910</v>
      </c>
      <c r="J219" s="23" t="s">
        <v>14</v>
      </c>
      <c r="K219" s="26" t="s">
        <v>396</v>
      </c>
      <c r="L219" s="23" t="s">
        <v>13</v>
      </c>
      <c r="M219" s="28" t="s">
        <v>16</v>
      </c>
      <c r="N219" s="23" t="s">
        <v>3782</v>
      </c>
      <c r="O219" s="29" t="s">
        <v>87</v>
      </c>
      <c r="P219" s="23" t="s">
        <v>40</v>
      </c>
      <c r="Q219" s="23" t="s">
        <v>40</v>
      </c>
      <c r="R219" s="23" t="s">
        <v>126</v>
      </c>
      <c r="S219" s="23" t="s">
        <v>40</v>
      </c>
      <c r="T219" s="23" t="s">
        <v>40</v>
      </c>
    </row>
    <row r="220" spans="1:20" x14ac:dyDescent="0.25">
      <c r="A220" s="23" t="s">
        <v>3911</v>
      </c>
      <c r="B220" s="23" t="s">
        <v>125</v>
      </c>
      <c r="C220" s="23" t="s">
        <v>3906</v>
      </c>
      <c r="D220" s="23" t="s">
        <v>3912</v>
      </c>
      <c r="E220" s="23" t="s">
        <v>3900</v>
      </c>
      <c r="F220" s="23" t="s">
        <v>40</v>
      </c>
      <c r="G220" s="23" t="s">
        <v>3913</v>
      </c>
      <c r="H220" s="23" t="s">
        <v>3914</v>
      </c>
      <c r="I220" s="23" t="s">
        <v>3915</v>
      </c>
      <c r="J220" s="23" t="s">
        <v>14</v>
      </c>
      <c r="K220" s="24" t="s">
        <v>386</v>
      </c>
      <c r="L220" s="23" t="s">
        <v>405</v>
      </c>
      <c r="M220" s="28" t="s">
        <v>16</v>
      </c>
      <c r="N220" s="23" t="s">
        <v>3782</v>
      </c>
      <c r="O220" s="29" t="s">
        <v>87</v>
      </c>
      <c r="P220" s="23" t="s">
        <v>40</v>
      </c>
      <c r="Q220" s="23" t="s">
        <v>40</v>
      </c>
      <c r="R220" s="23" t="s">
        <v>126</v>
      </c>
      <c r="S220" s="23" t="s">
        <v>40</v>
      </c>
      <c r="T220" s="23" t="s">
        <v>40</v>
      </c>
    </row>
    <row r="221" spans="1:20" x14ac:dyDescent="0.25">
      <c r="A221" s="23" t="s">
        <v>3916</v>
      </c>
      <c r="B221" s="23" t="s">
        <v>125</v>
      </c>
      <c r="C221" s="23" t="s">
        <v>3906</v>
      </c>
      <c r="D221" s="23" t="s">
        <v>3917</v>
      </c>
      <c r="E221" s="23" t="s">
        <v>3900</v>
      </c>
      <c r="F221" s="23" t="s">
        <v>40</v>
      </c>
      <c r="G221" s="23" t="s">
        <v>3918</v>
      </c>
      <c r="H221" s="23" t="s">
        <v>3919</v>
      </c>
      <c r="I221" s="23" t="s">
        <v>3920</v>
      </c>
      <c r="J221" s="23" t="s">
        <v>385</v>
      </c>
      <c r="K221" s="27" t="s">
        <v>404</v>
      </c>
      <c r="L221" s="23" t="s">
        <v>405</v>
      </c>
      <c r="M221" s="25" t="s">
        <v>18</v>
      </c>
      <c r="N221" s="23" t="s">
        <v>40</v>
      </c>
      <c r="O221" s="23" t="s">
        <v>387</v>
      </c>
      <c r="P221" s="23" t="s">
        <v>40</v>
      </c>
      <c r="Q221" s="23" t="s">
        <v>40</v>
      </c>
      <c r="R221" s="23" t="s">
        <v>126</v>
      </c>
      <c r="S221" s="23" t="s">
        <v>40</v>
      </c>
      <c r="T221" s="23" t="s">
        <v>40</v>
      </c>
    </row>
    <row r="222" spans="1:20" x14ac:dyDescent="0.25">
      <c r="A222" s="23" t="s">
        <v>3921</v>
      </c>
      <c r="B222" s="23" t="s">
        <v>125</v>
      </c>
      <c r="C222" s="23" t="s">
        <v>3906</v>
      </c>
      <c r="D222" s="23" t="s">
        <v>3922</v>
      </c>
      <c r="E222" s="23" t="s">
        <v>3900</v>
      </c>
      <c r="F222" s="23" t="s">
        <v>40</v>
      </c>
      <c r="G222" s="23" t="s">
        <v>3923</v>
      </c>
      <c r="H222" s="23" t="s">
        <v>3924</v>
      </c>
      <c r="I222" s="23" t="s">
        <v>3925</v>
      </c>
      <c r="J222" s="23" t="s">
        <v>466</v>
      </c>
      <c r="K222" s="27" t="s">
        <v>404</v>
      </c>
      <c r="L222" s="23" t="s">
        <v>405</v>
      </c>
      <c r="M222" s="25" t="s">
        <v>18</v>
      </c>
      <c r="N222" s="23" t="s">
        <v>40</v>
      </c>
      <c r="O222" s="23" t="s">
        <v>387</v>
      </c>
      <c r="P222" s="23" t="s">
        <v>40</v>
      </c>
      <c r="Q222" s="23" t="s">
        <v>40</v>
      </c>
      <c r="R222" s="23" t="s">
        <v>126</v>
      </c>
      <c r="S222" s="23" t="s">
        <v>3926</v>
      </c>
      <c r="T222" s="23" t="s">
        <v>40</v>
      </c>
    </row>
    <row r="223" spans="1:20" x14ac:dyDescent="0.25">
      <c r="A223" s="23" t="s">
        <v>3927</v>
      </c>
      <c r="B223" s="23" t="s">
        <v>125</v>
      </c>
      <c r="C223" s="23" t="s">
        <v>3906</v>
      </c>
      <c r="D223" s="23" t="s">
        <v>3928</v>
      </c>
      <c r="E223" s="23" t="s">
        <v>3900</v>
      </c>
      <c r="F223" s="23" t="s">
        <v>40</v>
      </c>
      <c r="G223" s="23" t="s">
        <v>3929</v>
      </c>
      <c r="H223" s="23" t="s">
        <v>3930</v>
      </c>
      <c r="I223" s="23" t="s">
        <v>3931</v>
      </c>
      <c r="J223" s="23" t="s">
        <v>466</v>
      </c>
      <c r="K223" s="24" t="s">
        <v>386</v>
      </c>
      <c r="L223" s="23" t="s">
        <v>13</v>
      </c>
      <c r="M223" s="25" t="s">
        <v>18</v>
      </c>
      <c r="N223" s="23" t="s">
        <v>40</v>
      </c>
      <c r="O223" s="23" t="s">
        <v>387</v>
      </c>
      <c r="P223" s="23" t="s">
        <v>40</v>
      </c>
      <c r="Q223" s="23" t="s">
        <v>40</v>
      </c>
      <c r="R223" s="23" t="s">
        <v>126</v>
      </c>
      <c r="S223" s="23" t="s">
        <v>40</v>
      </c>
      <c r="T223" s="23" t="s">
        <v>40</v>
      </c>
    </row>
    <row r="224" spans="1:20" x14ac:dyDescent="0.25">
      <c r="A224" s="23" t="s">
        <v>3932</v>
      </c>
      <c r="B224" s="23" t="s">
        <v>125</v>
      </c>
      <c r="C224" s="23" t="s">
        <v>3906</v>
      </c>
      <c r="D224" s="23" t="s">
        <v>3933</v>
      </c>
      <c r="E224" s="23" t="s">
        <v>3900</v>
      </c>
      <c r="F224" s="23" t="s">
        <v>40</v>
      </c>
      <c r="G224" s="23" t="s">
        <v>3934</v>
      </c>
      <c r="H224" s="23" t="s">
        <v>3935</v>
      </c>
      <c r="I224" s="23" t="s">
        <v>3936</v>
      </c>
      <c r="J224" s="23" t="s">
        <v>466</v>
      </c>
      <c r="K224" s="24" t="s">
        <v>386</v>
      </c>
      <c r="L224" s="23" t="s">
        <v>13</v>
      </c>
      <c r="M224" s="25" t="s">
        <v>18</v>
      </c>
      <c r="N224" s="23" t="s">
        <v>40</v>
      </c>
      <c r="O224" s="23" t="s">
        <v>387</v>
      </c>
      <c r="P224" s="23" t="s">
        <v>40</v>
      </c>
      <c r="Q224" s="23" t="s">
        <v>40</v>
      </c>
      <c r="R224" s="23" t="s">
        <v>126</v>
      </c>
      <c r="S224" s="23" t="s">
        <v>40</v>
      </c>
      <c r="T224" s="23" t="s">
        <v>40</v>
      </c>
    </row>
    <row r="225" spans="1:20" x14ac:dyDescent="0.25">
      <c r="A225" s="23" t="s">
        <v>3937</v>
      </c>
      <c r="B225" s="23" t="s">
        <v>125</v>
      </c>
      <c r="C225" s="23" t="s">
        <v>3906</v>
      </c>
      <c r="D225" s="23" t="s">
        <v>3938</v>
      </c>
      <c r="E225" s="23" t="s">
        <v>3900</v>
      </c>
      <c r="F225" s="23" t="s">
        <v>40</v>
      </c>
      <c r="G225" s="23" t="s">
        <v>3939</v>
      </c>
      <c r="H225" s="23" t="s">
        <v>3940</v>
      </c>
      <c r="I225" s="23" t="s">
        <v>3941</v>
      </c>
      <c r="J225" s="23" t="s">
        <v>466</v>
      </c>
      <c r="K225" s="24" t="s">
        <v>386</v>
      </c>
      <c r="L225" s="23" t="s">
        <v>13</v>
      </c>
      <c r="M225" s="25" t="s">
        <v>18</v>
      </c>
      <c r="N225" s="23" t="s">
        <v>40</v>
      </c>
      <c r="O225" s="23" t="s">
        <v>387</v>
      </c>
      <c r="P225" s="23" t="s">
        <v>40</v>
      </c>
      <c r="Q225" s="23" t="s">
        <v>40</v>
      </c>
      <c r="R225" s="23" t="s">
        <v>126</v>
      </c>
      <c r="S225" s="23" t="s">
        <v>40</v>
      </c>
      <c r="T225" s="23" t="s">
        <v>40</v>
      </c>
    </row>
    <row r="226" spans="1:20" x14ac:dyDescent="0.25">
      <c r="A226" s="23" t="s">
        <v>3942</v>
      </c>
      <c r="B226" s="23" t="s">
        <v>125</v>
      </c>
      <c r="C226" s="23" t="s">
        <v>3906</v>
      </c>
      <c r="D226" s="23" t="s">
        <v>3943</v>
      </c>
      <c r="E226" s="23" t="s">
        <v>3900</v>
      </c>
      <c r="F226" s="23" t="s">
        <v>40</v>
      </c>
      <c r="G226" s="23" t="s">
        <v>3944</v>
      </c>
      <c r="H226" s="23" t="s">
        <v>3945</v>
      </c>
      <c r="I226" s="23" t="s">
        <v>3946</v>
      </c>
      <c r="J226" s="23" t="s">
        <v>466</v>
      </c>
      <c r="K226" s="24" t="s">
        <v>386</v>
      </c>
      <c r="L226" s="23" t="s">
        <v>13</v>
      </c>
      <c r="M226" s="25" t="s">
        <v>18</v>
      </c>
      <c r="N226" s="23" t="s">
        <v>40</v>
      </c>
      <c r="O226" s="23" t="s">
        <v>387</v>
      </c>
      <c r="P226" s="23" t="s">
        <v>40</v>
      </c>
      <c r="Q226" s="23" t="s">
        <v>40</v>
      </c>
      <c r="R226" s="23" t="s">
        <v>126</v>
      </c>
      <c r="S226" s="23" t="s">
        <v>40</v>
      </c>
      <c r="T226" s="23" t="s">
        <v>40</v>
      </c>
    </row>
    <row r="227" spans="1:20" x14ac:dyDescent="0.25">
      <c r="A227" s="23" t="s">
        <v>3947</v>
      </c>
      <c r="B227" s="23" t="s">
        <v>125</v>
      </c>
      <c r="C227" s="23" t="s">
        <v>3906</v>
      </c>
      <c r="D227" s="23" t="s">
        <v>3948</v>
      </c>
      <c r="E227" s="23" t="s">
        <v>3900</v>
      </c>
      <c r="F227" s="23" t="s">
        <v>40</v>
      </c>
      <c r="G227" s="23" t="s">
        <v>3949</v>
      </c>
      <c r="H227" s="23" t="s">
        <v>3950</v>
      </c>
      <c r="I227" s="23" t="s">
        <v>3951</v>
      </c>
      <c r="J227" s="23" t="s">
        <v>466</v>
      </c>
      <c r="K227" s="24" t="s">
        <v>386</v>
      </c>
      <c r="L227" s="23" t="s">
        <v>13</v>
      </c>
      <c r="M227" s="25" t="s">
        <v>18</v>
      </c>
      <c r="N227" s="23" t="s">
        <v>40</v>
      </c>
      <c r="O227" s="23" t="s">
        <v>387</v>
      </c>
      <c r="P227" s="23" t="s">
        <v>40</v>
      </c>
      <c r="Q227" s="23" t="s">
        <v>40</v>
      </c>
      <c r="R227" s="23" t="s">
        <v>126</v>
      </c>
      <c r="S227" s="23" t="s">
        <v>40</v>
      </c>
      <c r="T227" s="23" t="s">
        <v>40</v>
      </c>
    </row>
    <row r="228" spans="1:20" x14ac:dyDescent="0.25">
      <c r="A228" s="23" t="s">
        <v>3952</v>
      </c>
      <c r="B228" s="23" t="s">
        <v>125</v>
      </c>
      <c r="C228" s="23" t="s">
        <v>3906</v>
      </c>
      <c r="D228" s="23" t="s">
        <v>3953</v>
      </c>
      <c r="E228" s="23" t="s">
        <v>3900</v>
      </c>
      <c r="F228" s="23" t="s">
        <v>40</v>
      </c>
      <c r="G228" s="23" t="s">
        <v>3954</v>
      </c>
      <c r="H228" s="23" t="s">
        <v>3955</v>
      </c>
      <c r="I228" s="23" t="s">
        <v>3956</v>
      </c>
      <c r="J228" s="23" t="s">
        <v>466</v>
      </c>
      <c r="K228" s="24" t="s">
        <v>386</v>
      </c>
      <c r="L228" s="23" t="s">
        <v>13</v>
      </c>
      <c r="M228" s="25" t="s">
        <v>18</v>
      </c>
      <c r="N228" s="23" t="s">
        <v>40</v>
      </c>
      <c r="O228" s="23" t="s">
        <v>387</v>
      </c>
      <c r="P228" s="23" t="s">
        <v>40</v>
      </c>
      <c r="Q228" s="23" t="s">
        <v>40</v>
      </c>
      <c r="R228" s="23" t="s">
        <v>126</v>
      </c>
      <c r="S228" s="23" t="s">
        <v>40</v>
      </c>
      <c r="T228" s="23" t="s">
        <v>40</v>
      </c>
    </row>
    <row r="229" spans="1:20" x14ac:dyDescent="0.25">
      <c r="A229" s="23" t="s">
        <v>3957</v>
      </c>
      <c r="B229" s="23" t="s">
        <v>125</v>
      </c>
      <c r="C229" s="23" t="s">
        <v>3906</v>
      </c>
      <c r="D229" s="23" t="s">
        <v>3958</v>
      </c>
      <c r="E229" s="23" t="s">
        <v>3900</v>
      </c>
      <c r="F229" s="23" t="s">
        <v>40</v>
      </c>
      <c r="G229" s="23" t="s">
        <v>3959</v>
      </c>
      <c r="H229" s="23" t="s">
        <v>3960</v>
      </c>
      <c r="I229" s="23" t="s">
        <v>3961</v>
      </c>
      <c r="J229" s="23" t="s">
        <v>15</v>
      </c>
      <c r="K229" s="24" t="s">
        <v>386</v>
      </c>
      <c r="L229" s="23" t="s">
        <v>13</v>
      </c>
      <c r="M229" s="28" t="s">
        <v>16</v>
      </c>
      <c r="N229" s="23" t="s">
        <v>3782</v>
      </c>
      <c r="O229" s="29" t="s">
        <v>87</v>
      </c>
      <c r="P229" s="23" t="s">
        <v>40</v>
      </c>
      <c r="Q229" s="23" t="s">
        <v>40</v>
      </c>
      <c r="R229" s="23" t="s">
        <v>126</v>
      </c>
      <c r="S229" s="23" t="s">
        <v>3962</v>
      </c>
      <c r="T229" s="23" t="s">
        <v>40</v>
      </c>
    </row>
    <row r="230" spans="1:20" x14ac:dyDescent="0.25">
      <c r="A230" s="23" t="s">
        <v>3963</v>
      </c>
      <c r="B230" s="23" t="s">
        <v>125</v>
      </c>
      <c r="C230" s="23" t="s">
        <v>3906</v>
      </c>
      <c r="D230" s="23" t="s">
        <v>3964</v>
      </c>
      <c r="E230" s="23" t="s">
        <v>3900</v>
      </c>
      <c r="F230" s="23" t="s">
        <v>40</v>
      </c>
      <c r="G230" s="23" t="s">
        <v>3965</v>
      </c>
      <c r="H230" s="23" t="s">
        <v>3966</v>
      </c>
      <c r="I230" s="23" t="s">
        <v>3967</v>
      </c>
      <c r="J230" s="23" t="s">
        <v>15</v>
      </c>
      <c r="K230" s="24" t="s">
        <v>386</v>
      </c>
      <c r="L230" s="23" t="s">
        <v>13</v>
      </c>
      <c r="M230" s="25" t="s">
        <v>18</v>
      </c>
      <c r="N230" s="23" t="s">
        <v>40</v>
      </c>
      <c r="O230" s="23" t="s">
        <v>387</v>
      </c>
      <c r="P230" s="23" t="s">
        <v>40</v>
      </c>
      <c r="Q230" s="23" t="s">
        <v>40</v>
      </c>
      <c r="R230" s="23" t="s">
        <v>126</v>
      </c>
      <c r="S230" s="23" t="s">
        <v>3962</v>
      </c>
      <c r="T230" s="23" t="s">
        <v>40</v>
      </c>
    </row>
    <row r="231" spans="1:20" x14ac:dyDescent="0.25">
      <c r="A231" s="23" t="s">
        <v>3968</v>
      </c>
      <c r="B231" s="23" t="s">
        <v>125</v>
      </c>
      <c r="C231" s="23" t="s">
        <v>3906</v>
      </c>
      <c r="D231" s="23" t="s">
        <v>3969</v>
      </c>
      <c r="E231" s="23" t="s">
        <v>3900</v>
      </c>
      <c r="F231" s="23" t="s">
        <v>40</v>
      </c>
      <c r="G231" s="23" t="s">
        <v>3970</v>
      </c>
      <c r="H231" s="23" t="s">
        <v>3971</v>
      </c>
      <c r="I231" s="23" t="s">
        <v>3972</v>
      </c>
      <c r="J231" s="23" t="s">
        <v>15</v>
      </c>
      <c r="K231" s="27" t="s">
        <v>404</v>
      </c>
      <c r="L231" s="23" t="s">
        <v>405</v>
      </c>
      <c r="M231" s="25" t="s">
        <v>18</v>
      </c>
      <c r="N231" s="23" t="s">
        <v>40</v>
      </c>
      <c r="O231" s="23" t="s">
        <v>387</v>
      </c>
      <c r="P231" s="23" t="s">
        <v>40</v>
      </c>
      <c r="Q231" s="23" t="s">
        <v>40</v>
      </c>
      <c r="R231" s="23" t="s">
        <v>126</v>
      </c>
      <c r="S231" s="23" t="s">
        <v>40</v>
      </c>
      <c r="T231" s="23" t="s">
        <v>3973</v>
      </c>
    </row>
    <row r="232" spans="1:20" x14ac:dyDescent="0.25">
      <c r="A232" s="23" t="s">
        <v>3974</v>
      </c>
      <c r="B232" s="23" t="s">
        <v>125</v>
      </c>
      <c r="C232" s="23" t="s">
        <v>3906</v>
      </c>
      <c r="D232" s="23" t="s">
        <v>3975</v>
      </c>
      <c r="E232" s="23" t="s">
        <v>3900</v>
      </c>
      <c r="F232" s="23" t="s">
        <v>40</v>
      </c>
      <c r="G232" s="23" t="s">
        <v>3976</v>
      </c>
      <c r="H232" s="23" t="s">
        <v>3977</v>
      </c>
      <c r="I232" s="23" t="s">
        <v>3978</v>
      </c>
      <c r="J232" s="23" t="s">
        <v>403</v>
      </c>
      <c r="K232" s="32" t="s">
        <v>747</v>
      </c>
      <c r="L232" s="23" t="s">
        <v>490</v>
      </c>
      <c r="M232" s="25" t="s">
        <v>18</v>
      </c>
      <c r="N232" s="23" t="s">
        <v>40</v>
      </c>
      <c r="O232" s="23" t="s">
        <v>387</v>
      </c>
      <c r="P232" s="23" t="s">
        <v>40</v>
      </c>
      <c r="Q232" s="23" t="s">
        <v>40</v>
      </c>
      <c r="R232" s="23" t="s">
        <v>126</v>
      </c>
      <c r="S232" s="23" t="s">
        <v>3979</v>
      </c>
      <c r="T232" s="23" t="s">
        <v>40</v>
      </c>
    </row>
    <row r="233" spans="1:20" x14ac:dyDescent="0.25">
      <c r="A233" s="23" t="s">
        <v>3980</v>
      </c>
      <c r="B233" s="23" t="s">
        <v>125</v>
      </c>
      <c r="C233" s="23" t="s">
        <v>3906</v>
      </c>
      <c r="D233" s="23" t="s">
        <v>3981</v>
      </c>
      <c r="E233" s="23" t="s">
        <v>3900</v>
      </c>
      <c r="F233" s="23" t="s">
        <v>40</v>
      </c>
      <c r="G233" s="23" t="s">
        <v>3982</v>
      </c>
      <c r="H233" s="23" t="s">
        <v>3983</v>
      </c>
      <c r="I233" s="23" t="s">
        <v>3984</v>
      </c>
      <c r="J233" s="23" t="s">
        <v>489</v>
      </c>
      <c r="K233" s="27" t="s">
        <v>404</v>
      </c>
      <c r="L233" s="23" t="s">
        <v>490</v>
      </c>
      <c r="M233" s="25" t="s">
        <v>18</v>
      </c>
      <c r="N233" s="23" t="s">
        <v>40</v>
      </c>
      <c r="O233" s="23" t="s">
        <v>387</v>
      </c>
      <c r="P233" s="23" t="s">
        <v>40</v>
      </c>
      <c r="Q233" s="23" t="s">
        <v>40</v>
      </c>
      <c r="R233" s="23" t="s">
        <v>126</v>
      </c>
      <c r="S233" s="23" t="s">
        <v>40</v>
      </c>
      <c r="T233" s="23" t="s">
        <v>40</v>
      </c>
    </row>
    <row r="234" spans="1:20" x14ac:dyDescent="0.25">
      <c r="A234" s="23" t="s">
        <v>3985</v>
      </c>
      <c r="B234" s="23" t="s">
        <v>125</v>
      </c>
      <c r="C234" s="23" t="s">
        <v>3986</v>
      </c>
      <c r="D234" s="23" t="s">
        <v>3987</v>
      </c>
      <c r="E234" s="23" t="s">
        <v>3900</v>
      </c>
      <c r="F234" s="23" t="s">
        <v>40</v>
      </c>
      <c r="G234" s="23" t="s">
        <v>3988</v>
      </c>
      <c r="H234" s="23" t="s">
        <v>3989</v>
      </c>
      <c r="I234" s="23" t="s">
        <v>3990</v>
      </c>
      <c r="J234" s="23" t="s">
        <v>14</v>
      </c>
      <c r="K234" s="26" t="s">
        <v>396</v>
      </c>
      <c r="L234" s="23" t="s">
        <v>13</v>
      </c>
      <c r="M234" s="28" t="s">
        <v>16</v>
      </c>
      <c r="N234" s="23" t="s">
        <v>3782</v>
      </c>
      <c r="O234" s="29" t="s">
        <v>87</v>
      </c>
      <c r="P234" s="23" t="s">
        <v>40</v>
      </c>
      <c r="Q234" s="23" t="s">
        <v>40</v>
      </c>
      <c r="R234" s="23" t="s">
        <v>126</v>
      </c>
      <c r="S234" s="23" t="s">
        <v>40</v>
      </c>
      <c r="T234" s="23" t="s">
        <v>40</v>
      </c>
    </row>
    <row r="235" spans="1:20" x14ac:dyDescent="0.25">
      <c r="A235" s="23" t="s">
        <v>3991</v>
      </c>
      <c r="B235" s="23" t="s">
        <v>125</v>
      </c>
      <c r="C235" s="23" t="s">
        <v>3986</v>
      </c>
      <c r="D235" s="23" t="s">
        <v>3992</v>
      </c>
      <c r="E235" s="23" t="s">
        <v>3900</v>
      </c>
      <c r="F235" s="23" t="s">
        <v>40</v>
      </c>
      <c r="G235" s="23" t="s">
        <v>3993</v>
      </c>
      <c r="H235" s="23" t="s">
        <v>3994</v>
      </c>
      <c r="I235" s="23" t="s">
        <v>3995</v>
      </c>
      <c r="J235" s="23" t="s">
        <v>14</v>
      </c>
      <c r="K235" s="26" t="s">
        <v>396</v>
      </c>
      <c r="L235" s="23" t="s">
        <v>13</v>
      </c>
      <c r="M235" s="28" t="s">
        <v>16</v>
      </c>
      <c r="N235" s="23" t="s">
        <v>3782</v>
      </c>
      <c r="O235" s="29" t="s">
        <v>87</v>
      </c>
      <c r="P235" s="23" t="s">
        <v>40</v>
      </c>
      <c r="Q235" s="23" t="s">
        <v>40</v>
      </c>
      <c r="R235" s="23" t="s">
        <v>126</v>
      </c>
      <c r="S235" s="23" t="s">
        <v>40</v>
      </c>
      <c r="T235" s="23" t="s">
        <v>40</v>
      </c>
    </row>
    <row r="236" spans="1:20" x14ac:dyDescent="0.25">
      <c r="A236" s="23" t="s">
        <v>3996</v>
      </c>
      <c r="B236" s="23" t="s">
        <v>125</v>
      </c>
      <c r="C236" s="23" t="s">
        <v>3986</v>
      </c>
      <c r="D236" s="23" t="s">
        <v>3997</v>
      </c>
      <c r="E236" s="23" t="s">
        <v>3900</v>
      </c>
      <c r="F236" s="23" t="s">
        <v>40</v>
      </c>
      <c r="G236" s="23" t="s">
        <v>3998</v>
      </c>
      <c r="H236" s="23" t="s">
        <v>3999</v>
      </c>
      <c r="I236" s="23" t="s">
        <v>4000</v>
      </c>
      <c r="J236" s="23" t="s">
        <v>15</v>
      </c>
      <c r="K236" s="27" t="s">
        <v>404</v>
      </c>
      <c r="L236" s="23" t="s">
        <v>405</v>
      </c>
      <c r="M236" s="25" t="s">
        <v>18</v>
      </c>
      <c r="N236" s="23" t="s">
        <v>40</v>
      </c>
      <c r="O236" s="23" t="s">
        <v>387</v>
      </c>
      <c r="P236" s="23" t="s">
        <v>40</v>
      </c>
      <c r="Q236" s="23" t="s">
        <v>40</v>
      </c>
      <c r="R236" s="23" t="s">
        <v>126</v>
      </c>
      <c r="S236" s="23" t="s">
        <v>40</v>
      </c>
      <c r="T236" s="23" t="s">
        <v>40</v>
      </c>
    </row>
    <row r="237" spans="1:20" x14ac:dyDescent="0.25">
      <c r="A237" s="23" t="s">
        <v>4001</v>
      </c>
      <c r="B237" s="23" t="s">
        <v>125</v>
      </c>
      <c r="C237" s="23" t="s">
        <v>3986</v>
      </c>
      <c r="D237" s="23" t="s">
        <v>4002</v>
      </c>
      <c r="E237" s="23" t="s">
        <v>3900</v>
      </c>
      <c r="F237" s="23" t="s">
        <v>40</v>
      </c>
      <c r="G237" s="23" t="s">
        <v>4003</v>
      </c>
      <c r="H237" s="23" t="s">
        <v>4004</v>
      </c>
      <c r="I237" s="23" t="s">
        <v>4005</v>
      </c>
      <c r="J237" s="23" t="s">
        <v>489</v>
      </c>
      <c r="K237" s="27" t="s">
        <v>404</v>
      </c>
      <c r="L237" s="23" t="s">
        <v>405</v>
      </c>
      <c r="M237" s="25" t="s">
        <v>18</v>
      </c>
      <c r="N237" s="23" t="s">
        <v>40</v>
      </c>
      <c r="O237" s="23" t="s">
        <v>387</v>
      </c>
      <c r="P237" s="23" t="s">
        <v>40</v>
      </c>
      <c r="Q237" s="23" t="s">
        <v>40</v>
      </c>
      <c r="R237" s="23" t="s">
        <v>126</v>
      </c>
      <c r="S237" s="23" t="s">
        <v>40</v>
      </c>
      <c r="T237" s="23" t="s">
        <v>40</v>
      </c>
    </row>
    <row r="238" spans="1:20" x14ac:dyDescent="0.25">
      <c r="A238" s="23" t="s">
        <v>4006</v>
      </c>
      <c r="B238" s="23" t="s">
        <v>125</v>
      </c>
      <c r="C238" s="23" t="s">
        <v>3986</v>
      </c>
      <c r="D238" s="23" t="s">
        <v>4007</v>
      </c>
      <c r="E238" s="23" t="s">
        <v>3900</v>
      </c>
      <c r="F238" s="23" t="s">
        <v>40</v>
      </c>
      <c r="G238" s="23" t="s">
        <v>4008</v>
      </c>
      <c r="H238" s="23" t="s">
        <v>4009</v>
      </c>
      <c r="I238" s="23" t="s">
        <v>4010</v>
      </c>
      <c r="J238" s="23" t="s">
        <v>466</v>
      </c>
      <c r="K238" s="27" t="s">
        <v>404</v>
      </c>
      <c r="L238" s="23" t="s">
        <v>405</v>
      </c>
      <c r="M238" s="25" t="s">
        <v>18</v>
      </c>
      <c r="N238" s="23" t="s">
        <v>40</v>
      </c>
      <c r="O238" s="23" t="s">
        <v>387</v>
      </c>
      <c r="P238" s="23" t="s">
        <v>40</v>
      </c>
      <c r="Q238" s="23" t="s">
        <v>40</v>
      </c>
      <c r="R238" s="23" t="s">
        <v>126</v>
      </c>
      <c r="S238" s="23" t="s">
        <v>40</v>
      </c>
      <c r="T238" s="23" t="s">
        <v>40</v>
      </c>
    </row>
    <row r="239" spans="1:20" x14ac:dyDescent="0.25">
      <c r="A239" s="23" t="s">
        <v>4011</v>
      </c>
      <c r="B239" s="23" t="s">
        <v>125</v>
      </c>
      <c r="C239" s="23" t="s">
        <v>3986</v>
      </c>
      <c r="D239" s="23" t="s">
        <v>4012</v>
      </c>
      <c r="E239" s="23" t="s">
        <v>3900</v>
      </c>
      <c r="F239" s="23" t="s">
        <v>40</v>
      </c>
      <c r="G239" s="23" t="s">
        <v>4013</v>
      </c>
      <c r="H239" s="23" t="s">
        <v>4014</v>
      </c>
      <c r="I239" s="23" t="s">
        <v>4015</v>
      </c>
      <c r="J239" s="23" t="s">
        <v>14</v>
      </c>
      <c r="K239" s="27" t="s">
        <v>404</v>
      </c>
      <c r="L239" s="23" t="s">
        <v>490</v>
      </c>
      <c r="M239" s="25" t="s">
        <v>18</v>
      </c>
      <c r="N239" s="23" t="s">
        <v>40</v>
      </c>
      <c r="O239" s="23" t="s">
        <v>387</v>
      </c>
      <c r="P239" s="23" t="s">
        <v>40</v>
      </c>
      <c r="Q239" s="23" t="s">
        <v>40</v>
      </c>
      <c r="R239" s="23" t="s">
        <v>126</v>
      </c>
      <c r="S239" s="23" t="s">
        <v>40</v>
      </c>
      <c r="T239" s="23" t="s">
        <v>40</v>
      </c>
    </row>
    <row r="240" spans="1:20" x14ac:dyDescent="0.25">
      <c r="A240" s="23" t="s">
        <v>4016</v>
      </c>
      <c r="B240" s="23" t="s">
        <v>125</v>
      </c>
      <c r="C240" s="23" t="s">
        <v>3986</v>
      </c>
      <c r="D240" s="23" t="s">
        <v>4017</v>
      </c>
      <c r="E240" s="23" t="s">
        <v>3900</v>
      </c>
      <c r="F240" s="23" t="s">
        <v>40</v>
      </c>
      <c r="G240" s="23" t="s">
        <v>4018</v>
      </c>
      <c r="H240" s="23" t="s">
        <v>4019</v>
      </c>
      <c r="I240" s="23" t="s">
        <v>4020</v>
      </c>
      <c r="J240" s="23" t="s">
        <v>14</v>
      </c>
      <c r="K240" s="27" t="s">
        <v>404</v>
      </c>
      <c r="L240" s="23" t="s">
        <v>490</v>
      </c>
      <c r="M240" s="25" t="s">
        <v>18</v>
      </c>
      <c r="N240" s="23" t="s">
        <v>40</v>
      </c>
      <c r="O240" s="23" t="s">
        <v>387</v>
      </c>
      <c r="P240" s="23" t="s">
        <v>40</v>
      </c>
      <c r="Q240" s="23" t="s">
        <v>40</v>
      </c>
      <c r="R240" s="23" t="s">
        <v>126</v>
      </c>
      <c r="S240" s="23" t="s">
        <v>40</v>
      </c>
      <c r="T240" s="23" t="s">
        <v>40</v>
      </c>
    </row>
    <row r="241" spans="1:20" x14ac:dyDescent="0.25">
      <c r="A241" s="23" t="s">
        <v>4021</v>
      </c>
      <c r="B241" s="23" t="s">
        <v>125</v>
      </c>
      <c r="C241" s="23" t="s">
        <v>3986</v>
      </c>
      <c r="D241" s="23" t="s">
        <v>4022</v>
      </c>
      <c r="E241" s="23" t="s">
        <v>4023</v>
      </c>
      <c r="F241" s="23" t="s">
        <v>40</v>
      </c>
      <c r="G241" s="23" t="s">
        <v>4024</v>
      </c>
      <c r="H241" s="23" t="s">
        <v>4025</v>
      </c>
      <c r="I241" s="23" t="s">
        <v>4026</v>
      </c>
      <c r="J241" s="23" t="s">
        <v>525</v>
      </c>
      <c r="K241" s="24" t="s">
        <v>386</v>
      </c>
      <c r="L241" s="23" t="s">
        <v>405</v>
      </c>
      <c r="M241" s="25" t="s">
        <v>18</v>
      </c>
      <c r="N241" s="23" t="s">
        <v>40</v>
      </c>
      <c r="O241" s="23" t="s">
        <v>387</v>
      </c>
      <c r="P241" s="23" t="s">
        <v>40</v>
      </c>
      <c r="Q241" s="23" t="s">
        <v>40</v>
      </c>
      <c r="R241" s="23" t="s">
        <v>126</v>
      </c>
      <c r="S241" s="23" t="s">
        <v>40</v>
      </c>
      <c r="T241" s="23" t="s">
        <v>4027</v>
      </c>
    </row>
    <row r="242" spans="1:20" x14ac:dyDescent="0.25">
      <c r="A242" s="23" t="s">
        <v>4028</v>
      </c>
      <c r="B242" s="23" t="s">
        <v>125</v>
      </c>
      <c r="C242" s="23" t="s">
        <v>1028</v>
      </c>
      <c r="D242" s="23" t="s">
        <v>4029</v>
      </c>
      <c r="E242" s="23" t="s">
        <v>3900</v>
      </c>
      <c r="F242" s="23" t="s">
        <v>40</v>
      </c>
      <c r="G242" s="23" t="s">
        <v>4030</v>
      </c>
      <c r="H242" s="23" t="s">
        <v>4031</v>
      </c>
      <c r="I242" s="23" t="s">
        <v>4032</v>
      </c>
      <c r="J242" s="23" t="s">
        <v>14</v>
      </c>
      <c r="K242" s="24" t="s">
        <v>386</v>
      </c>
      <c r="L242" s="23" t="s">
        <v>405</v>
      </c>
      <c r="M242" s="25" t="s">
        <v>18</v>
      </c>
      <c r="N242" s="23" t="s">
        <v>40</v>
      </c>
      <c r="O242" s="23" t="s">
        <v>387</v>
      </c>
      <c r="P242" s="23" t="s">
        <v>40</v>
      </c>
      <c r="Q242" s="23" t="s">
        <v>40</v>
      </c>
      <c r="R242" s="23" t="s">
        <v>126</v>
      </c>
      <c r="S242" s="23" t="s">
        <v>40</v>
      </c>
      <c r="T242" s="23" t="s">
        <v>40</v>
      </c>
    </row>
    <row r="243" spans="1:20" x14ac:dyDescent="0.25">
      <c r="A243" s="23" t="s">
        <v>4033</v>
      </c>
      <c r="B243" s="23" t="s">
        <v>125</v>
      </c>
      <c r="C243" s="23" t="s">
        <v>1028</v>
      </c>
      <c r="D243" s="23" t="s">
        <v>4034</v>
      </c>
      <c r="E243" s="23" t="s">
        <v>3900</v>
      </c>
      <c r="F243" s="23" t="s">
        <v>40</v>
      </c>
      <c r="G243" s="23" t="s">
        <v>4035</v>
      </c>
      <c r="H243" s="23" t="s">
        <v>4036</v>
      </c>
      <c r="I243" s="23" t="s">
        <v>4037</v>
      </c>
      <c r="J243" s="23" t="s">
        <v>14</v>
      </c>
      <c r="K243" s="27" t="s">
        <v>404</v>
      </c>
      <c r="L243" s="23" t="s">
        <v>490</v>
      </c>
      <c r="M243" s="25" t="s">
        <v>18</v>
      </c>
      <c r="N243" s="23" t="s">
        <v>40</v>
      </c>
      <c r="O243" s="23" t="s">
        <v>387</v>
      </c>
      <c r="P243" s="23" t="s">
        <v>40</v>
      </c>
      <c r="Q243" s="23" t="s">
        <v>40</v>
      </c>
      <c r="R243" s="23" t="s">
        <v>126</v>
      </c>
      <c r="S243" s="23" t="s">
        <v>40</v>
      </c>
      <c r="T243" s="23" t="s">
        <v>40</v>
      </c>
    </row>
    <row r="244" spans="1:20" x14ac:dyDescent="0.25">
      <c r="A244" s="23" t="s">
        <v>4038</v>
      </c>
      <c r="B244" s="23" t="s">
        <v>125</v>
      </c>
      <c r="C244" s="23" t="s">
        <v>1028</v>
      </c>
      <c r="D244" s="23" t="s">
        <v>4039</v>
      </c>
      <c r="E244" s="23" t="s">
        <v>3900</v>
      </c>
      <c r="F244" s="23" t="s">
        <v>40</v>
      </c>
      <c r="G244" s="23" t="s">
        <v>4040</v>
      </c>
      <c r="H244" s="23" t="s">
        <v>4041</v>
      </c>
      <c r="I244" s="23" t="s">
        <v>4042</v>
      </c>
      <c r="J244" s="23" t="s">
        <v>14</v>
      </c>
      <c r="K244" s="27" t="s">
        <v>404</v>
      </c>
      <c r="L244" s="23" t="s">
        <v>490</v>
      </c>
      <c r="M244" s="25" t="s">
        <v>18</v>
      </c>
      <c r="N244" s="23" t="s">
        <v>40</v>
      </c>
      <c r="O244" s="23" t="s">
        <v>387</v>
      </c>
      <c r="P244" s="23" t="s">
        <v>40</v>
      </c>
      <c r="Q244" s="23" t="s">
        <v>40</v>
      </c>
      <c r="R244" s="23" t="s">
        <v>126</v>
      </c>
      <c r="S244" s="23" t="s">
        <v>40</v>
      </c>
      <c r="T244" s="23" t="s">
        <v>40</v>
      </c>
    </row>
    <row r="245" spans="1:20" x14ac:dyDescent="0.25">
      <c r="A245" s="23" t="s">
        <v>4043</v>
      </c>
      <c r="B245" s="23" t="s">
        <v>125</v>
      </c>
      <c r="C245" s="23" t="s">
        <v>1028</v>
      </c>
      <c r="D245" s="23" t="s">
        <v>4044</v>
      </c>
      <c r="E245" s="23" t="s">
        <v>3900</v>
      </c>
      <c r="F245" s="23" t="s">
        <v>40</v>
      </c>
      <c r="G245" s="23" t="s">
        <v>4045</v>
      </c>
      <c r="H245" s="23" t="s">
        <v>4046</v>
      </c>
      <c r="I245" s="23" t="s">
        <v>4047</v>
      </c>
      <c r="J245" s="23" t="s">
        <v>14</v>
      </c>
      <c r="K245" s="24" t="s">
        <v>386</v>
      </c>
      <c r="L245" s="23" t="s">
        <v>405</v>
      </c>
      <c r="M245" s="25" t="s">
        <v>18</v>
      </c>
      <c r="N245" s="23" t="s">
        <v>40</v>
      </c>
      <c r="O245" s="23" t="s">
        <v>387</v>
      </c>
      <c r="P245" s="23" t="s">
        <v>40</v>
      </c>
      <c r="Q245" s="23" t="s">
        <v>40</v>
      </c>
      <c r="R245" s="23" t="s">
        <v>126</v>
      </c>
      <c r="S245" s="23" t="s">
        <v>40</v>
      </c>
      <c r="T245" s="23" t="s">
        <v>40</v>
      </c>
    </row>
    <row r="246" spans="1:20" x14ac:dyDescent="0.25">
      <c r="A246" s="23" t="s">
        <v>4048</v>
      </c>
      <c r="B246" s="23" t="s">
        <v>125</v>
      </c>
      <c r="C246" s="23" t="s">
        <v>1028</v>
      </c>
      <c r="D246" s="23" t="s">
        <v>4049</v>
      </c>
      <c r="E246" s="23" t="s">
        <v>3900</v>
      </c>
      <c r="F246" s="23" t="s">
        <v>40</v>
      </c>
      <c r="G246" s="23" t="s">
        <v>4050</v>
      </c>
      <c r="H246" s="23" t="s">
        <v>4051</v>
      </c>
      <c r="I246" s="23" t="s">
        <v>4052</v>
      </c>
      <c r="J246" s="23" t="s">
        <v>15</v>
      </c>
      <c r="K246" s="27" t="s">
        <v>404</v>
      </c>
      <c r="L246" s="23" t="s">
        <v>490</v>
      </c>
      <c r="M246" s="25" t="s">
        <v>18</v>
      </c>
      <c r="N246" s="23" t="s">
        <v>40</v>
      </c>
      <c r="O246" s="23" t="s">
        <v>387</v>
      </c>
      <c r="P246" s="23" t="s">
        <v>40</v>
      </c>
      <c r="Q246" s="23" t="s">
        <v>40</v>
      </c>
      <c r="R246" s="23" t="s">
        <v>126</v>
      </c>
      <c r="S246" s="23" t="s">
        <v>40</v>
      </c>
      <c r="T246" s="23" t="s">
        <v>3973</v>
      </c>
    </row>
    <row r="247" spans="1:20" x14ac:dyDescent="0.25">
      <c r="A247" s="23" t="s">
        <v>4053</v>
      </c>
      <c r="B247" s="23" t="s">
        <v>125</v>
      </c>
      <c r="C247" s="23" t="s">
        <v>1028</v>
      </c>
      <c r="D247" s="23" t="s">
        <v>4054</v>
      </c>
      <c r="E247" s="23" t="s">
        <v>3900</v>
      </c>
      <c r="F247" s="23" t="s">
        <v>40</v>
      </c>
      <c r="G247" s="23" t="s">
        <v>4055</v>
      </c>
      <c r="H247" s="23" t="s">
        <v>4056</v>
      </c>
      <c r="I247" s="23" t="s">
        <v>4057</v>
      </c>
      <c r="J247" s="23" t="s">
        <v>14</v>
      </c>
      <c r="K247" s="27" t="s">
        <v>404</v>
      </c>
      <c r="L247" s="23" t="s">
        <v>490</v>
      </c>
      <c r="M247" s="25" t="s">
        <v>18</v>
      </c>
      <c r="N247" s="23" t="s">
        <v>40</v>
      </c>
      <c r="O247" s="23" t="s">
        <v>387</v>
      </c>
      <c r="P247" s="23" t="s">
        <v>40</v>
      </c>
      <c r="Q247" s="23" t="s">
        <v>40</v>
      </c>
      <c r="R247" s="23" t="s">
        <v>126</v>
      </c>
      <c r="S247" s="23" t="s">
        <v>40</v>
      </c>
      <c r="T247" s="23" t="s">
        <v>40</v>
      </c>
    </row>
    <row r="248" spans="1:20" x14ac:dyDescent="0.25">
      <c r="A248" s="23" t="s">
        <v>4058</v>
      </c>
      <c r="B248" s="23" t="s">
        <v>125</v>
      </c>
      <c r="C248" s="23" t="s">
        <v>1028</v>
      </c>
      <c r="D248" s="23" t="s">
        <v>4059</v>
      </c>
      <c r="E248" s="23" t="s">
        <v>2944</v>
      </c>
      <c r="F248" s="23" t="s">
        <v>40</v>
      </c>
      <c r="G248" s="23" t="s">
        <v>4060</v>
      </c>
      <c r="H248" s="23" t="s">
        <v>4061</v>
      </c>
      <c r="I248" s="23" t="s">
        <v>4062</v>
      </c>
      <c r="J248" s="23" t="s">
        <v>525</v>
      </c>
      <c r="K248" s="24" t="s">
        <v>386</v>
      </c>
      <c r="L248" s="23" t="s">
        <v>405</v>
      </c>
      <c r="M248" s="25" t="s">
        <v>18</v>
      </c>
      <c r="N248" s="23" t="s">
        <v>40</v>
      </c>
      <c r="O248" s="23" t="s">
        <v>387</v>
      </c>
      <c r="P248" s="23" t="s">
        <v>40</v>
      </c>
      <c r="Q248" s="23" t="s">
        <v>40</v>
      </c>
      <c r="R248" s="23" t="s">
        <v>126</v>
      </c>
      <c r="S248" s="23" t="s">
        <v>40</v>
      </c>
      <c r="T248" s="23" t="s">
        <v>40</v>
      </c>
    </row>
    <row r="249" spans="1:20" x14ac:dyDescent="0.25">
      <c r="A249" s="23" t="s">
        <v>4063</v>
      </c>
      <c r="B249" s="23" t="s">
        <v>128</v>
      </c>
      <c r="C249" s="23" t="s">
        <v>944</v>
      </c>
      <c r="D249" s="23" t="s">
        <v>4064</v>
      </c>
      <c r="E249" s="23" t="s">
        <v>4065</v>
      </c>
      <c r="F249" s="23" t="s">
        <v>40</v>
      </c>
      <c r="G249" s="23" t="s">
        <v>4066</v>
      </c>
      <c r="H249" s="23" t="s">
        <v>4067</v>
      </c>
      <c r="I249" s="23" t="s">
        <v>4068</v>
      </c>
      <c r="J249" s="23" t="s">
        <v>385</v>
      </c>
      <c r="K249" s="24" t="s">
        <v>386</v>
      </c>
      <c r="L249" s="23" t="s">
        <v>13</v>
      </c>
      <c r="M249" s="31" t="s">
        <v>17</v>
      </c>
      <c r="N249" s="23" t="s">
        <v>4069</v>
      </c>
      <c r="O249" s="29" t="s">
        <v>87</v>
      </c>
      <c r="P249" s="23" t="s">
        <v>40</v>
      </c>
      <c r="Q249" s="23" t="s">
        <v>40</v>
      </c>
      <c r="R249" s="23" t="s">
        <v>129</v>
      </c>
      <c r="S249" s="23" t="s">
        <v>40</v>
      </c>
      <c r="T249" s="23" t="s">
        <v>40</v>
      </c>
    </row>
    <row r="250" spans="1:20" x14ac:dyDescent="0.25">
      <c r="A250" s="23" t="s">
        <v>4070</v>
      </c>
      <c r="B250" s="23" t="s">
        <v>128</v>
      </c>
      <c r="C250" s="23" t="s">
        <v>4071</v>
      </c>
      <c r="D250" s="23" t="s">
        <v>4072</v>
      </c>
      <c r="E250" s="23" t="s">
        <v>4065</v>
      </c>
      <c r="F250" s="23" t="s">
        <v>4073</v>
      </c>
      <c r="G250" s="23" t="s">
        <v>4074</v>
      </c>
      <c r="H250" s="23" t="s">
        <v>4075</v>
      </c>
      <c r="I250" s="23" t="s">
        <v>4076</v>
      </c>
      <c r="J250" s="23" t="s">
        <v>14</v>
      </c>
      <c r="K250" s="26" t="s">
        <v>396</v>
      </c>
      <c r="L250" s="23" t="s">
        <v>13</v>
      </c>
      <c r="M250" s="28" t="s">
        <v>16</v>
      </c>
      <c r="N250" s="23" t="s">
        <v>4077</v>
      </c>
      <c r="O250" s="29" t="s">
        <v>87</v>
      </c>
      <c r="P250" s="23" t="s">
        <v>40</v>
      </c>
      <c r="Q250" s="23" t="s">
        <v>40</v>
      </c>
      <c r="R250" s="23" t="s">
        <v>129</v>
      </c>
      <c r="S250" s="23" t="s">
        <v>40</v>
      </c>
      <c r="T250" s="23" t="s">
        <v>40</v>
      </c>
    </row>
    <row r="251" spans="1:20" x14ac:dyDescent="0.25">
      <c r="A251" s="23" t="s">
        <v>4078</v>
      </c>
      <c r="B251" s="23" t="s">
        <v>128</v>
      </c>
      <c r="C251" s="23" t="s">
        <v>4071</v>
      </c>
      <c r="D251" s="23" t="s">
        <v>4079</v>
      </c>
      <c r="E251" s="23" t="s">
        <v>4065</v>
      </c>
      <c r="F251" s="23" t="s">
        <v>40</v>
      </c>
      <c r="G251" s="23" t="s">
        <v>4080</v>
      </c>
      <c r="H251" s="23" t="s">
        <v>4081</v>
      </c>
      <c r="I251" s="23" t="s">
        <v>4082</v>
      </c>
      <c r="J251" s="23" t="s">
        <v>14</v>
      </c>
      <c r="K251" s="24" t="s">
        <v>386</v>
      </c>
      <c r="L251" s="23" t="s">
        <v>405</v>
      </c>
      <c r="M251" s="25" t="s">
        <v>18</v>
      </c>
      <c r="N251" s="23" t="s">
        <v>40</v>
      </c>
      <c r="O251" s="23" t="s">
        <v>387</v>
      </c>
      <c r="P251" s="23" t="s">
        <v>40</v>
      </c>
      <c r="Q251" s="23" t="s">
        <v>40</v>
      </c>
      <c r="R251" s="23" t="s">
        <v>129</v>
      </c>
      <c r="S251" s="23" t="s">
        <v>40</v>
      </c>
      <c r="T251" s="23" t="s">
        <v>40</v>
      </c>
    </row>
    <row r="252" spans="1:20" x14ac:dyDescent="0.25">
      <c r="A252" s="23" t="s">
        <v>4083</v>
      </c>
      <c r="B252" s="23" t="s">
        <v>128</v>
      </c>
      <c r="C252" s="23" t="s">
        <v>4071</v>
      </c>
      <c r="D252" s="23" t="s">
        <v>4084</v>
      </c>
      <c r="E252" s="23" t="s">
        <v>4065</v>
      </c>
      <c r="F252" s="23" t="s">
        <v>40</v>
      </c>
      <c r="G252" s="23" t="s">
        <v>4085</v>
      </c>
      <c r="H252" s="23" t="s">
        <v>4086</v>
      </c>
      <c r="I252" s="23" t="s">
        <v>4087</v>
      </c>
      <c r="J252" s="23" t="s">
        <v>15</v>
      </c>
      <c r="K252" s="24" t="s">
        <v>386</v>
      </c>
      <c r="L252" s="23" t="s">
        <v>13</v>
      </c>
      <c r="M252" s="28" t="s">
        <v>16</v>
      </c>
      <c r="N252" s="23" t="s">
        <v>4077</v>
      </c>
      <c r="O252" s="29" t="s">
        <v>87</v>
      </c>
      <c r="P252" s="23" t="s">
        <v>40</v>
      </c>
      <c r="Q252" s="23" t="s">
        <v>40</v>
      </c>
      <c r="R252" s="23" t="s">
        <v>129</v>
      </c>
      <c r="S252" s="23" t="s">
        <v>4088</v>
      </c>
      <c r="T252" s="23" t="s">
        <v>40</v>
      </c>
    </row>
    <row r="253" spans="1:20" x14ac:dyDescent="0.25">
      <c r="A253" s="23" t="s">
        <v>4089</v>
      </c>
      <c r="B253" s="23" t="s">
        <v>128</v>
      </c>
      <c r="C253" s="23" t="s">
        <v>4071</v>
      </c>
      <c r="D253" s="23" t="s">
        <v>4090</v>
      </c>
      <c r="E253" s="23" t="s">
        <v>4065</v>
      </c>
      <c r="F253" s="23" t="s">
        <v>40</v>
      </c>
      <c r="G253" s="23" t="s">
        <v>4091</v>
      </c>
      <c r="H253" s="23" t="s">
        <v>4092</v>
      </c>
      <c r="I253" s="23" t="s">
        <v>4093</v>
      </c>
      <c r="J253" s="23" t="s">
        <v>385</v>
      </c>
      <c r="K253" s="27" t="s">
        <v>404</v>
      </c>
      <c r="L253" s="23" t="s">
        <v>405</v>
      </c>
      <c r="M253" s="25" t="s">
        <v>18</v>
      </c>
      <c r="N253" s="23" t="s">
        <v>40</v>
      </c>
      <c r="O253" s="23" t="s">
        <v>387</v>
      </c>
      <c r="P253" s="23" t="s">
        <v>40</v>
      </c>
      <c r="Q253" s="23" t="s">
        <v>40</v>
      </c>
      <c r="R253" s="23" t="s">
        <v>129</v>
      </c>
      <c r="S253" s="23" t="s">
        <v>40</v>
      </c>
      <c r="T253" s="23" t="s">
        <v>40</v>
      </c>
    </row>
    <row r="254" spans="1:20" x14ac:dyDescent="0.25">
      <c r="A254" s="23" t="s">
        <v>4094</v>
      </c>
      <c r="B254" s="23" t="s">
        <v>128</v>
      </c>
      <c r="C254" s="23" t="s">
        <v>4071</v>
      </c>
      <c r="D254" s="23" t="s">
        <v>4095</v>
      </c>
      <c r="E254" s="23" t="s">
        <v>4065</v>
      </c>
      <c r="F254" s="23" t="s">
        <v>40</v>
      </c>
      <c r="G254" s="23" t="s">
        <v>4096</v>
      </c>
      <c r="H254" s="23" t="s">
        <v>4097</v>
      </c>
      <c r="I254" s="23" t="s">
        <v>4098</v>
      </c>
      <c r="J254" s="23" t="s">
        <v>466</v>
      </c>
      <c r="K254" s="27" t="s">
        <v>404</v>
      </c>
      <c r="L254" s="23" t="s">
        <v>405</v>
      </c>
      <c r="M254" s="25" t="s">
        <v>18</v>
      </c>
      <c r="N254" s="23" t="s">
        <v>40</v>
      </c>
      <c r="O254" s="23" t="s">
        <v>387</v>
      </c>
      <c r="P254" s="23" t="s">
        <v>40</v>
      </c>
      <c r="Q254" s="23" t="s">
        <v>40</v>
      </c>
      <c r="R254" s="23" t="s">
        <v>129</v>
      </c>
      <c r="S254" s="23" t="s">
        <v>40</v>
      </c>
      <c r="T254" s="23" t="s">
        <v>4099</v>
      </c>
    </row>
    <row r="255" spans="1:20" x14ac:dyDescent="0.25">
      <c r="A255" s="23" t="s">
        <v>4100</v>
      </c>
      <c r="B255" s="23" t="s">
        <v>128</v>
      </c>
      <c r="C255" s="23" t="s">
        <v>4071</v>
      </c>
      <c r="D255" s="23" t="s">
        <v>4101</v>
      </c>
      <c r="E255" s="23" t="s">
        <v>4065</v>
      </c>
      <c r="F255" s="23" t="s">
        <v>40</v>
      </c>
      <c r="G255" s="23" t="s">
        <v>4102</v>
      </c>
      <c r="H255" s="23" t="s">
        <v>4103</v>
      </c>
      <c r="I255" s="23" t="s">
        <v>4104</v>
      </c>
      <c r="J255" s="23" t="s">
        <v>466</v>
      </c>
      <c r="K255" s="27" t="s">
        <v>404</v>
      </c>
      <c r="L255" s="23" t="s">
        <v>405</v>
      </c>
      <c r="M255" s="25" t="s">
        <v>18</v>
      </c>
      <c r="N255" s="23" t="s">
        <v>40</v>
      </c>
      <c r="O255" s="23" t="s">
        <v>387</v>
      </c>
      <c r="P255" s="23" t="s">
        <v>40</v>
      </c>
      <c r="Q255" s="23" t="s">
        <v>40</v>
      </c>
      <c r="R255" s="23" t="s">
        <v>129</v>
      </c>
      <c r="S255" s="23" t="s">
        <v>40</v>
      </c>
      <c r="T255" s="23" t="s">
        <v>4099</v>
      </c>
    </row>
    <row r="256" spans="1:20" x14ac:dyDescent="0.25">
      <c r="A256" s="23" t="s">
        <v>4105</v>
      </c>
      <c r="B256" s="23" t="s">
        <v>128</v>
      </c>
      <c r="C256" s="23" t="s">
        <v>4071</v>
      </c>
      <c r="D256" s="23" t="s">
        <v>4106</v>
      </c>
      <c r="E256" s="23" t="s">
        <v>4065</v>
      </c>
      <c r="F256" s="23" t="s">
        <v>40</v>
      </c>
      <c r="G256" s="23" t="s">
        <v>4107</v>
      </c>
      <c r="H256" s="23" t="s">
        <v>4108</v>
      </c>
      <c r="I256" s="23" t="s">
        <v>4109</v>
      </c>
      <c r="J256" s="23" t="s">
        <v>466</v>
      </c>
      <c r="K256" s="24" t="s">
        <v>386</v>
      </c>
      <c r="L256" s="23" t="s">
        <v>13</v>
      </c>
      <c r="M256" s="25" t="s">
        <v>18</v>
      </c>
      <c r="N256" s="23" t="s">
        <v>40</v>
      </c>
      <c r="O256" s="23" t="s">
        <v>387</v>
      </c>
      <c r="P256" s="23" t="s">
        <v>40</v>
      </c>
      <c r="Q256" s="23" t="s">
        <v>40</v>
      </c>
      <c r="R256" s="23" t="s">
        <v>129</v>
      </c>
      <c r="S256" s="23" t="s">
        <v>40</v>
      </c>
      <c r="T256" s="23" t="s">
        <v>4099</v>
      </c>
    </row>
    <row r="257" spans="1:20" x14ac:dyDescent="0.25">
      <c r="A257" s="23" t="s">
        <v>4110</v>
      </c>
      <c r="B257" s="23" t="s">
        <v>128</v>
      </c>
      <c r="C257" s="23" t="s">
        <v>4071</v>
      </c>
      <c r="D257" s="23" t="s">
        <v>4111</v>
      </c>
      <c r="E257" s="23" t="s">
        <v>4065</v>
      </c>
      <c r="F257" s="23" t="s">
        <v>40</v>
      </c>
      <c r="G257" s="23" t="s">
        <v>4112</v>
      </c>
      <c r="H257" s="23" t="s">
        <v>4113</v>
      </c>
      <c r="I257" s="23" t="s">
        <v>4114</v>
      </c>
      <c r="J257" s="23" t="s">
        <v>466</v>
      </c>
      <c r="K257" s="27" t="s">
        <v>404</v>
      </c>
      <c r="L257" s="23" t="s">
        <v>405</v>
      </c>
      <c r="M257" s="25" t="s">
        <v>18</v>
      </c>
      <c r="N257" s="23" t="s">
        <v>40</v>
      </c>
      <c r="O257" s="23" t="s">
        <v>387</v>
      </c>
      <c r="P257" s="23" t="s">
        <v>40</v>
      </c>
      <c r="Q257" s="23" t="s">
        <v>40</v>
      </c>
      <c r="R257" s="23" t="s">
        <v>129</v>
      </c>
      <c r="S257" s="23" t="s">
        <v>40</v>
      </c>
      <c r="T257" s="23" t="s">
        <v>4099</v>
      </c>
    </row>
    <row r="258" spans="1:20" x14ac:dyDescent="0.25">
      <c r="A258" s="23" t="s">
        <v>4115</v>
      </c>
      <c r="B258" s="23" t="s">
        <v>128</v>
      </c>
      <c r="C258" s="23" t="s">
        <v>4071</v>
      </c>
      <c r="D258" s="23" t="s">
        <v>4116</v>
      </c>
      <c r="E258" s="23" t="s">
        <v>4065</v>
      </c>
      <c r="F258" s="23" t="s">
        <v>40</v>
      </c>
      <c r="G258" s="23" t="s">
        <v>4117</v>
      </c>
      <c r="H258" s="23" t="s">
        <v>4118</v>
      </c>
      <c r="I258" s="23" t="s">
        <v>4119</v>
      </c>
      <c r="J258" s="23" t="s">
        <v>466</v>
      </c>
      <c r="K258" s="27" t="s">
        <v>404</v>
      </c>
      <c r="L258" s="23" t="s">
        <v>405</v>
      </c>
      <c r="M258" s="25" t="s">
        <v>18</v>
      </c>
      <c r="N258" s="23" t="s">
        <v>40</v>
      </c>
      <c r="O258" s="23" t="s">
        <v>387</v>
      </c>
      <c r="P258" s="23" t="s">
        <v>40</v>
      </c>
      <c r="Q258" s="23" t="s">
        <v>40</v>
      </c>
      <c r="R258" s="23" t="s">
        <v>129</v>
      </c>
      <c r="S258" s="23" t="s">
        <v>40</v>
      </c>
      <c r="T258" s="23" t="s">
        <v>4099</v>
      </c>
    </row>
    <row r="259" spans="1:20" x14ac:dyDescent="0.25">
      <c r="A259" s="23" t="s">
        <v>4120</v>
      </c>
      <c r="B259" s="23" t="s">
        <v>128</v>
      </c>
      <c r="C259" s="23" t="s">
        <v>4071</v>
      </c>
      <c r="D259" s="23" t="s">
        <v>4121</v>
      </c>
      <c r="E259" s="23" t="s">
        <v>4065</v>
      </c>
      <c r="F259" s="23" t="s">
        <v>40</v>
      </c>
      <c r="G259" s="23" t="s">
        <v>4122</v>
      </c>
      <c r="H259" s="23" t="s">
        <v>4123</v>
      </c>
      <c r="I259" s="23" t="s">
        <v>4124</v>
      </c>
      <c r="J259" s="23" t="s">
        <v>466</v>
      </c>
      <c r="K259" s="24" t="s">
        <v>386</v>
      </c>
      <c r="L259" s="23" t="s">
        <v>13</v>
      </c>
      <c r="M259" s="25" t="s">
        <v>18</v>
      </c>
      <c r="N259" s="23" t="s">
        <v>40</v>
      </c>
      <c r="O259" s="23" t="s">
        <v>387</v>
      </c>
      <c r="P259" s="23" t="s">
        <v>40</v>
      </c>
      <c r="Q259" s="23" t="s">
        <v>40</v>
      </c>
      <c r="R259" s="23" t="s">
        <v>129</v>
      </c>
      <c r="S259" s="23" t="s">
        <v>40</v>
      </c>
      <c r="T259" s="23" t="s">
        <v>4099</v>
      </c>
    </row>
    <row r="260" spans="1:20" x14ac:dyDescent="0.25">
      <c r="A260" s="23" t="s">
        <v>4125</v>
      </c>
      <c r="B260" s="23" t="s">
        <v>128</v>
      </c>
      <c r="C260" s="23" t="s">
        <v>4071</v>
      </c>
      <c r="D260" s="23" t="s">
        <v>4126</v>
      </c>
      <c r="E260" s="23" t="s">
        <v>4065</v>
      </c>
      <c r="F260" s="23" t="s">
        <v>40</v>
      </c>
      <c r="G260" s="23" t="s">
        <v>4127</v>
      </c>
      <c r="H260" s="23" t="s">
        <v>4128</v>
      </c>
      <c r="I260" s="23" t="s">
        <v>4129</v>
      </c>
      <c r="J260" s="23" t="s">
        <v>466</v>
      </c>
      <c r="K260" s="27" t="s">
        <v>404</v>
      </c>
      <c r="L260" s="23" t="s">
        <v>405</v>
      </c>
      <c r="M260" s="25" t="s">
        <v>18</v>
      </c>
      <c r="N260" s="23" t="s">
        <v>40</v>
      </c>
      <c r="O260" s="23" t="s">
        <v>387</v>
      </c>
      <c r="P260" s="23" t="s">
        <v>40</v>
      </c>
      <c r="Q260" s="23" t="s">
        <v>40</v>
      </c>
      <c r="R260" s="23" t="s">
        <v>129</v>
      </c>
      <c r="S260" s="23" t="s">
        <v>40</v>
      </c>
      <c r="T260" s="23" t="s">
        <v>4099</v>
      </c>
    </row>
    <row r="261" spans="1:20" x14ac:dyDescent="0.25">
      <c r="A261" s="23" t="s">
        <v>4130</v>
      </c>
      <c r="B261" s="23" t="s">
        <v>128</v>
      </c>
      <c r="C261" s="23" t="s">
        <v>4071</v>
      </c>
      <c r="D261" s="23" t="s">
        <v>4131</v>
      </c>
      <c r="E261" s="23" t="s">
        <v>4065</v>
      </c>
      <c r="F261" s="23" t="s">
        <v>40</v>
      </c>
      <c r="G261" s="23" t="s">
        <v>4132</v>
      </c>
      <c r="H261" s="23" t="s">
        <v>4133</v>
      </c>
      <c r="I261" s="23" t="s">
        <v>4134</v>
      </c>
      <c r="J261" s="23" t="s">
        <v>489</v>
      </c>
      <c r="K261" s="27" t="s">
        <v>404</v>
      </c>
      <c r="L261" s="23" t="s">
        <v>405</v>
      </c>
      <c r="M261" s="25" t="s">
        <v>18</v>
      </c>
      <c r="N261" s="23" t="s">
        <v>40</v>
      </c>
      <c r="O261" s="23" t="s">
        <v>387</v>
      </c>
      <c r="P261" s="23" t="s">
        <v>40</v>
      </c>
      <c r="Q261" s="23" t="s">
        <v>40</v>
      </c>
      <c r="R261" s="23" t="s">
        <v>129</v>
      </c>
      <c r="S261" s="23" t="s">
        <v>40</v>
      </c>
      <c r="T261" s="23" t="s">
        <v>40</v>
      </c>
    </row>
    <row r="262" spans="1:20" x14ac:dyDescent="0.25">
      <c r="A262" s="23" t="s">
        <v>4135</v>
      </c>
      <c r="B262" s="23" t="s">
        <v>128</v>
      </c>
      <c r="C262" s="23" t="s">
        <v>4071</v>
      </c>
      <c r="D262" s="23" t="s">
        <v>4136</v>
      </c>
      <c r="E262" s="23" t="s">
        <v>4065</v>
      </c>
      <c r="F262" s="23" t="s">
        <v>40</v>
      </c>
      <c r="G262" s="23" t="s">
        <v>4137</v>
      </c>
      <c r="H262" s="23" t="s">
        <v>4138</v>
      </c>
      <c r="I262" s="23" t="s">
        <v>4139</v>
      </c>
      <c r="J262" s="23" t="s">
        <v>466</v>
      </c>
      <c r="K262" s="27" t="s">
        <v>404</v>
      </c>
      <c r="L262" s="23" t="s">
        <v>405</v>
      </c>
      <c r="M262" s="25" t="s">
        <v>18</v>
      </c>
      <c r="N262" s="23" t="s">
        <v>40</v>
      </c>
      <c r="O262" s="23" t="s">
        <v>387</v>
      </c>
      <c r="P262" s="23" t="s">
        <v>40</v>
      </c>
      <c r="Q262" s="23" t="s">
        <v>40</v>
      </c>
      <c r="R262" s="23" t="s">
        <v>129</v>
      </c>
      <c r="S262" s="23" t="s">
        <v>40</v>
      </c>
      <c r="T262" s="23" t="s">
        <v>40</v>
      </c>
    </row>
    <row r="263" spans="1:20" x14ac:dyDescent="0.25">
      <c r="A263" s="23" t="s">
        <v>4140</v>
      </c>
      <c r="B263" s="23" t="s">
        <v>128</v>
      </c>
      <c r="C263" s="23" t="s">
        <v>4071</v>
      </c>
      <c r="D263" s="23" t="s">
        <v>4141</v>
      </c>
      <c r="E263" s="23" t="s">
        <v>4065</v>
      </c>
      <c r="F263" s="23" t="s">
        <v>40</v>
      </c>
      <c r="G263" s="23" t="s">
        <v>4142</v>
      </c>
      <c r="H263" s="23" t="s">
        <v>4143</v>
      </c>
      <c r="I263" s="23" t="s">
        <v>4144</v>
      </c>
      <c r="J263" s="23" t="s">
        <v>385</v>
      </c>
      <c r="K263" s="32" t="s">
        <v>747</v>
      </c>
      <c r="L263" s="23" t="s">
        <v>490</v>
      </c>
      <c r="M263" s="25" t="s">
        <v>18</v>
      </c>
      <c r="N263" s="23" t="s">
        <v>40</v>
      </c>
      <c r="O263" s="23" t="s">
        <v>387</v>
      </c>
      <c r="P263" s="23" t="s">
        <v>40</v>
      </c>
      <c r="Q263" s="23" t="s">
        <v>40</v>
      </c>
      <c r="R263" s="23" t="s">
        <v>129</v>
      </c>
      <c r="S263" s="23" t="s">
        <v>40</v>
      </c>
      <c r="T263" s="23" t="s">
        <v>40</v>
      </c>
    </row>
    <row r="264" spans="1:20" x14ac:dyDescent="0.25">
      <c r="A264" s="23" t="s">
        <v>4145</v>
      </c>
      <c r="B264" s="23" t="s">
        <v>128</v>
      </c>
      <c r="C264" s="23" t="s">
        <v>4071</v>
      </c>
      <c r="D264" s="23" t="s">
        <v>4146</v>
      </c>
      <c r="E264" s="23" t="s">
        <v>4065</v>
      </c>
      <c r="F264" s="23" t="s">
        <v>40</v>
      </c>
      <c r="G264" s="23" t="s">
        <v>4147</v>
      </c>
      <c r="H264" s="23" t="s">
        <v>4148</v>
      </c>
      <c r="I264" s="23" t="s">
        <v>4149</v>
      </c>
      <c r="J264" s="23" t="s">
        <v>466</v>
      </c>
      <c r="K264" s="27" t="s">
        <v>404</v>
      </c>
      <c r="L264" s="23" t="s">
        <v>490</v>
      </c>
      <c r="M264" s="25" t="s">
        <v>18</v>
      </c>
      <c r="N264" s="23" t="s">
        <v>40</v>
      </c>
      <c r="O264" s="23" t="s">
        <v>387</v>
      </c>
      <c r="P264" s="23" t="s">
        <v>40</v>
      </c>
      <c r="Q264" s="23" t="s">
        <v>40</v>
      </c>
      <c r="R264" s="23" t="s">
        <v>129</v>
      </c>
      <c r="S264" s="23" t="s">
        <v>40</v>
      </c>
      <c r="T264" s="23" t="s">
        <v>40</v>
      </c>
    </row>
    <row r="265" spans="1:20" x14ac:dyDescent="0.25">
      <c r="A265" s="23" t="s">
        <v>4150</v>
      </c>
      <c r="B265" s="23" t="s">
        <v>128</v>
      </c>
      <c r="C265" s="23" t="s">
        <v>4071</v>
      </c>
      <c r="D265" s="23" t="s">
        <v>4151</v>
      </c>
      <c r="E265" s="23" t="s">
        <v>4065</v>
      </c>
      <c r="F265" s="23" t="s">
        <v>40</v>
      </c>
      <c r="G265" s="23" t="s">
        <v>4152</v>
      </c>
      <c r="H265" s="23" t="s">
        <v>4153</v>
      </c>
      <c r="I265" s="23" t="s">
        <v>4154</v>
      </c>
      <c r="J265" s="23" t="s">
        <v>15</v>
      </c>
      <c r="K265" s="27" t="s">
        <v>404</v>
      </c>
      <c r="L265" s="23" t="s">
        <v>405</v>
      </c>
      <c r="M265" s="25" t="s">
        <v>18</v>
      </c>
      <c r="N265" s="23" t="s">
        <v>40</v>
      </c>
      <c r="O265" s="23" t="s">
        <v>387</v>
      </c>
      <c r="P265" s="23" t="s">
        <v>40</v>
      </c>
      <c r="Q265" s="23" t="s">
        <v>40</v>
      </c>
      <c r="R265" s="23" t="s">
        <v>129</v>
      </c>
      <c r="S265" s="23" t="s">
        <v>40</v>
      </c>
      <c r="T265" s="23" t="s">
        <v>40</v>
      </c>
    </row>
    <row r="266" spans="1:20" x14ac:dyDescent="0.25">
      <c r="A266" s="23" t="s">
        <v>4155</v>
      </c>
      <c r="B266" s="23" t="s">
        <v>128</v>
      </c>
      <c r="C266" s="23" t="s">
        <v>4156</v>
      </c>
      <c r="D266" s="23" t="s">
        <v>4157</v>
      </c>
      <c r="E266" s="23" t="s">
        <v>4065</v>
      </c>
      <c r="F266" s="23" t="s">
        <v>40</v>
      </c>
      <c r="G266" s="23" t="s">
        <v>4158</v>
      </c>
      <c r="H266" s="23" t="s">
        <v>4159</v>
      </c>
      <c r="I266" s="23" t="s">
        <v>4160</v>
      </c>
      <c r="J266" s="23" t="s">
        <v>14</v>
      </c>
      <c r="K266" s="24" t="s">
        <v>386</v>
      </c>
      <c r="L266" s="23" t="s">
        <v>405</v>
      </c>
      <c r="M266" s="25" t="s">
        <v>18</v>
      </c>
      <c r="N266" s="23" t="s">
        <v>40</v>
      </c>
      <c r="O266" s="23" t="s">
        <v>387</v>
      </c>
      <c r="P266" s="23" t="s">
        <v>40</v>
      </c>
      <c r="Q266" s="23" t="s">
        <v>40</v>
      </c>
      <c r="R266" s="23" t="s">
        <v>129</v>
      </c>
      <c r="S266" s="23" t="s">
        <v>40</v>
      </c>
      <c r="T266" s="23" t="s">
        <v>40</v>
      </c>
    </row>
    <row r="267" spans="1:20" x14ac:dyDescent="0.25">
      <c r="A267" s="23" t="s">
        <v>4161</v>
      </c>
      <c r="B267" s="23" t="s">
        <v>128</v>
      </c>
      <c r="C267" s="23" t="s">
        <v>4156</v>
      </c>
      <c r="D267" s="23" t="s">
        <v>4162</v>
      </c>
      <c r="E267" s="23" t="s">
        <v>4065</v>
      </c>
      <c r="F267" s="23" t="s">
        <v>40</v>
      </c>
      <c r="G267" s="23" t="s">
        <v>4163</v>
      </c>
      <c r="H267" s="23" t="s">
        <v>4164</v>
      </c>
      <c r="I267" s="23" t="s">
        <v>4165</v>
      </c>
      <c r="J267" s="23" t="s">
        <v>15</v>
      </c>
      <c r="K267" s="24" t="s">
        <v>386</v>
      </c>
      <c r="L267" s="23" t="s">
        <v>13</v>
      </c>
      <c r="M267" s="25" t="s">
        <v>18</v>
      </c>
      <c r="N267" s="23" t="s">
        <v>40</v>
      </c>
      <c r="O267" s="23" t="s">
        <v>387</v>
      </c>
      <c r="P267" s="23" t="s">
        <v>40</v>
      </c>
      <c r="Q267" s="23" t="s">
        <v>40</v>
      </c>
      <c r="R267" s="23" t="s">
        <v>129</v>
      </c>
      <c r="S267" s="23" t="s">
        <v>40</v>
      </c>
      <c r="T267" s="23" t="s">
        <v>4099</v>
      </c>
    </row>
    <row r="268" spans="1:20" x14ac:dyDescent="0.25">
      <c r="A268" s="23" t="s">
        <v>4166</v>
      </c>
      <c r="B268" s="23" t="s">
        <v>128</v>
      </c>
      <c r="C268" s="23" t="s">
        <v>4156</v>
      </c>
      <c r="D268" s="23" t="s">
        <v>4167</v>
      </c>
      <c r="E268" s="23" t="s">
        <v>4065</v>
      </c>
      <c r="F268" s="23" t="s">
        <v>40</v>
      </c>
      <c r="G268" s="23" t="s">
        <v>4168</v>
      </c>
      <c r="H268" s="23" t="s">
        <v>4169</v>
      </c>
      <c r="I268" s="23" t="s">
        <v>4170</v>
      </c>
      <c r="J268" s="23" t="s">
        <v>14</v>
      </c>
      <c r="K268" s="26" t="s">
        <v>396</v>
      </c>
      <c r="L268" s="23" t="s">
        <v>13</v>
      </c>
      <c r="M268" s="28" t="s">
        <v>16</v>
      </c>
      <c r="N268" s="23" t="s">
        <v>4077</v>
      </c>
      <c r="O268" s="29" t="s">
        <v>87</v>
      </c>
      <c r="P268" s="23" t="s">
        <v>40</v>
      </c>
      <c r="Q268" s="23" t="s">
        <v>40</v>
      </c>
      <c r="R268" s="23" t="s">
        <v>129</v>
      </c>
      <c r="S268" s="23" t="s">
        <v>40</v>
      </c>
      <c r="T268" s="23" t="s">
        <v>40</v>
      </c>
    </row>
    <row r="269" spans="1:20" x14ac:dyDescent="0.25">
      <c r="A269" s="23" t="s">
        <v>4171</v>
      </c>
      <c r="B269" s="23" t="s">
        <v>128</v>
      </c>
      <c r="C269" s="23" t="s">
        <v>4156</v>
      </c>
      <c r="D269" s="23" t="s">
        <v>4172</v>
      </c>
      <c r="E269" s="23" t="s">
        <v>4065</v>
      </c>
      <c r="F269" s="23" t="s">
        <v>40</v>
      </c>
      <c r="G269" s="23" t="s">
        <v>4173</v>
      </c>
      <c r="H269" s="23" t="s">
        <v>4174</v>
      </c>
      <c r="I269" s="23" t="s">
        <v>4175</v>
      </c>
      <c r="J269" s="23" t="s">
        <v>801</v>
      </c>
      <c r="K269" s="26" t="s">
        <v>396</v>
      </c>
      <c r="L269" s="23" t="s">
        <v>13</v>
      </c>
      <c r="M269" s="28" t="s">
        <v>16</v>
      </c>
      <c r="N269" s="23" t="s">
        <v>4077</v>
      </c>
      <c r="O269" s="29" t="s">
        <v>87</v>
      </c>
      <c r="P269" s="23" t="s">
        <v>40</v>
      </c>
      <c r="Q269" s="23" t="s">
        <v>40</v>
      </c>
      <c r="R269" s="23" t="s">
        <v>129</v>
      </c>
      <c r="S269" s="23" t="s">
        <v>40</v>
      </c>
      <c r="T269" s="23" t="s">
        <v>40</v>
      </c>
    </row>
    <row r="270" spans="1:20" x14ac:dyDescent="0.25">
      <c r="A270" s="23" t="s">
        <v>4176</v>
      </c>
      <c r="B270" s="23" t="s">
        <v>128</v>
      </c>
      <c r="C270" s="23" t="s">
        <v>4156</v>
      </c>
      <c r="D270" s="23" t="s">
        <v>4177</v>
      </c>
      <c r="E270" s="23" t="s">
        <v>4065</v>
      </c>
      <c r="F270" s="23" t="s">
        <v>40</v>
      </c>
      <c r="G270" s="23" t="s">
        <v>4178</v>
      </c>
      <c r="H270" s="23" t="s">
        <v>4179</v>
      </c>
      <c r="I270" s="23" t="s">
        <v>4180</v>
      </c>
      <c r="J270" s="23" t="s">
        <v>15</v>
      </c>
      <c r="K270" s="24" t="s">
        <v>386</v>
      </c>
      <c r="L270" s="23" t="s">
        <v>13</v>
      </c>
      <c r="M270" s="25" t="s">
        <v>18</v>
      </c>
      <c r="N270" s="23" t="s">
        <v>40</v>
      </c>
      <c r="O270" s="23" t="s">
        <v>387</v>
      </c>
      <c r="P270" s="23" t="s">
        <v>40</v>
      </c>
      <c r="Q270" s="23" t="s">
        <v>40</v>
      </c>
      <c r="R270" s="23" t="s">
        <v>129</v>
      </c>
      <c r="S270" s="23" t="s">
        <v>40</v>
      </c>
      <c r="T270" s="23" t="s">
        <v>40</v>
      </c>
    </row>
    <row r="271" spans="1:20" x14ac:dyDescent="0.25">
      <c r="A271" s="23" t="s">
        <v>4181</v>
      </c>
      <c r="B271" s="23" t="s">
        <v>128</v>
      </c>
      <c r="C271" s="23" t="s">
        <v>4156</v>
      </c>
      <c r="D271" s="23" t="s">
        <v>4182</v>
      </c>
      <c r="E271" s="23" t="s">
        <v>4183</v>
      </c>
      <c r="F271" s="23" t="s">
        <v>40</v>
      </c>
      <c r="G271" s="23" t="s">
        <v>4184</v>
      </c>
      <c r="H271" s="23" t="s">
        <v>4185</v>
      </c>
      <c r="I271" s="23" t="s">
        <v>4186</v>
      </c>
      <c r="J271" s="23" t="s">
        <v>14</v>
      </c>
      <c r="K271" s="24" t="s">
        <v>386</v>
      </c>
      <c r="L271" s="23" t="s">
        <v>405</v>
      </c>
      <c r="M271" s="25" t="s">
        <v>18</v>
      </c>
      <c r="N271" s="23" t="s">
        <v>40</v>
      </c>
      <c r="O271" s="23" t="s">
        <v>387</v>
      </c>
      <c r="P271" s="23" t="s">
        <v>40</v>
      </c>
      <c r="Q271" s="23" t="s">
        <v>40</v>
      </c>
      <c r="R271" s="23" t="s">
        <v>129</v>
      </c>
      <c r="S271" s="23" t="s">
        <v>40</v>
      </c>
      <c r="T271" s="23" t="s">
        <v>40</v>
      </c>
    </row>
    <row r="272" spans="1:20" x14ac:dyDescent="0.25">
      <c r="A272" s="23" t="s">
        <v>4187</v>
      </c>
      <c r="B272" s="23" t="s">
        <v>128</v>
      </c>
      <c r="C272" s="23" t="s">
        <v>4156</v>
      </c>
      <c r="D272" s="23" t="s">
        <v>4188</v>
      </c>
      <c r="E272" s="23" t="s">
        <v>4065</v>
      </c>
      <c r="F272" s="23" t="s">
        <v>40</v>
      </c>
      <c r="G272" s="23" t="s">
        <v>4189</v>
      </c>
      <c r="H272" s="23" t="s">
        <v>4190</v>
      </c>
      <c r="I272" s="23" t="s">
        <v>4191</v>
      </c>
      <c r="J272" s="23" t="s">
        <v>466</v>
      </c>
      <c r="K272" s="27" t="s">
        <v>404</v>
      </c>
      <c r="L272" s="23" t="s">
        <v>490</v>
      </c>
      <c r="M272" s="25" t="s">
        <v>18</v>
      </c>
      <c r="N272" s="23" t="s">
        <v>40</v>
      </c>
      <c r="O272" s="23" t="s">
        <v>387</v>
      </c>
      <c r="P272" s="23" t="s">
        <v>40</v>
      </c>
      <c r="Q272" s="23" t="s">
        <v>40</v>
      </c>
      <c r="R272" s="23" t="s">
        <v>129</v>
      </c>
      <c r="S272" s="23" t="s">
        <v>40</v>
      </c>
      <c r="T272" s="23" t="s">
        <v>40</v>
      </c>
    </row>
    <row r="273" spans="1:20" x14ac:dyDescent="0.25">
      <c r="A273" s="23" t="s">
        <v>4192</v>
      </c>
      <c r="B273" s="23" t="s">
        <v>128</v>
      </c>
      <c r="C273" s="23" t="s">
        <v>4156</v>
      </c>
      <c r="D273" s="23" t="s">
        <v>4193</v>
      </c>
      <c r="E273" s="23" t="s">
        <v>4065</v>
      </c>
      <c r="F273" s="23" t="s">
        <v>40</v>
      </c>
      <c r="G273" s="23" t="s">
        <v>4194</v>
      </c>
      <c r="H273" s="23" t="s">
        <v>4195</v>
      </c>
      <c r="I273" s="23" t="s">
        <v>4196</v>
      </c>
      <c r="J273" s="23" t="s">
        <v>14</v>
      </c>
      <c r="K273" s="26" t="s">
        <v>396</v>
      </c>
      <c r="L273" s="23" t="s">
        <v>13</v>
      </c>
      <c r="M273" s="28" t="s">
        <v>16</v>
      </c>
      <c r="N273" s="23" t="s">
        <v>4077</v>
      </c>
      <c r="O273" s="29" t="s">
        <v>87</v>
      </c>
      <c r="P273" s="23" t="s">
        <v>40</v>
      </c>
      <c r="Q273" s="23" t="s">
        <v>40</v>
      </c>
      <c r="R273" s="23" t="s">
        <v>129</v>
      </c>
      <c r="S273" s="23" t="s">
        <v>40</v>
      </c>
      <c r="T273" s="23" t="s">
        <v>40</v>
      </c>
    </row>
    <row r="274" spans="1:20" x14ac:dyDescent="0.25">
      <c r="A274" s="23" t="s">
        <v>4197</v>
      </c>
      <c r="B274" s="23" t="s">
        <v>128</v>
      </c>
      <c r="C274" s="23" t="s">
        <v>4156</v>
      </c>
      <c r="D274" s="23" t="s">
        <v>4198</v>
      </c>
      <c r="E274" s="23" t="s">
        <v>4065</v>
      </c>
      <c r="F274" s="23" t="s">
        <v>40</v>
      </c>
      <c r="G274" s="23" t="s">
        <v>4199</v>
      </c>
      <c r="H274" s="23" t="s">
        <v>4200</v>
      </c>
      <c r="I274" s="23" t="s">
        <v>4201</v>
      </c>
      <c r="J274" s="23" t="s">
        <v>15</v>
      </c>
      <c r="K274" s="27" t="s">
        <v>404</v>
      </c>
      <c r="L274" s="23" t="s">
        <v>405</v>
      </c>
      <c r="M274" s="30" t="s">
        <v>19</v>
      </c>
      <c r="N274" s="23" t="s">
        <v>40</v>
      </c>
      <c r="O274" s="23" t="s">
        <v>387</v>
      </c>
      <c r="P274" s="23" t="s">
        <v>40</v>
      </c>
      <c r="Q274" s="23" t="s">
        <v>40</v>
      </c>
      <c r="R274" s="23" t="s">
        <v>129</v>
      </c>
      <c r="S274" s="23" t="s">
        <v>4202</v>
      </c>
      <c r="T274" s="23" t="s">
        <v>40</v>
      </c>
    </row>
    <row r="275" spans="1:20" x14ac:dyDescent="0.25">
      <c r="A275" s="23" t="s">
        <v>4203</v>
      </c>
      <c r="B275" s="23" t="s">
        <v>128</v>
      </c>
      <c r="C275" s="23" t="s">
        <v>4156</v>
      </c>
      <c r="D275" s="23" t="s">
        <v>4204</v>
      </c>
      <c r="E275" s="23" t="s">
        <v>4065</v>
      </c>
      <c r="F275" s="23" t="s">
        <v>40</v>
      </c>
      <c r="G275" s="23" t="s">
        <v>4205</v>
      </c>
      <c r="H275" s="23" t="s">
        <v>4206</v>
      </c>
      <c r="I275" s="23" t="s">
        <v>4207</v>
      </c>
      <c r="J275" s="23" t="s">
        <v>14</v>
      </c>
      <c r="K275" s="26" t="s">
        <v>396</v>
      </c>
      <c r="L275" s="23" t="s">
        <v>13</v>
      </c>
      <c r="M275" s="28" t="s">
        <v>16</v>
      </c>
      <c r="N275" s="23" t="s">
        <v>4077</v>
      </c>
      <c r="O275" s="29" t="s">
        <v>87</v>
      </c>
      <c r="P275" s="23" t="s">
        <v>40</v>
      </c>
      <c r="Q275" s="23" t="s">
        <v>40</v>
      </c>
      <c r="R275" s="23" t="s">
        <v>129</v>
      </c>
      <c r="S275" s="23" t="s">
        <v>40</v>
      </c>
      <c r="T275" s="23" t="s">
        <v>40</v>
      </c>
    </row>
    <row r="276" spans="1:20" x14ac:dyDescent="0.25">
      <c r="A276" s="23" t="s">
        <v>4208</v>
      </c>
      <c r="B276" s="23" t="s">
        <v>128</v>
      </c>
      <c r="C276" s="23" t="s">
        <v>4156</v>
      </c>
      <c r="D276" s="23" t="s">
        <v>4209</v>
      </c>
      <c r="E276" s="23" t="s">
        <v>4065</v>
      </c>
      <c r="F276" s="23" t="s">
        <v>40</v>
      </c>
      <c r="G276" s="23" t="s">
        <v>4210</v>
      </c>
      <c r="H276" s="23" t="s">
        <v>4211</v>
      </c>
      <c r="I276" s="23" t="s">
        <v>4212</v>
      </c>
      <c r="J276" s="23" t="s">
        <v>14</v>
      </c>
      <c r="K276" s="24" t="s">
        <v>386</v>
      </c>
      <c r="L276" s="23" t="s">
        <v>405</v>
      </c>
      <c r="M276" s="25" t="s">
        <v>18</v>
      </c>
      <c r="N276" s="23" t="s">
        <v>40</v>
      </c>
      <c r="O276" s="23" t="s">
        <v>387</v>
      </c>
      <c r="P276" s="23" t="s">
        <v>40</v>
      </c>
      <c r="Q276" s="23" t="s">
        <v>40</v>
      </c>
      <c r="R276" s="23" t="s">
        <v>129</v>
      </c>
      <c r="S276" s="23" t="s">
        <v>40</v>
      </c>
      <c r="T276" s="23" t="s">
        <v>40</v>
      </c>
    </row>
    <row r="277" spans="1:20" x14ac:dyDescent="0.25">
      <c r="A277" s="23" t="s">
        <v>4213</v>
      </c>
      <c r="B277" s="23" t="s">
        <v>128</v>
      </c>
      <c r="C277" s="23" t="s">
        <v>4156</v>
      </c>
      <c r="D277" s="23" t="s">
        <v>4214</v>
      </c>
      <c r="E277" s="23" t="s">
        <v>4065</v>
      </c>
      <c r="F277" s="23" t="s">
        <v>40</v>
      </c>
      <c r="G277" s="23" t="s">
        <v>4215</v>
      </c>
      <c r="H277" s="23" t="s">
        <v>4216</v>
      </c>
      <c r="I277" s="23" t="s">
        <v>4217</v>
      </c>
      <c r="J277" s="23" t="s">
        <v>14</v>
      </c>
      <c r="K277" s="27" t="s">
        <v>404</v>
      </c>
      <c r="L277" s="23" t="s">
        <v>490</v>
      </c>
      <c r="M277" s="25" t="s">
        <v>18</v>
      </c>
      <c r="N277" s="23" t="s">
        <v>40</v>
      </c>
      <c r="O277" s="23" t="s">
        <v>387</v>
      </c>
      <c r="P277" s="23" t="s">
        <v>40</v>
      </c>
      <c r="Q277" s="23" t="s">
        <v>40</v>
      </c>
      <c r="R277" s="23" t="s">
        <v>129</v>
      </c>
      <c r="S277" s="23" t="s">
        <v>40</v>
      </c>
      <c r="T277" s="23" t="s">
        <v>40</v>
      </c>
    </row>
    <row r="278" spans="1:20" x14ac:dyDescent="0.25">
      <c r="A278" s="23" t="s">
        <v>4218</v>
      </c>
      <c r="B278" s="23" t="s">
        <v>128</v>
      </c>
      <c r="C278" s="23" t="s">
        <v>4156</v>
      </c>
      <c r="D278" s="23" t="s">
        <v>4219</v>
      </c>
      <c r="E278" s="23" t="s">
        <v>4065</v>
      </c>
      <c r="F278" s="23" t="s">
        <v>40</v>
      </c>
      <c r="G278" s="23" t="s">
        <v>4220</v>
      </c>
      <c r="H278" s="23" t="s">
        <v>4221</v>
      </c>
      <c r="I278" s="23" t="s">
        <v>4222</v>
      </c>
      <c r="J278" s="23" t="s">
        <v>15</v>
      </c>
      <c r="K278" s="27" t="s">
        <v>404</v>
      </c>
      <c r="L278" s="23" t="s">
        <v>490</v>
      </c>
      <c r="M278" s="25" t="s">
        <v>18</v>
      </c>
      <c r="N278" s="23" t="s">
        <v>40</v>
      </c>
      <c r="O278" s="23" t="s">
        <v>387</v>
      </c>
      <c r="P278" s="23" t="s">
        <v>40</v>
      </c>
      <c r="Q278" s="23" t="s">
        <v>40</v>
      </c>
      <c r="R278" s="23" t="s">
        <v>129</v>
      </c>
      <c r="S278" s="23" t="s">
        <v>40</v>
      </c>
      <c r="T278" s="23" t="s">
        <v>40</v>
      </c>
    </row>
    <row r="279" spans="1:20" x14ac:dyDescent="0.25">
      <c r="A279" s="23" t="s">
        <v>4223</v>
      </c>
      <c r="B279" s="23" t="s">
        <v>128</v>
      </c>
      <c r="C279" s="23" t="s">
        <v>4156</v>
      </c>
      <c r="D279" s="23" t="s">
        <v>4224</v>
      </c>
      <c r="E279" s="23" t="s">
        <v>4065</v>
      </c>
      <c r="F279" s="23" t="s">
        <v>40</v>
      </c>
      <c r="G279" s="23" t="s">
        <v>4225</v>
      </c>
      <c r="H279" s="23" t="s">
        <v>4226</v>
      </c>
      <c r="I279" s="23" t="s">
        <v>4227</v>
      </c>
      <c r="J279" s="23" t="s">
        <v>14</v>
      </c>
      <c r="K279" s="27" t="s">
        <v>404</v>
      </c>
      <c r="L279" s="23" t="s">
        <v>490</v>
      </c>
      <c r="M279" s="25" t="s">
        <v>18</v>
      </c>
      <c r="N279" s="23" t="s">
        <v>40</v>
      </c>
      <c r="O279" s="23" t="s">
        <v>387</v>
      </c>
      <c r="P279" s="23" t="s">
        <v>40</v>
      </c>
      <c r="Q279" s="23" t="s">
        <v>40</v>
      </c>
      <c r="R279" s="23" t="s">
        <v>129</v>
      </c>
      <c r="S279" s="23" t="s">
        <v>40</v>
      </c>
      <c r="T279" s="23" t="s">
        <v>4228</v>
      </c>
    </row>
    <row r="280" spans="1:20" x14ac:dyDescent="0.25">
      <c r="A280" s="23" t="s">
        <v>4229</v>
      </c>
      <c r="B280" s="23" t="s">
        <v>128</v>
      </c>
      <c r="C280" s="23" t="s">
        <v>4156</v>
      </c>
      <c r="D280" s="23" t="s">
        <v>4230</v>
      </c>
      <c r="E280" s="23" t="s">
        <v>4065</v>
      </c>
      <c r="F280" s="23" t="s">
        <v>40</v>
      </c>
      <c r="G280" s="23" t="s">
        <v>4231</v>
      </c>
      <c r="H280" s="23" t="s">
        <v>4232</v>
      </c>
      <c r="I280" s="23" t="s">
        <v>4233</v>
      </c>
      <c r="J280" s="23" t="s">
        <v>15</v>
      </c>
      <c r="K280" s="27" t="s">
        <v>404</v>
      </c>
      <c r="L280" s="23" t="s">
        <v>405</v>
      </c>
      <c r="M280" s="25" t="s">
        <v>18</v>
      </c>
      <c r="N280" s="23" t="s">
        <v>40</v>
      </c>
      <c r="O280" s="23" t="s">
        <v>387</v>
      </c>
      <c r="P280" s="23" t="s">
        <v>40</v>
      </c>
      <c r="Q280" s="23" t="s">
        <v>40</v>
      </c>
      <c r="R280" s="23" t="s">
        <v>129</v>
      </c>
      <c r="S280" s="23" t="s">
        <v>40</v>
      </c>
      <c r="T280" s="23" t="s">
        <v>40</v>
      </c>
    </row>
    <row r="281" spans="1:20" x14ac:dyDescent="0.25">
      <c r="A281" s="23" t="s">
        <v>4234</v>
      </c>
      <c r="B281" s="23" t="s">
        <v>128</v>
      </c>
      <c r="C281" s="23" t="s">
        <v>4156</v>
      </c>
      <c r="D281" s="23" t="s">
        <v>4235</v>
      </c>
      <c r="E281" s="23" t="s">
        <v>4065</v>
      </c>
      <c r="F281" s="23" t="s">
        <v>40</v>
      </c>
      <c r="G281" s="23" t="s">
        <v>4236</v>
      </c>
      <c r="H281" s="23" t="s">
        <v>4237</v>
      </c>
      <c r="I281" s="23" t="s">
        <v>4238</v>
      </c>
      <c r="J281" s="23" t="s">
        <v>14</v>
      </c>
      <c r="K281" s="27" t="s">
        <v>404</v>
      </c>
      <c r="L281" s="23" t="s">
        <v>490</v>
      </c>
      <c r="M281" s="25" t="s">
        <v>18</v>
      </c>
      <c r="N281" s="23" t="s">
        <v>40</v>
      </c>
      <c r="O281" s="23" t="s">
        <v>387</v>
      </c>
      <c r="P281" s="23" t="s">
        <v>40</v>
      </c>
      <c r="Q281" s="23" t="s">
        <v>40</v>
      </c>
      <c r="R281" s="23" t="s">
        <v>129</v>
      </c>
      <c r="S281" s="23" t="s">
        <v>40</v>
      </c>
      <c r="T281" s="23" t="s">
        <v>40</v>
      </c>
    </row>
    <row r="282" spans="1:20" x14ac:dyDescent="0.25">
      <c r="A282" s="23" t="s">
        <v>4239</v>
      </c>
      <c r="B282" s="23" t="s">
        <v>128</v>
      </c>
      <c r="C282" s="23" t="s">
        <v>4156</v>
      </c>
      <c r="D282" s="23" t="s">
        <v>4240</v>
      </c>
      <c r="E282" s="23" t="s">
        <v>2944</v>
      </c>
      <c r="F282" s="23" t="s">
        <v>40</v>
      </c>
      <c r="G282" s="23" t="s">
        <v>4241</v>
      </c>
      <c r="H282" s="23" t="s">
        <v>4242</v>
      </c>
      <c r="I282" s="23" t="s">
        <v>3671</v>
      </c>
      <c r="J282" s="23" t="s">
        <v>525</v>
      </c>
      <c r="K282" s="24" t="s">
        <v>386</v>
      </c>
      <c r="L282" s="23" t="s">
        <v>13</v>
      </c>
      <c r="M282" s="25" t="s">
        <v>18</v>
      </c>
      <c r="N282" s="23" t="s">
        <v>40</v>
      </c>
      <c r="O282" s="23" t="s">
        <v>387</v>
      </c>
      <c r="P282" s="23" t="s">
        <v>40</v>
      </c>
      <c r="Q282" s="23" t="s">
        <v>40</v>
      </c>
      <c r="R282" s="23" t="s">
        <v>129</v>
      </c>
      <c r="S282" s="23" t="s">
        <v>40</v>
      </c>
      <c r="T282" s="23" t="s">
        <v>40</v>
      </c>
    </row>
    <row r="283" spans="1:20" x14ac:dyDescent="0.25">
      <c r="A283" s="23" t="s">
        <v>4243</v>
      </c>
      <c r="B283" s="23" t="s">
        <v>131</v>
      </c>
      <c r="C283" s="23" t="s">
        <v>944</v>
      </c>
      <c r="D283" s="23" t="s">
        <v>4244</v>
      </c>
      <c r="E283" s="23" t="s">
        <v>4245</v>
      </c>
      <c r="F283" s="23" t="s">
        <v>40</v>
      </c>
      <c r="G283" s="23" t="s">
        <v>4246</v>
      </c>
      <c r="H283" s="23" t="s">
        <v>4247</v>
      </c>
      <c r="I283" s="23" t="s">
        <v>4248</v>
      </c>
      <c r="J283" s="23" t="s">
        <v>385</v>
      </c>
      <c r="K283" s="24" t="s">
        <v>386</v>
      </c>
      <c r="L283" s="23" t="s">
        <v>13</v>
      </c>
      <c r="M283" s="31" t="s">
        <v>17</v>
      </c>
      <c r="N283" s="23" t="s">
        <v>4249</v>
      </c>
      <c r="O283" s="29" t="s">
        <v>87</v>
      </c>
      <c r="P283" s="23" t="s">
        <v>40</v>
      </c>
      <c r="Q283" s="23" t="s">
        <v>40</v>
      </c>
      <c r="R283" s="23" t="s">
        <v>132</v>
      </c>
      <c r="S283" s="23" t="s">
        <v>40</v>
      </c>
      <c r="T283" s="23" t="s">
        <v>40</v>
      </c>
    </row>
    <row r="284" spans="1:20" x14ac:dyDescent="0.25">
      <c r="A284" s="23" t="s">
        <v>4250</v>
      </c>
      <c r="B284" s="23" t="s">
        <v>131</v>
      </c>
      <c r="C284" s="23" t="s">
        <v>4251</v>
      </c>
      <c r="D284" s="23" t="s">
        <v>4252</v>
      </c>
      <c r="E284" s="23" t="s">
        <v>4245</v>
      </c>
      <c r="F284" s="23" t="s">
        <v>40</v>
      </c>
      <c r="G284" s="23" t="s">
        <v>4253</v>
      </c>
      <c r="H284" s="23" t="s">
        <v>4254</v>
      </c>
      <c r="I284" s="23" t="s">
        <v>4255</v>
      </c>
      <c r="J284" s="23" t="s">
        <v>801</v>
      </c>
      <c r="K284" s="26" t="s">
        <v>396</v>
      </c>
      <c r="L284" s="23" t="s">
        <v>13</v>
      </c>
      <c r="M284" s="28" t="s">
        <v>16</v>
      </c>
      <c r="N284" s="23" t="s">
        <v>4077</v>
      </c>
      <c r="O284" s="29" t="s">
        <v>87</v>
      </c>
      <c r="P284" s="23" t="s">
        <v>40</v>
      </c>
      <c r="Q284" s="23" t="s">
        <v>40</v>
      </c>
      <c r="R284" s="23" t="s">
        <v>132</v>
      </c>
      <c r="S284" s="23" t="s">
        <v>40</v>
      </c>
      <c r="T284" s="23" t="s">
        <v>40</v>
      </c>
    </row>
    <row r="285" spans="1:20" x14ac:dyDescent="0.25">
      <c r="A285" s="23" t="s">
        <v>4256</v>
      </c>
      <c r="B285" s="23" t="s">
        <v>131</v>
      </c>
      <c r="C285" s="23" t="s">
        <v>4251</v>
      </c>
      <c r="D285" s="23" t="s">
        <v>4257</v>
      </c>
      <c r="E285" s="23" t="s">
        <v>4245</v>
      </c>
      <c r="F285" s="23" t="s">
        <v>40</v>
      </c>
      <c r="G285" s="23" t="s">
        <v>4258</v>
      </c>
      <c r="H285" s="23" t="s">
        <v>4259</v>
      </c>
      <c r="I285" s="23" t="s">
        <v>4260</v>
      </c>
      <c r="J285" s="23" t="s">
        <v>15</v>
      </c>
      <c r="K285" s="27" t="s">
        <v>404</v>
      </c>
      <c r="L285" s="23" t="s">
        <v>405</v>
      </c>
      <c r="M285" s="25" t="s">
        <v>18</v>
      </c>
      <c r="N285" s="23" t="s">
        <v>40</v>
      </c>
      <c r="O285" s="23" t="s">
        <v>387</v>
      </c>
      <c r="P285" s="23" t="s">
        <v>40</v>
      </c>
      <c r="Q285" s="23" t="s">
        <v>40</v>
      </c>
      <c r="R285" s="23" t="s">
        <v>132</v>
      </c>
      <c r="S285" s="23" t="s">
        <v>40</v>
      </c>
      <c r="T285" s="23" t="s">
        <v>4261</v>
      </c>
    </row>
    <row r="286" spans="1:20" x14ac:dyDescent="0.25">
      <c r="A286" s="23" t="s">
        <v>4262</v>
      </c>
      <c r="B286" s="23" t="s">
        <v>131</v>
      </c>
      <c r="C286" s="23" t="s">
        <v>4251</v>
      </c>
      <c r="D286" s="23" t="s">
        <v>4263</v>
      </c>
      <c r="E286" s="23" t="s">
        <v>4245</v>
      </c>
      <c r="F286" s="23" t="s">
        <v>40</v>
      </c>
      <c r="G286" s="23" t="s">
        <v>4264</v>
      </c>
      <c r="H286" s="23" t="s">
        <v>4265</v>
      </c>
      <c r="I286" s="23" t="s">
        <v>4266</v>
      </c>
      <c r="J286" s="23" t="s">
        <v>14</v>
      </c>
      <c r="K286" s="26" t="s">
        <v>396</v>
      </c>
      <c r="L286" s="23" t="s">
        <v>13</v>
      </c>
      <c r="M286" s="28" t="s">
        <v>16</v>
      </c>
      <c r="N286" s="23" t="s">
        <v>4267</v>
      </c>
      <c r="O286" s="29" t="s">
        <v>87</v>
      </c>
      <c r="P286" s="23" t="s">
        <v>40</v>
      </c>
      <c r="Q286" s="23" t="s">
        <v>40</v>
      </c>
      <c r="R286" s="23" t="s">
        <v>132</v>
      </c>
      <c r="S286" s="23" t="s">
        <v>40</v>
      </c>
      <c r="T286" s="23" t="s">
        <v>40</v>
      </c>
    </row>
    <row r="287" spans="1:20" x14ac:dyDescent="0.25">
      <c r="A287" s="23" t="s">
        <v>4268</v>
      </c>
      <c r="B287" s="23" t="s">
        <v>131</v>
      </c>
      <c r="C287" s="23" t="s">
        <v>4251</v>
      </c>
      <c r="D287" s="23" t="s">
        <v>4269</v>
      </c>
      <c r="E287" s="23" t="s">
        <v>4245</v>
      </c>
      <c r="F287" s="23" t="s">
        <v>40</v>
      </c>
      <c r="G287" s="23" t="s">
        <v>4270</v>
      </c>
      <c r="H287" s="23" t="s">
        <v>4271</v>
      </c>
      <c r="I287" s="23" t="s">
        <v>4272</v>
      </c>
      <c r="J287" s="23" t="s">
        <v>15</v>
      </c>
      <c r="K287" s="27" t="s">
        <v>404</v>
      </c>
      <c r="L287" s="23" t="s">
        <v>490</v>
      </c>
      <c r="M287" s="25" t="s">
        <v>18</v>
      </c>
      <c r="N287" s="23" t="s">
        <v>40</v>
      </c>
      <c r="O287" s="23" t="s">
        <v>387</v>
      </c>
      <c r="P287" s="23" t="s">
        <v>40</v>
      </c>
      <c r="Q287" s="23" t="s">
        <v>40</v>
      </c>
      <c r="R287" s="23" t="s">
        <v>132</v>
      </c>
      <c r="S287" s="23" t="s">
        <v>40</v>
      </c>
      <c r="T287" s="23" t="s">
        <v>40</v>
      </c>
    </row>
    <row r="288" spans="1:20" x14ac:dyDescent="0.25">
      <c r="A288" s="23" t="s">
        <v>4273</v>
      </c>
      <c r="B288" s="23" t="s">
        <v>131</v>
      </c>
      <c r="C288" s="23" t="s">
        <v>4251</v>
      </c>
      <c r="D288" s="23" t="s">
        <v>4274</v>
      </c>
      <c r="E288" s="23" t="s">
        <v>4245</v>
      </c>
      <c r="F288" s="23" t="s">
        <v>40</v>
      </c>
      <c r="G288" s="23" t="s">
        <v>4275</v>
      </c>
      <c r="H288" s="23" t="s">
        <v>4276</v>
      </c>
      <c r="I288" s="23" t="s">
        <v>4277</v>
      </c>
      <c r="J288" s="23" t="s">
        <v>14</v>
      </c>
      <c r="K288" s="24" t="s">
        <v>386</v>
      </c>
      <c r="L288" s="23" t="s">
        <v>405</v>
      </c>
      <c r="M288" s="25" t="s">
        <v>18</v>
      </c>
      <c r="N288" s="23" t="s">
        <v>40</v>
      </c>
      <c r="O288" s="23" t="s">
        <v>387</v>
      </c>
      <c r="P288" s="23" t="s">
        <v>40</v>
      </c>
      <c r="Q288" s="23" t="s">
        <v>40</v>
      </c>
      <c r="R288" s="23" t="s">
        <v>132</v>
      </c>
      <c r="S288" s="23" t="s">
        <v>40</v>
      </c>
      <c r="T288" s="23" t="s">
        <v>40</v>
      </c>
    </row>
    <row r="289" spans="1:20" x14ac:dyDescent="0.25">
      <c r="A289" s="23" t="s">
        <v>4278</v>
      </c>
      <c r="B289" s="23" t="s">
        <v>131</v>
      </c>
      <c r="C289" s="23" t="s">
        <v>4251</v>
      </c>
      <c r="D289" s="23" t="s">
        <v>4279</v>
      </c>
      <c r="E289" s="23" t="s">
        <v>4245</v>
      </c>
      <c r="F289" s="23" t="s">
        <v>40</v>
      </c>
      <c r="G289" s="23" t="s">
        <v>4280</v>
      </c>
      <c r="H289" s="23" t="s">
        <v>4281</v>
      </c>
      <c r="I289" s="23" t="s">
        <v>4282</v>
      </c>
      <c r="J289" s="23" t="s">
        <v>14</v>
      </c>
      <c r="K289" s="27" t="s">
        <v>404</v>
      </c>
      <c r="L289" s="23" t="s">
        <v>490</v>
      </c>
      <c r="M289" s="25" t="s">
        <v>18</v>
      </c>
      <c r="N289" s="23" t="s">
        <v>40</v>
      </c>
      <c r="O289" s="23" t="s">
        <v>387</v>
      </c>
      <c r="P289" s="23" t="s">
        <v>40</v>
      </c>
      <c r="Q289" s="23" t="s">
        <v>40</v>
      </c>
      <c r="R289" s="23" t="s">
        <v>132</v>
      </c>
      <c r="S289" s="23" t="s">
        <v>40</v>
      </c>
      <c r="T289" s="23" t="s">
        <v>40</v>
      </c>
    </row>
    <row r="290" spans="1:20" x14ac:dyDescent="0.25">
      <c r="A290" s="23" t="s">
        <v>4283</v>
      </c>
      <c r="B290" s="23" t="s">
        <v>131</v>
      </c>
      <c r="C290" s="23" t="s">
        <v>4251</v>
      </c>
      <c r="D290" s="23" t="s">
        <v>4284</v>
      </c>
      <c r="E290" s="23" t="s">
        <v>4245</v>
      </c>
      <c r="F290" s="23" t="s">
        <v>40</v>
      </c>
      <c r="G290" s="23" t="s">
        <v>4285</v>
      </c>
      <c r="H290" s="23" t="s">
        <v>4286</v>
      </c>
      <c r="I290" s="23" t="s">
        <v>4287</v>
      </c>
      <c r="J290" s="23" t="s">
        <v>14</v>
      </c>
      <c r="K290" s="26" t="s">
        <v>396</v>
      </c>
      <c r="L290" s="23" t="s">
        <v>13</v>
      </c>
      <c r="M290" s="30" t="s">
        <v>19</v>
      </c>
      <c r="N290" s="23" t="s">
        <v>40</v>
      </c>
      <c r="O290" s="23" t="s">
        <v>387</v>
      </c>
      <c r="P290" s="23" t="s">
        <v>40</v>
      </c>
      <c r="Q290" s="23" t="s">
        <v>40</v>
      </c>
      <c r="R290" s="23" t="s">
        <v>132</v>
      </c>
      <c r="S290" s="23" t="s">
        <v>4288</v>
      </c>
      <c r="T290" s="23" t="s">
        <v>40</v>
      </c>
    </row>
    <row r="291" spans="1:20" x14ac:dyDescent="0.25">
      <c r="A291" s="23" t="s">
        <v>4289</v>
      </c>
      <c r="B291" s="23" t="s">
        <v>131</v>
      </c>
      <c r="C291" s="23" t="s">
        <v>4251</v>
      </c>
      <c r="D291" s="23" t="s">
        <v>4290</v>
      </c>
      <c r="E291" s="23" t="s">
        <v>4245</v>
      </c>
      <c r="F291" s="23" t="s">
        <v>40</v>
      </c>
      <c r="G291" s="23" t="s">
        <v>4291</v>
      </c>
      <c r="H291" s="23" t="s">
        <v>4292</v>
      </c>
      <c r="I291" s="23" t="s">
        <v>4293</v>
      </c>
      <c r="J291" s="23" t="s">
        <v>15</v>
      </c>
      <c r="K291" s="24" t="s">
        <v>386</v>
      </c>
      <c r="L291" s="23" t="s">
        <v>13</v>
      </c>
      <c r="M291" s="25" t="s">
        <v>18</v>
      </c>
      <c r="N291" s="23" t="s">
        <v>40</v>
      </c>
      <c r="O291" s="23" t="s">
        <v>387</v>
      </c>
      <c r="P291" s="23" t="s">
        <v>40</v>
      </c>
      <c r="Q291" s="23" t="s">
        <v>40</v>
      </c>
      <c r="R291" s="23" t="s">
        <v>132</v>
      </c>
      <c r="S291" s="23" t="s">
        <v>4294</v>
      </c>
      <c r="T291" s="23" t="s">
        <v>40</v>
      </c>
    </row>
    <row r="292" spans="1:20" x14ac:dyDescent="0.25">
      <c r="A292" s="23" t="s">
        <v>4295</v>
      </c>
      <c r="B292" s="23" t="s">
        <v>131</v>
      </c>
      <c r="C292" s="23" t="s">
        <v>4251</v>
      </c>
      <c r="D292" s="23" t="s">
        <v>4296</v>
      </c>
      <c r="E292" s="23" t="s">
        <v>4245</v>
      </c>
      <c r="F292" s="23" t="s">
        <v>40</v>
      </c>
      <c r="G292" s="23" t="s">
        <v>4297</v>
      </c>
      <c r="H292" s="23" t="s">
        <v>4298</v>
      </c>
      <c r="I292" s="23" t="s">
        <v>4299</v>
      </c>
      <c r="J292" s="23" t="s">
        <v>801</v>
      </c>
      <c r="K292" s="26" t="s">
        <v>396</v>
      </c>
      <c r="L292" s="23" t="s">
        <v>13</v>
      </c>
      <c r="M292" s="30" t="s">
        <v>19</v>
      </c>
      <c r="N292" s="23" t="s">
        <v>40</v>
      </c>
      <c r="O292" s="23" t="s">
        <v>387</v>
      </c>
      <c r="P292" s="23" t="s">
        <v>40</v>
      </c>
      <c r="Q292" s="23" t="s">
        <v>40</v>
      </c>
      <c r="R292" s="23" t="s">
        <v>132</v>
      </c>
      <c r="S292" s="23" t="s">
        <v>4300</v>
      </c>
      <c r="T292" s="23" t="s">
        <v>40</v>
      </c>
    </row>
    <row r="293" spans="1:20" x14ac:dyDescent="0.25">
      <c r="A293" s="23" t="s">
        <v>4301</v>
      </c>
      <c r="B293" s="23" t="s">
        <v>131</v>
      </c>
      <c r="C293" s="23" t="s">
        <v>4251</v>
      </c>
      <c r="D293" s="23" t="s">
        <v>4302</v>
      </c>
      <c r="E293" s="23" t="s">
        <v>4245</v>
      </c>
      <c r="F293" s="23" t="s">
        <v>40</v>
      </c>
      <c r="G293" s="23" t="s">
        <v>4303</v>
      </c>
      <c r="H293" s="23" t="s">
        <v>4304</v>
      </c>
      <c r="I293" s="23" t="s">
        <v>4305</v>
      </c>
      <c r="J293" s="23" t="s">
        <v>15</v>
      </c>
      <c r="K293" s="27" t="s">
        <v>404</v>
      </c>
      <c r="L293" s="23" t="s">
        <v>490</v>
      </c>
      <c r="M293" s="25" t="s">
        <v>18</v>
      </c>
      <c r="N293" s="23" t="s">
        <v>40</v>
      </c>
      <c r="O293" s="23" t="s">
        <v>387</v>
      </c>
      <c r="P293" s="23" t="s">
        <v>40</v>
      </c>
      <c r="Q293" s="23" t="s">
        <v>40</v>
      </c>
      <c r="R293" s="23" t="s">
        <v>132</v>
      </c>
      <c r="S293" s="23" t="s">
        <v>40</v>
      </c>
      <c r="T293" s="23" t="s">
        <v>40</v>
      </c>
    </row>
    <row r="294" spans="1:20" x14ac:dyDescent="0.25">
      <c r="A294" s="23" t="s">
        <v>4306</v>
      </c>
      <c r="B294" s="23" t="s">
        <v>131</v>
      </c>
      <c r="C294" s="23" t="s">
        <v>4251</v>
      </c>
      <c r="D294" s="23" t="s">
        <v>4307</v>
      </c>
      <c r="E294" s="23" t="s">
        <v>4245</v>
      </c>
      <c r="F294" s="23" t="s">
        <v>40</v>
      </c>
      <c r="G294" s="23" t="s">
        <v>4308</v>
      </c>
      <c r="H294" s="23" t="s">
        <v>4309</v>
      </c>
      <c r="I294" s="23" t="s">
        <v>4310</v>
      </c>
      <c r="J294" s="23" t="s">
        <v>14</v>
      </c>
      <c r="K294" s="27" t="s">
        <v>404</v>
      </c>
      <c r="L294" s="23" t="s">
        <v>490</v>
      </c>
      <c r="M294" s="25" t="s">
        <v>18</v>
      </c>
      <c r="N294" s="23" t="s">
        <v>40</v>
      </c>
      <c r="O294" s="23" t="s">
        <v>387</v>
      </c>
      <c r="P294" s="23" t="s">
        <v>40</v>
      </c>
      <c r="Q294" s="23" t="s">
        <v>40</v>
      </c>
      <c r="R294" s="23" t="s">
        <v>132</v>
      </c>
      <c r="S294" s="23" t="s">
        <v>40</v>
      </c>
      <c r="T294" s="23" t="s">
        <v>40</v>
      </c>
    </row>
    <row r="295" spans="1:20" x14ac:dyDescent="0.25">
      <c r="A295" s="23" t="s">
        <v>4311</v>
      </c>
      <c r="B295" s="23" t="s">
        <v>131</v>
      </c>
      <c r="C295" s="23" t="s">
        <v>4251</v>
      </c>
      <c r="D295" s="23" t="s">
        <v>4312</v>
      </c>
      <c r="E295" s="23" t="s">
        <v>4245</v>
      </c>
      <c r="F295" s="23" t="s">
        <v>40</v>
      </c>
      <c r="G295" s="23" t="s">
        <v>4313</v>
      </c>
      <c r="H295" s="23" t="s">
        <v>4314</v>
      </c>
      <c r="I295" s="23" t="s">
        <v>4315</v>
      </c>
      <c r="J295" s="23" t="s">
        <v>385</v>
      </c>
      <c r="K295" s="32" t="s">
        <v>747</v>
      </c>
      <c r="L295" s="23" t="s">
        <v>490</v>
      </c>
      <c r="M295" s="25" t="s">
        <v>18</v>
      </c>
      <c r="N295" s="23" t="s">
        <v>40</v>
      </c>
      <c r="O295" s="23" t="s">
        <v>387</v>
      </c>
      <c r="P295" s="23" t="s">
        <v>40</v>
      </c>
      <c r="Q295" s="23" t="s">
        <v>40</v>
      </c>
      <c r="R295" s="23" t="s">
        <v>132</v>
      </c>
      <c r="S295" s="23" t="s">
        <v>40</v>
      </c>
      <c r="T295" s="23" t="s">
        <v>40</v>
      </c>
    </row>
    <row r="296" spans="1:20" x14ac:dyDescent="0.25">
      <c r="A296" s="23" t="s">
        <v>4316</v>
      </c>
      <c r="B296" s="23" t="s">
        <v>131</v>
      </c>
      <c r="C296" s="23" t="s">
        <v>4251</v>
      </c>
      <c r="D296" s="23" t="s">
        <v>4317</v>
      </c>
      <c r="E296" s="23" t="s">
        <v>4245</v>
      </c>
      <c r="F296" s="23" t="s">
        <v>40</v>
      </c>
      <c r="G296" s="23" t="s">
        <v>4318</v>
      </c>
      <c r="H296" s="23" t="s">
        <v>4319</v>
      </c>
      <c r="I296" s="23" t="s">
        <v>4320</v>
      </c>
      <c r="J296" s="23" t="s">
        <v>14</v>
      </c>
      <c r="K296" s="27" t="s">
        <v>404</v>
      </c>
      <c r="L296" s="23" t="s">
        <v>490</v>
      </c>
      <c r="M296" s="25" t="s">
        <v>18</v>
      </c>
      <c r="N296" s="23" t="s">
        <v>40</v>
      </c>
      <c r="O296" s="23" t="s">
        <v>387</v>
      </c>
      <c r="P296" s="23" t="s">
        <v>40</v>
      </c>
      <c r="Q296" s="23" t="s">
        <v>40</v>
      </c>
      <c r="R296" s="23" t="s">
        <v>132</v>
      </c>
      <c r="S296" s="23" t="s">
        <v>40</v>
      </c>
      <c r="T296" s="23" t="s">
        <v>40</v>
      </c>
    </row>
    <row r="297" spans="1:20" x14ac:dyDescent="0.25">
      <c r="A297" s="23" t="s">
        <v>4321</v>
      </c>
      <c r="B297" s="23" t="s">
        <v>134</v>
      </c>
      <c r="C297" s="23" t="s">
        <v>944</v>
      </c>
      <c r="D297" s="23" t="s">
        <v>4322</v>
      </c>
      <c r="E297" s="23" t="s">
        <v>4323</v>
      </c>
      <c r="F297" s="23" t="s">
        <v>40</v>
      </c>
      <c r="G297" s="23" t="s">
        <v>4324</v>
      </c>
      <c r="H297" s="23" t="s">
        <v>4325</v>
      </c>
      <c r="I297" s="23" t="s">
        <v>4326</v>
      </c>
      <c r="J297" s="23" t="s">
        <v>385</v>
      </c>
      <c r="K297" s="24" t="s">
        <v>386</v>
      </c>
      <c r="L297" s="23" t="s">
        <v>13</v>
      </c>
      <c r="M297" s="31" t="s">
        <v>17</v>
      </c>
      <c r="N297" s="23" t="s">
        <v>4327</v>
      </c>
      <c r="O297" s="29" t="s">
        <v>87</v>
      </c>
      <c r="P297" s="23" t="s">
        <v>40</v>
      </c>
      <c r="Q297" s="23" t="s">
        <v>40</v>
      </c>
      <c r="R297" s="23" t="s">
        <v>135</v>
      </c>
      <c r="S297" s="23" t="s">
        <v>40</v>
      </c>
      <c r="T297" s="23" t="s">
        <v>40</v>
      </c>
    </row>
    <row r="298" spans="1:20" x14ac:dyDescent="0.25">
      <c r="A298" s="23" t="s">
        <v>4328</v>
      </c>
      <c r="B298" s="23" t="s">
        <v>134</v>
      </c>
      <c r="C298" s="23" t="s">
        <v>4329</v>
      </c>
      <c r="D298" s="23" t="s">
        <v>4330</v>
      </c>
      <c r="E298" s="23" t="s">
        <v>4323</v>
      </c>
      <c r="F298" s="23" t="s">
        <v>40</v>
      </c>
      <c r="G298" s="23" t="s">
        <v>4331</v>
      </c>
      <c r="H298" s="23" t="s">
        <v>4332</v>
      </c>
      <c r="I298" s="23" t="s">
        <v>4333</v>
      </c>
      <c r="J298" s="23" t="s">
        <v>14</v>
      </c>
      <c r="K298" s="26" t="s">
        <v>396</v>
      </c>
      <c r="L298" s="23" t="s">
        <v>13</v>
      </c>
      <c r="M298" s="28" t="s">
        <v>16</v>
      </c>
      <c r="N298" s="23" t="s">
        <v>2720</v>
      </c>
      <c r="O298" s="29" t="s">
        <v>87</v>
      </c>
      <c r="P298" s="23" t="s">
        <v>40</v>
      </c>
      <c r="Q298" s="23" t="s">
        <v>40</v>
      </c>
      <c r="R298" s="23" t="s">
        <v>135</v>
      </c>
      <c r="S298" s="23" t="s">
        <v>40</v>
      </c>
      <c r="T298" s="23" t="s">
        <v>40</v>
      </c>
    </row>
    <row r="299" spans="1:20" x14ac:dyDescent="0.25">
      <c r="A299" s="23" t="s">
        <v>4334</v>
      </c>
      <c r="B299" s="23" t="s">
        <v>134</v>
      </c>
      <c r="C299" s="23" t="s">
        <v>4329</v>
      </c>
      <c r="D299" s="23" t="s">
        <v>4335</v>
      </c>
      <c r="E299" s="23" t="s">
        <v>4323</v>
      </c>
      <c r="F299" s="23" t="s">
        <v>40</v>
      </c>
      <c r="G299" s="23" t="s">
        <v>4336</v>
      </c>
      <c r="H299" s="23" t="s">
        <v>4337</v>
      </c>
      <c r="I299" s="23" t="s">
        <v>4338</v>
      </c>
      <c r="J299" s="23" t="s">
        <v>14</v>
      </c>
      <c r="K299" s="26" t="s">
        <v>396</v>
      </c>
      <c r="L299" s="23" t="s">
        <v>13</v>
      </c>
      <c r="M299" s="28" t="s">
        <v>16</v>
      </c>
      <c r="N299" s="23" t="s">
        <v>4077</v>
      </c>
      <c r="O299" s="29" t="s">
        <v>87</v>
      </c>
      <c r="P299" s="23" t="s">
        <v>40</v>
      </c>
      <c r="Q299" s="23" t="s">
        <v>40</v>
      </c>
      <c r="R299" s="23" t="s">
        <v>135</v>
      </c>
      <c r="S299" s="23" t="s">
        <v>40</v>
      </c>
      <c r="T299" s="23" t="s">
        <v>40</v>
      </c>
    </row>
    <row r="300" spans="1:20" x14ac:dyDescent="0.25">
      <c r="A300" s="23" t="s">
        <v>4339</v>
      </c>
      <c r="B300" s="23" t="s">
        <v>134</v>
      </c>
      <c r="C300" s="23" t="s">
        <v>4329</v>
      </c>
      <c r="D300" s="23" t="s">
        <v>4340</v>
      </c>
      <c r="E300" s="23" t="s">
        <v>4323</v>
      </c>
      <c r="F300" s="23" t="s">
        <v>40</v>
      </c>
      <c r="G300" s="23" t="s">
        <v>4341</v>
      </c>
      <c r="H300" s="23" t="s">
        <v>4342</v>
      </c>
      <c r="I300" s="23" t="s">
        <v>4343</v>
      </c>
      <c r="J300" s="23" t="s">
        <v>14</v>
      </c>
      <c r="K300" s="24" t="s">
        <v>386</v>
      </c>
      <c r="L300" s="23" t="s">
        <v>405</v>
      </c>
      <c r="M300" s="25" t="s">
        <v>18</v>
      </c>
      <c r="N300" s="23" t="s">
        <v>40</v>
      </c>
      <c r="O300" s="23" t="s">
        <v>387</v>
      </c>
      <c r="P300" s="23" t="s">
        <v>40</v>
      </c>
      <c r="Q300" s="23" t="s">
        <v>40</v>
      </c>
      <c r="R300" s="23" t="s">
        <v>135</v>
      </c>
      <c r="S300" s="23" t="s">
        <v>40</v>
      </c>
      <c r="T300" s="23" t="s">
        <v>40</v>
      </c>
    </row>
    <row r="301" spans="1:20" x14ac:dyDescent="0.25">
      <c r="A301" s="23" t="s">
        <v>4344</v>
      </c>
      <c r="B301" s="23" t="s">
        <v>134</v>
      </c>
      <c r="C301" s="23" t="s">
        <v>4329</v>
      </c>
      <c r="D301" s="23" t="s">
        <v>4345</v>
      </c>
      <c r="E301" s="23" t="s">
        <v>4323</v>
      </c>
      <c r="F301" s="23" t="s">
        <v>40</v>
      </c>
      <c r="G301" s="23" t="s">
        <v>4346</v>
      </c>
      <c r="H301" s="23" t="s">
        <v>4347</v>
      </c>
      <c r="I301" s="23" t="s">
        <v>4348</v>
      </c>
      <c r="J301" s="23" t="s">
        <v>466</v>
      </c>
      <c r="K301" s="24" t="s">
        <v>386</v>
      </c>
      <c r="L301" s="23" t="s">
        <v>13</v>
      </c>
      <c r="M301" s="25" t="s">
        <v>18</v>
      </c>
      <c r="N301" s="23" t="s">
        <v>40</v>
      </c>
      <c r="O301" s="23" t="s">
        <v>387</v>
      </c>
      <c r="P301" s="23" t="s">
        <v>40</v>
      </c>
      <c r="Q301" s="23" t="s">
        <v>40</v>
      </c>
      <c r="R301" s="23" t="s">
        <v>135</v>
      </c>
      <c r="S301" s="23" t="s">
        <v>40</v>
      </c>
      <c r="T301" s="23" t="s">
        <v>4349</v>
      </c>
    </row>
    <row r="302" spans="1:20" x14ac:dyDescent="0.25">
      <c r="A302" s="23" t="s">
        <v>4350</v>
      </c>
      <c r="B302" s="23" t="s">
        <v>134</v>
      </c>
      <c r="C302" s="23" t="s">
        <v>4329</v>
      </c>
      <c r="D302" s="23" t="s">
        <v>4351</v>
      </c>
      <c r="E302" s="23" t="s">
        <v>4323</v>
      </c>
      <c r="F302" s="23" t="s">
        <v>40</v>
      </c>
      <c r="G302" s="23" t="s">
        <v>4352</v>
      </c>
      <c r="H302" s="23" t="s">
        <v>4353</v>
      </c>
      <c r="I302" s="23" t="s">
        <v>4354</v>
      </c>
      <c r="J302" s="23" t="s">
        <v>14</v>
      </c>
      <c r="K302" s="26" t="s">
        <v>396</v>
      </c>
      <c r="L302" s="23" t="s">
        <v>13</v>
      </c>
      <c r="M302" s="25" t="s">
        <v>18</v>
      </c>
      <c r="N302" s="23" t="s">
        <v>40</v>
      </c>
      <c r="O302" s="23" t="s">
        <v>387</v>
      </c>
      <c r="P302" s="23" t="s">
        <v>40</v>
      </c>
      <c r="Q302" s="23" t="s">
        <v>40</v>
      </c>
      <c r="R302" s="23" t="s">
        <v>135</v>
      </c>
      <c r="S302" s="23" t="s">
        <v>40</v>
      </c>
      <c r="T302" s="23" t="s">
        <v>40</v>
      </c>
    </row>
    <row r="303" spans="1:20" x14ac:dyDescent="0.25">
      <c r="A303" s="23" t="s">
        <v>4355</v>
      </c>
      <c r="B303" s="23" t="s">
        <v>134</v>
      </c>
      <c r="C303" s="23" t="s">
        <v>4329</v>
      </c>
      <c r="D303" s="23" t="s">
        <v>4356</v>
      </c>
      <c r="E303" s="23" t="s">
        <v>4323</v>
      </c>
      <c r="F303" s="23" t="s">
        <v>40</v>
      </c>
      <c r="G303" s="23" t="s">
        <v>4357</v>
      </c>
      <c r="H303" s="23" t="s">
        <v>4358</v>
      </c>
      <c r="I303" s="23" t="s">
        <v>4359</v>
      </c>
      <c r="J303" s="23" t="s">
        <v>385</v>
      </c>
      <c r="K303" s="32" t="s">
        <v>747</v>
      </c>
      <c r="L303" s="23" t="s">
        <v>490</v>
      </c>
      <c r="M303" s="25" t="s">
        <v>18</v>
      </c>
      <c r="N303" s="23" t="s">
        <v>40</v>
      </c>
      <c r="O303" s="23" t="s">
        <v>387</v>
      </c>
      <c r="P303" s="23" t="s">
        <v>40</v>
      </c>
      <c r="Q303" s="23" t="s">
        <v>40</v>
      </c>
      <c r="R303" s="23" t="s">
        <v>135</v>
      </c>
      <c r="S303" s="23" t="s">
        <v>40</v>
      </c>
      <c r="T303" s="23" t="s">
        <v>40</v>
      </c>
    </row>
    <row r="304" spans="1:20" x14ac:dyDescent="0.25">
      <c r="A304" s="23" t="s">
        <v>4360</v>
      </c>
      <c r="B304" s="23" t="s">
        <v>134</v>
      </c>
      <c r="C304" s="23" t="s">
        <v>4329</v>
      </c>
      <c r="D304" s="23" t="s">
        <v>4361</v>
      </c>
      <c r="E304" s="23" t="s">
        <v>4323</v>
      </c>
      <c r="F304" s="23" t="s">
        <v>40</v>
      </c>
      <c r="G304" s="23" t="s">
        <v>4362</v>
      </c>
      <c r="H304" s="23" t="s">
        <v>4363</v>
      </c>
      <c r="I304" s="23" t="s">
        <v>4364</v>
      </c>
      <c r="J304" s="23" t="s">
        <v>15</v>
      </c>
      <c r="K304" s="27" t="s">
        <v>404</v>
      </c>
      <c r="L304" s="23" t="s">
        <v>490</v>
      </c>
      <c r="M304" s="25" t="s">
        <v>18</v>
      </c>
      <c r="N304" s="23" t="s">
        <v>40</v>
      </c>
      <c r="O304" s="23" t="s">
        <v>387</v>
      </c>
      <c r="P304" s="23" t="s">
        <v>40</v>
      </c>
      <c r="Q304" s="23" t="s">
        <v>40</v>
      </c>
      <c r="R304" s="23" t="s">
        <v>135</v>
      </c>
      <c r="S304" s="23" t="s">
        <v>40</v>
      </c>
      <c r="T304" s="23" t="s">
        <v>40</v>
      </c>
    </row>
    <row r="305" spans="1:20" x14ac:dyDescent="0.25">
      <c r="A305" s="23" t="s">
        <v>4365</v>
      </c>
      <c r="B305" s="23" t="s">
        <v>134</v>
      </c>
      <c r="C305" s="23" t="s">
        <v>4329</v>
      </c>
      <c r="D305" s="23" t="s">
        <v>4366</v>
      </c>
      <c r="E305" s="23" t="s">
        <v>4323</v>
      </c>
      <c r="F305" s="23" t="s">
        <v>40</v>
      </c>
      <c r="G305" s="23" t="s">
        <v>4367</v>
      </c>
      <c r="H305" s="23" t="s">
        <v>4368</v>
      </c>
      <c r="I305" s="23" t="s">
        <v>4369</v>
      </c>
      <c r="J305" s="23" t="s">
        <v>14</v>
      </c>
      <c r="K305" s="27" t="s">
        <v>404</v>
      </c>
      <c r="L305" s="23" t="s">
        <v>490</v>
      </c>
      <c r="M305" s="25" t="s">
        <v>18</v>
      </c>
      <c r="N305" s="23" t="s">
        <v>40</v>
      </c>
      <c r="O305" s="23" t="s">
        <v>387</v>
      </c>
      <c r="P305" s="23" t="s">
        <v>40</v>
      </c>
      <c r="Q305" s="23" t="s">
        <v>40</v>
      </c>
      <c r="R305" s="23" t="s">
        <v>135</v>
      </c>
      <c r="S305" s="23" t="s">
        <v>40</v>
      </c>
      <c r="T305" s="23" t="s">
        <v>40</v>
      </c>
    </row>
    <row r="306" spans="1:20" x14ac:dyDescent="0.25">
      <c r="A306" s="23" t="s">
        <v>4370</v>
      </c>
      <c r="B306" s="23" t="s">
        <v>134</v>
      </c>
      <c r="C306" s="23" t="s">
        <v>4329</v>
      </c>
      <c r="D306" s="23" t="s">
        <v>4371</v>
      </c>
      <c r="E306" s="23" t="s">
        <v>4323</v>
      </c>
      <c r="F306" s="23" t="s">
        <v>40</v>
      </c>
      <c r="G306" s="23" t="s">
        <v>4372</v>
      </c>
      <c r="H306" s="23" t="s">
        <v>4373</v>
      </c>
      <c r="I306" s="23" t="s">
        <v>4374</v>
      </c>
      <c r="J306" s="23" t="s">
        <v>14</v>
      </c>
      <c r="K306" s="24" t="s">
        <v>386</v>
      </c>
      <c r="L306" s="23" t="s">
        <v>405</v>
      </c>
      <c r="M306" s="25" t="s">
        <v>18</v>
      </c>
      <c r="N306" s="23" t="s">
        <v>40</v>
      </c>
      <c r="O306" s="23" t="s">
        <v>387</v>
      </c>
      <c r="P306" s="23" t="s">
        <v>40</v>
      </c>
      <c r="Q306" s="23" t="s">
        <v>40</v>
      </c>
      <c r="R306" s="23" t="s">
        <v>135</v>
      </c>
      <c r="S306" s="23" t="s">
        <v>40</v>
      </c>
      <c r="T306" s="23" t="s">
        <v>40</v>
      </c>
    </row>
    <row r="307" spans="1:20" x14ac:dyDescent="0.25">
      <c r="A307" s="23" t="s">
        <v>4375</v>
      </c>
      <c r="B307" s="23" t="s">
        <v>134</v>
      </c>
      <c r="C307" s="23" t="s">
        <v>4329</v>
      </c>
      <c r="D307" s="23" t="s">
        <v>4376</v>
      </c>
      <c r="E307" s="23" t="s">
        <v>4323</v>
      </c>
      <c r="F307" s="23" t="s">
        <v>40</v>
      </c>
      <c r="G307" s="23" t="s">
        <v>4377</v>
      </c>
      <c r="H307" s="23" t="s">
        <v>4378</v>
      </c>
      <c r="I307" s="23" t="s">
        <v>4379</v>
      </c>
      <c r="J307" s="23" t="s">
        <v>14</v>
      </c>
      <c r="K307" s="24" t="s">
        <v>386</v>
      </c>
      <c r="L307" s="23" t="s">
        <v>405</v>
      </c>
      <c r="M307" s="25" t="s">
        <v>18</v>
      </c>
      <c r="N307" s="23" t="s">
        <v>40</v>
      </c>
      <c r="O307" s="23" t="s">
        <v>387</v>
      </c>
      <c r="P307" s="23" t="s">
        <v>40</v>
      </c>
      <c r="Q307" s="23" t="s">
        <v>40</v>
      </c>
      <c r="R307" s="23" t="s">
        <v>135</v>
      </c>
      <c r="S307" s="23" t="s">
        <v>40</v>
      </c>
      <c r="T307" s="23" t="s">
        <v>40</v>
      </c>
    </row>
    <row r="308" spans="1:20" x14ac:dyDescent="0.25">
      <c r="A308" s="23" t="s">
        <v>4380</v>
      </c>
      <c r="B308" s="23" t="s">
        <v>134</v>
      </c>
      <c r="C308" s="23" t="s">
        <v>4329</v>
      </c>
      <c r="D308" s="23" t="s">
        <v>4381</v>
      </c>
      <c r="E308" s="23" t="s">
        <v>4323</v>
      </c>
      <c r="F308" s="23" t="s">
        <v>40</v>
      </c>
      <c r="G308" s="23" t="s">
        <v>4382</v>
      </c>
      <c r="H308" s="23" t="s">
        <v>4383</v>
      </c>
      <c r="I308" s="23" t="s">
        <v>4384</v>
      </c>
      <c r="J308" s="23" t="s">
        <v>385</v>
      </c>
      <c r="K308" s="32" t="s">
        <v>747</v>
      </c>
      <c r="L308" s="23" t="s">
        <v>490</v>
      </c>
      <c r="M308" s="25" t="s">
        <v>18</v>
      </c>
      <c r="N308" s="23" t="s">
        <v>40</v>
      </c>
      <c r="O308" s="23" t="s">
        <v>387</v>
      </c>
      <c r="P308" s="23" t="s">
        <v>40</v>
      </c>
      <c r="Q308" s="23" t="s">
        <v>40</v>
      </c>
      <c r="R308" s="23" t="s">
        <v>135</v>
      </c>
      <c r="S308" s="23" t="s">
        <v>40</v>
      </c>
      <c r="T308" s="23" t="s">
        <v>40</v>
      </c>
    </row>
    <row r="309" spans="1:20" x14ac:dyDescent="0.25">
      <c r="A309" s="23" t="s">
        <v>4385</v>
      </c>
      <c r="B309" s="23" t="s">
        <v>134</v>
      </c>
      <c r="C309" s="23" t="s">
        <v>4329</v>
      </c>
      <c r="D309" s="23" t="s">
        <v>4386</v>
      </c>
      <c r="E309" s="23" t="s">
        <v>4387</v>
      </c>
      <c r="F309" s="23" t="s">
        <v>40</v>
      </c>
      <c r="G309" s="23" t="s">
        <v>4388</v>
      </c>
      <c r="H309" s="23" t="s">
        <v>4389</v>
      </c>
      <c r="I309" s="23" t="s">
        <v>4390</v>
      </c>
      <c r="J309" s="23" t="s">
        <v>801</v>
      </c>
      <c r="K309" s="24" t="s">
        <v>386</v>
      </c>
      <c r="L309" s="23" t="s">
        <v>405</v>
      </c>
      <c r="M309" s="25" t="s">
        <v>18</v>
      </c>
      <c r="N309" s="23" t="s">
        <v>40</v>
      </c>
      <c r="O309" s="23" t="s">
        <v>387</v>
      </c>
      <c r="P309" s="23" t="s">
        <v>40</v>
      </c>
      <c r="Q309" s="23" t="s">
        <v>40</v>
      </c>
      <c r="R309" s="23" t="s">
        <v>135</v>
      </c>
      <c r="S309" s="23" t="s">
        <v>40</v>
      </c>
      <c r="T309" s="23" t="s">
        <v>40</v>
      </c>
    </row>
    <row r="310" spans="1:20" x14ac:dyDescent="0.25">
      <c r="A310" s="23" t="s">
        <v>4391</v>
      </c>
      <c r="B310" s="23" t="s">
        <v>134</v>
      </c>
      <c r="C310" s="23" t="s">
        <v>4329</v>
      </c>
      <c r="D310" s="23" t="s">
        <v>4392</v>
      </c>
      <c r="E310" s="23" t="s">
        <v>2944</v>
      </c>
      <c r="F310" s="23" t="s">
        <v>40</v>
      </c>
      <c r="G310" s="23" t="s">
        <v>4393</v>
      </c>
      <c r="H310" s="23" t="s">
        <v>4394</v>
      </c>
      <c r="I310" s="23" t="s">
        <v>4395</v>
      </c>
      <c r="J310" s="23" t="s">
        <v>525</v>
      </c>
      <c r="K310" s="24" t="s">
        <v>386</v>
      </c>
      <c r="L310" s="23" t="s">
        <v>405</v>
      </c>
      <c r="M310" s="25" t="s">
        <v>18</v>
      </c>
      <c r="N310" s="23" t="s">
        <v>40</v>
      </c>
      <c r="O310" s="23" t="s">
        <v>387</v>
      </c>
      <c r="P310" s="23" t="s">
        <v>40</v>
      </c>
      <c r="Q310" s="23" t="s">
        <v>40</v>
      </c>
      <c r="R310" s="23" t="s">
        <v>135</v>
      </c>
      <c r="S310" s="23" t="s">
        <v>40</v>
      </c>
      <c r="T310" s="23" t="s">
        <v>40</v>
      </c>
    </row>
    <row r="311" spans="1:20" x14ac:dyDescent="0.25">
      <c r="A311" s="23" t="s">
        <v>4396</v>
      </c>
      <c r="B311" s="23" t="s">
        <v>134</v>
      </c>
      <c r="C311" s="23" t="s">
        <v>4329</v>
      </c>
      <c r="D311" s="23" t="s">
        <v>4397</v>
      </c>
      <c r="E311" s="23" t="s">
        <v>4323</v>
      </c>
      <c r="F311" s="23" t="s">
        <v>40</v>
      </c>
      <c r="G311" s="23" t="s">
        <v>4398</v>
      </c>
      <c r="H311" s="23" t="s">
        <v>4399</v>
      </c>
      <c r="I311" s="23" t="s">
        <v>4400</v>
      </c>
      <c r="J311" s="23" t="s">
        <v>801</v>
      </c>
      <c r="K311" s="27" t="s">
        <v>404</v>
      </c>
      <c r="L311" s="23" t="s">
        <v>490</v>
      </c>
      <c r="M311" s="25" t="s">
        <v>18</v>
      </c>
      <c r="N311" s="23" t="s">
        <v>40</v>
      </c>
      <c r="O311" s="23" t="s">
        <v>387</v>
      </c>
      <c r="P311" s="23" t="s">
        <v>40</v>
      </c>
      <c r="Q311" s="23" t="s">
        <v>40</v>
      </c>
      <c r="R311" s="23" t="s">
        <v>135</v>
      </c>
      <c r="S311" s="23" t="s">
        <v>4401</v>
      </c>
      <c r="T311" s="23" t="s">
        <v>4402</v>
      </c>
    </row>
    <row r="312" spans="1:20" x14ac:dyDescent="0.25">
      <c r="A312" s="23" t="s">
        <v>4403</v>
      </c>
      <c r="B312" s="23" t="s">
        <v>136</v>
      </c>
      <c r="C312" s="23" t="s">
        <v>4404</v>
      </c>
      <c r="D312" s="23" t="s">
        <v>4405</v>
      </c>
      <c r="E312" s="23" t="s">
        <v>3835</v>
      </c>
      <c r="F312" s="23" t="s">
        <v>40</v>
      </c>
      <c r="G312" s="23" t="s">
        <v>4406</v>
      </c>
      <c r="H312" s="23" t="s">
        <v>4407</v>
      </c>
      <c r="I312" s="23" t="s">
        <v>4408</v>
      </c>
      <c r="J312" s="23" t="s">
        <v>385</v>
      </c>
      <c r="K312" s="24" t="s">
        <v>386</v>
      </c>
      <c r="L312" s="23" t="s">
        <v>13</v>
      </c>
      <c r="M312" s="31" t="s">
        <v>17</v>
      </c>
      <c r="N312" s="23" t="s">
        <v>4409</v>
      </c>
      <c r="O312" s="29" t="s">
        <v>87</v>
      </c>
      <c r="P312" s="23" t="s">
        <v>40</v>
      </c>
      <c r="Q312" s="23" t="s">
        <v>40</v>
      </c>
      <c r="R312" s="23" t="s">
        <v>137</v>
      </c>
      <c r="S312" s="23" t="s">
        <v>40</v>
      </c>
      <c r="T312" s="23" t="s">
        <v>40</v>
      </c>
    </row>
    <row r="313" spans="1:20" x14ac:dyDescent="0.25">
      <c r="A313" s="23" t="s">
        <v>4410</v>
      </c>
      <c r="B313" s="23" t="s">
        <v>136</v>
      </c>
      <c r="C313" s="23" t="s">
        <v>4404</v>
      </c>
      <c r="D313" s="23" t="s">
        <v>4411</v>
      </c>
      <c r="E313" s="23" t="s">
        <v>3835</v>
      </c>
      <c r="F313" s="23" t="s">
        <v>40</v>
      </c>
      <c r="G313" s="23" t="s">
        <v>4412</v>
      </c>
      <c r="H313" s="23" t="s">
        <v>4413</v>
      </c>
      <c r="I313" s="23" t="s">
        <v>4414</v>
      </c>
      <c r="J313" s="23" t="s">
        <v>801</v>
      </c>
      <c r="K313" s="24" t="s">
        <v>386</v>
      </c>
      <c r="L313" s="23" t="s">
        <v>405</v>
      </c>
      <c r="M313" s="25" t="s">
        <v>18</v>
      </c>
      <c r="N313" s="23" t="s">
        <v>40</v>
      </c>
      <c r="O313" s="23" t="s">
        <v>387</v>
      </c>
      <c r="P313" s="23" t="s">
        <v>40</v>
      </c>
      <c r="Q313" s="23" t="s">
        <v>40</v>
      </c>
      <c r="R313" s="23" t="s">
        <v>137</v>
      </c>
      <c r="S313" s="23" t="s">
        <v>40</v>
      </c>
      <c r="T313" s="23" t="s">
        <v>40</v>
      </c>
    </row>
    <row r="314" spans="1:20" x14ac:dyDescent="0.25">
      <c r="A314" s="23" t="s">
        <v>4415</v>
      </c>
      <c r="B314" s="23" t="s">
        <v>136</v>
      </c>
      <c r="C314" s="23" t="s">
        <v>4404</v>
      </c>
      <c r="D314" s="23" t="s">
        <v>4416</v>
      </c>
      <c r="E314" s="23" t="s">
        <v>3835</v>
      </c>
      <c r="F314" s="23" t="s">
        <v>40</v>
      </c>
      <c r="G314" s="23" t="s">
        <v>4417</v>
      </c>
      <c r="H314" s="23" t="s">
        <v>4418</v>
      </c>
      <c r="I314" s="23" t="s">
        <v>4419</v>
      </c>
      <c r="J314" s="23" t="s">
        <v>14</v>
      </c>
      <c r="K314" s="24" t="s">
        <v>386</v>
      </c>
      <c r="L314" s="23" t="s">
        <v>405</v>
      </c>
      <c r="M314" s="25" t="s">
        <v>18</v>
      </c>
      <c r="N314" s="23" t="s">
        <v>40</v>
      </c>
      <c r="O314" s="23" t="s">
        <v>387</v>
      </c>
      <c r="P314" s="23" t="s">
        <v>40</v>
      </c>
      <c r="Q314" s="23" t="s">
        <v>40</v>
      </c>
      <c r="R314" s="23" t="s">
        <v>137</v>
      </c>
      <c r="S314" s="23" t="s">
        <v>40</v>
      </c>
      <c r="T314" s="23" t="s">
        <v>4420</v>
      </c>
    </row>
    <row r="315" spans="1:20" x14ac:dyDescent="0.25">
      <c r="A315" s="23" t="s">
        <v>4421</v>
      </c>
      <c r="B315" s="23" t="s">
        <v>136</v>
      </c>
      <c r="C315" s="23" t="s">
        <v>4404</v>
      </c>
      <c r="D315" s="23" t="s">
        <v>4422</v>
      </c>
      <c r="E315" s="23" t="s">
        <v>3835</v>
      </c>
      <c r="F315" s="23" t="s">
        <v>40</v>
      </c>
      <c r="G315" s="23" t="s">
        <v>4423</v>
      </c>
      <c r="H315" s="23" t="s">
        <v>4424</v>
      </c>
      <c r="I315" s="23" t="s">
        <v>4425</v>
      </c>
      <c r="J315" s="23" t="s">
        <v>14</v>
      </c>
      <c r="K315" s="27" t="s">
        <v>404</v>
      </c>
      <c r="L315" s="23" t="s">
        <v>490</v>
      </c>
      <c r="M315" s="25" t="s">
        <v>18</v>
      </c>
      <c r="N315" s="23" t="s">
        <v>40</v>
      </c>
      <c r="O315" s="23" t="s">
        <v>387</v>
      </c>
      <c r="P315" s="23" t="s">
        <v>40</v>
      </c>
      <c r="Q315" s="23" t="s">
        <v>40</v>
      </c>
      <c r="R315" s="23" t="s">
        <v>137</v>
      </c>
      <c r="S315" s="23" t="s">
        <v>40</v>
      </c>
      <c r="T315" s="23" t="s">
        <v>40</v>
      </c>
    </row>
    <row r="316" spans="1:20" x14ac:dyDescent="0.25">
      <c r="A316" s="23" t="s">
        <v>4426</v>
      </c>
      <c r="B316" s="23" t="s">
        <v>136</v>
      </c>
      <c r="C316" s="23" t="s">
        <v>4404</v>
      </c>
      <c r="D316" s="23" t="s">
        <v>4427</v>
      </c>
      <c r="E316" s="23" t="s">
        <v>3835</v>
      </c>
      <c r="F316" s="23" t="s">
        <v>40</v>
      </c>
      <c r="G316" s="23" t="s">
        <v>4428</v>
      </c>
      <c r="H316" s="23" t="s">
        <v>4429</v>
      </c>
      <c r="I316" s="23" t="s">
        <v>4430</v>
      </c>
      <c r="J316" s="23" t="s">
        <v>385</v>
      </c>
      <c r="K316" s="32" t="s">
        <v>747</v>
      </c>
      <c r="L316" s="23" t="s">
        <v>490</v>
      </c>
      <c r="M316" s="25" t="s">
        <v>18</v>
      </c>
      <c r="N316" s="23" t="s">
        <v>40</v>
      </c>
      <c r="O316" s="23" t="s">
        <v>387</v>
      </c>
      <c r="P316" s="23" t="s">
        <v>40</v>
      </c>
      <c r="Q316" s="23" t="s">
        <v>40</v>
      </c>
      <c r="R316" s="23" t="s">
        <v>137</v>
      </c>
      <c r="S316" s="23" t="s">
        <v>40</v>
      </c>
      <c r="T316" s="23" t="s">
        <v>40</v>
      </c>
    </row>
    <row r="317" spans="1:20" x14ac:dyDescent="0.25">
      <c r="A317" s="23" t="s">
        <v>4431</v>
      </c>
      <c r="B317" s="23" t="s">
        <v>136</v>
      </c>
      <c r="C317" s="23" t="s">
        <v>4404</v>
      </c>
      <c r="D317" s="23" t="s">
        <v>4432</v>
      </c>
      <c r="E317" s="23" t="s">
        <v>3835</v>
      </c>
      <c r="F317" s="23" t="s">
        <v>40</v>
      </c>
      <c r="G317" s="23" t="s">
        <v>4433</v>
      </c>
      <c r="H317" s="23" t="s">
        <v>4434</v>
      </c>
      <c r="I317" s="23" t="s">
        <v>4435</v>
      </c>
      <c r="J317" s="23" t="s">
        <v>14</v>
      </c>
      <c r="K317" s="27" t="s">
        <v>404</v>
      </c>
      <c r="L317" s="23" t="s">
        <v>490</v>
      </c>
      <c r="M317" s="25" t="s">
        <v>18</v>
      </c>
      <c r="N317" s="23" t="s">
        <v>40</v>
      </c>
      <c r="O317" s="23" t="s">
        <v>387</v>
      </c>
      <c r="P317" s="23" t="s">
        <v>40</v>
      </c>
      <c r="Q317" s="23" t="s">
        <v>40</v>
      </c>
      <c r="R317" s="23" t="s">
        <v>137</v>
      </c>
      <c r="S317" s="23" t="s">
        <v>40</v>
      </c>
      <c r="T317" s="23" t="s">
        <v>4436</v>
      </c>
    </row>
    <row r="318" spans="1:20" x14ac:dyDescent="0.25">
      <c r="A318" s="23" t="s">
        <v>4437</v>
      </c>
      <c r="B318" s="23" t="s">
        <v>136</v>
      </c>
      <c r="C318" s="23" t="s">
        <v>4404</v>
      </c>
      <c r="D318" s="23" t="s">
        <v>4438</v>
      </c>
      <c r="E318" s="23" t="s">
        <v>3835</v>
      </c>
      <c r="F318" s="23" t="s">
        <v>40</v>
      </c>
      <c r="G318" s="23" t="s">
        <v>4439</v>
      </c>
      <c r="H318" s="23" t="s">
        <v>4440</v>
      </c>
      <c r="I318" s="23" t="s">
        <v>4441</v>
      </c>
      <c r="J318" s="23" t="s">
        <v>15</v>
      </c>
      <c r="K318" s="27" t="s">
        <v>404</v>
      </c>
      <c r="L318" s="23" t="s">
        <v>490</v>
      </c>
      <c r="M318" s="25" t="s">
        <v>18</v>
      </c>
      <c r="N318" s="23" t="s">
        <v>40</v>
      </c>
      <c r="O318" s="23" t="s">
        <v>387</v>
      </c>
      <c r="P318" s="23" t="s">
        <v>40</v>
      </c>
      <c r="Q318" s="23" t="s">
        <v>40</v>
      </c>
      <c r="R318" s="23" t="s">
        <v>137</v>
      </c>
      <c r="S318" s="23" t="s">
        <v>40</v>
      </c>
      <c r="T318" s="23" t="s">
        <v>40</v>
      </c>
    </row>
    <row r="319" spans="1:20" x14ac:dyDescent="0.25">
      <c r="A319" s="23" t="s">
        <v>4442</v>
      </c>
      <c r="B319" s="23" t="s">
        <v>136</v>
      </c>
      <c r="C319" s="23" t="s">
        <v>4404</v>
      </c>
      <c r="D319" s="23" t="s">
        <v>4443</v>
      </c>
      <c r="E319" s="23" t="s">
        <v>3835</v>
      </c>
      <c r="F319" s="23" t="s">
        <v>40</v>
      </c>
      <c r="G319" s="23" t="s">
        <v>4444</v>
      </c>
      <c r="H319" s="23" t="s">
        <v>4445</v>
      </c>
      <c r="I319" s="23" t="s">
        <v>4446</v>
      </c>
      <c r="J319" s="23" t="s">
        <v>385</v>
      </c>
      <c r="K319" s="32" t="s">
        <v>747</v>
      </c>
      <c r="L319" s="23" t="s">
        <v>490</v>
      </c>
      <c r="M319" s="25" t="s">
        <v>18</v>
      </c>
      <c r="N319" s="23" t="s">
        <v>40</v>
      </c>
      <c r="O319" s="23" t="s">
        <v>387</v>
      </c>
      <c r="P319" s="23" t="s">
        <v>40</v>
      </c>
      <c r="Q319" s="23" t="s">
        <v>40</v>
      </c>
      <c r="R319" s="23" t="s">
        <v>137</v>
      </c>
      <c r="S319" s="23" t="s">
        <v>40</v>
      </c>
      <c r="T319" s="23" t="s">
        <v>40</v>
      </c>
    </row>
    <row r="320" spans="1:20" x14ac:dyDescent="0.25">
      <c r="A320" s="23" t="s">
        <v>4447</v>
      </c>
      <c r="B320" s="23" t="s">
        <v>136</v>
      </c>
      <c r="C320" s="23" t="s">
        <v>4404</v>
      </c>
      <c r="D320" s="23" t="s">
        <v>4448</v>
      </c>
      <c r="E320" s="23" t="s">
        <v>2944</v>
      </c>
      <c r="F320" s="23" t="s">
        <v>40</v>
      </c>
      <c r="G320" s="23" t="s">
        <v>4449</v>
      </c>
      <c r="H320" s="23" t="s">
        <v>4450</v>
      </c>
      <c r="I320" s="23" t="s">
        <v>4451</v>
      </c>
      <c r="J320" s="23" t="s">
        <v>525</v>
      </c>
      <c r="K320" s="24" t="s">
        <v>386</v>
      </c>
      <c r="L320" s="23" t="s">
        <v>405</v>
      </c>
      <c r="M320" s="25" t="s">
        <v>18</v>
      </c>
      <c r="N320" s="23" t="s">
        <v>40</v>
      </c>
      <c r="O320" s="23" t="s">
        <v>387</v>
      </c>
      <c r="P320" s="23" t="s">
        <v>40</v>
      </c>
      <c r="Q320" s="23" t="s">
        <v>40</v>
      </c>
      <c r="R320" s="23" t="s">
        <v>137</v>
      </c>
      <c r="S320" s="23" t="s">
        <v>40</v>
      </c>
      <c r="T320" s="23" t="s">
        <v>40</v>
      </c>
    </row>
    <row r="321" spans="1:20" x14ac:dyDescent="0.25">
      <c r="A321" s="23" t="s">
        <v>4452</v>
      </c>
      <c r="B321" s="23" t="s">
        <v>138</v>
      </c>
      <c r="C321" s="23" t="s">
        <v>4453</v>
      </c>
      <c r="D321" s="23" t="s">
        <v>4454</v>
      </c>
      <c r="E321" s="23" t="s">
        <v>4455</v>
      </c>
      <c r="F321" s="23" t="s">
        <v>40</v>
      </c>
      <c r="G321" s="23" t="s">
        <v>4456</v>
      </c>
      <c r="H321" s="23" t="s">
        <v>4457</v>
      </c>
      <c r="I321" s="23" t="s">
        <v>4458</v>
      </c>
      <c r="J321" s="23" t="s">
        <v>385</v>
      </c>
      <c r="K321" s="24" t="s">
        <v>386</v>
      </c>
      <c r="L321" s="23" t="s">
        <v>13</v>
      </c>
      <c r="M321" s="31" t="s">
        <v>17</v>
      </c>
      <c r="N321" s="23" t="s">
        <v>4459</v>
      </c>
      <c r="O321" s="29" t="s">
        <v>87</v>
      </c>
      <c r="P321" s="23" t="s">
        <v>40</v>
      </c>
      <c r="Q321" s="23" t="s">
        <v>40</v>
      </c>
      <c r="R321" s="23" t="s">
        <v>139</v>
      </c>
      <c r="S321" s="23" t="s">
        <v>40</v>
      </c>
      <c r="T321" s="23" t="s">
        <v>40</v>
      </c>
    </row>
    <row r="322" spans="1:20" x14ac:dyDescent="0.25">
      <c r="A322" s="23" t="s">
        <v>4460</v>
      </c>
      <c r="B322" s="23" t="s">
        <v>138</v>
      </c>
      <c r="C322" s="23" t="s">
        <v>4453</v>
      </c>
      <c r="D322" s="23" t="s">
        <v>4461</v>
      </c>
      <c r="E322" s="23" t="s">
        <v>4455</v>
      </c>
      <c r="F322" s="23" t="s">
        <v>40</v>
      </c>
      <c r="G322" s="23" t="s">
        <v>4462</v>
      </c>
      <c r="H322" s="23" t="s">
        <v>4463</v>
      </c>
      <c r="I322" s="23" t="s">
        <v>4464</v>
      </c>
      <c r="J322" s="23" t="s">
        <v>14</v>
      </c>
      <c r="K322" s="26" t="s">
        <v>396</v>
      </c>
      <c r="L322" s="23" t="s">
        <v>13</v>
      </c>
      <c r="M322" s="25" t="s">
        <v>18</v>
      </c>
      <c r="N322" s="23" t="s">
        <v>40</v>
      </c>
      <c r="O322" s="23" t="s">
        <v>387</v>
      </c>
      <c r="P322" s="23" t="s">
        <v>40</v>
      </c>
      <c r="Q322" s="23" t="s">
        <v>40</v>
      </c>
      <c r="R322" s="23" t="s">
        <v>139</v>
      </c>
      <c r="S322" s="23" t="s">
        <v>40</v>
      </c>
      <c r="T322" s="23" t="s">
        <v>40</v>
      </c>
    </row>
    <row r="323" spans="1:20" x14ac:dyDescent="0.25">
      <c r="A323" s="23" t="s">
        <v>4465</v>
      </c>
      <c r="B323" s="23" t="s">
        <v>138</v>
      </c>
      <c r="C323" s="23" t="s">
        <v>4453</v>
      </c>
      <c r="D323" s="23" t="s">
        <v>4466</v>
      </c>
      <c r="E323" s="23" t="s">
        <v>4455</v>
      </c>
      <c r="F323" s="23" t="s">
        <v>40</v>
      </c>
      <c r="G323" s="23" t="s">
        <v>4467</v>
      </c>
      <c r="H323" s="23" t="s">
        <v>4468</v>
      </c>
      <c r="I323" s="23" t="s">
        <v>4469</v>
      </c>
      <c r="J323" s="23" t="s">
        <v>385</v>
      </c>
      <c r="K323" s="32" t="s">
        <v>747</v>
      </c>
      <c r="L323" s="23" t="s">
        <v>490</v>
      </c>
      <c r="M323" s="25" t="s">
        <v>18</v>
      </c>
      <c r="N323" s="23" t="s">
        <v>40</v>
      </c>
      <c r="O323" s="23" t="s">
        <v>387</v>
      </c>
      <c r="P323" s="23" t="s">
        <v>40</v>
      </c>
      <c r="Q323" s="23" t="s">
        <v>40</v>
      </c>
      <c r="R323" s="23" t="s">
        <v>139</v>
      </c>
      <c r="S323" s="23" t="s">
        <v>40</v>
      </c>
      <c r="T323" s="23" t="s">
        <v>40</v>
      </c>
    </row>
    <row r="324" spans="1:20" x14ac:dyDescent="0.25">
      <c r="A324" s="23" t="s">
        <v>4470</v>
      </c>
      <c r="B324" s="23" t="s">
        <v>138</v>
      </c>
      <c r="C324" s="23" t="s">
        <v>4453</v>
      </c>
      <c r="D324" s="23" t="s">
        <v>4471</v>
      </c>
      <c r="E324" s="23" t="s">
        <v>4455</v>
      </c>
      <c r="F324" s="23" t="s">
        <v>40</v>
      </c>
      <c r="G324" s="23" t="s">
        <v>4472</v>
      </c>
      <c r="H324" s="23" t="s">
        <v>4473</v>
      </c>
      <c r="I324" s="23" t="s">
        <v>4474</v>
      </c>
      <c r="J324" s="23" t="s">
        <v>14</v>
      </c>
      <c r="K324" s="24" t="s">
        <v>386</v>
      </c>
      <c r="L324" s="23" t="s">
        <v>405</v>
      </c>
      <c r="M324" s="25" t="s">
        <v>18</v>
      </c>
      <c r="N324" s="23" t="s">
        <v>40</v>
      </c>
      <c r="O324" s="23" t="s">
        <v>387</v>
      </c>
      <c r="P324" s="23" t="s">
        <v>40</v>
      </c>
      <c r="Q324" s="23" t="s">
        <v>40</v>
      </c>
      <c r="R324" s="23" t="s">
        <v>139</v>
      </c>
      <c r="S324" s="23" t="s">
        <v>40</v>
      </c>
      <c r="T324" s="23" t="s">
        <v>40</v>
      </c>
    </row>
    <row r="325" spans="1:20" x14ac:dyDescent="0.25">
      <c r="A325" s="23" t="s">
        <v>4475</v>
      </c>
      <c r="B325" s="23" t="s">
        <v>138</v>
      </c>
      <c r="C325" s="23" t="s">
        <v>4453</v>
      </c>
      <c r="D325" s="23" t="s">
        <v>4476</v>
      </c>
      <c r="E325" s="23" t="s">
        <v>4455</v>
      </c>
      <c r="F325" s="23" t="s">
        <v>40</v>
      </c>
      <c r="G325" s="23" t="s">
        <v>4477</v>
      </c>
      <c r="H325" s="23" t="s">
        <v>4478</v>
      </c>
      <c r="I325" s="23" t="s">
        <v>4479</v>
      </c>
      <c r="J325" s="23" t="s">
        <v>466</v>
      </c>
      <c r="K325" s="24" t="s">
        <v>386</v>
      </c>
      <c r="L325" s="23" t="s">
        <v>13</v>
      </c>
      <c r="M325" s="25" t="s">
        <v>18</v>
      </c>
      <c r="N325" s="23" t="s">
        <v>40</v>
      </c>
      <c r="O325" s="23" t="s">
        <v>387</v>
      </c>
      <c r="P325" s="23" t="s">
        <v>40</v>
      </c>
      <c r="Q325" s="23" t="s">
        <v>40</v>
      </c>
      <c r="R325" s="23" t="s">
        <v>139</v>
      </c>
      <c r="S325" s="23" t="s">
        <v>40</v>
      </c>
      <c r="T325" s="23" t="s">
        <v>4480</v>
      </c>
    </row>
    <row r="326" spans="1:20" x14ac:dyDescent="0.25">
      <c r="A326" s="23" t="s">
        <v>4481</v>
      </c>
      <c r="B326" s="23" t="s">
        <v>138</v>
      </c>
      <c r="C326" s="23" t="s">
        <v>4453</v>
      </c>
      <c r="D326" s="23" t="s">
        <v>4482</v>
      </c>
      <c r="E326" s="23" t="s">
        <v>4455</v>
      </c>
      <c r="F326" s="23" t="s">
        <v>40</v>
      </c>
      <c r="G326" s="23" t="s">
        <v>4483</v>
      </c>
      <c r="H326" s="23" t="s">
        <v>4484</v>
      </c>
      <c r="I326" s="23" t="s">
        <v>4485</v>
      </c>
      <c r="J326" s="23" t="s">
        <v>14</v>
      </c>
      <c r="K326" s="24" t="s">
        <v>386</v>
      </c>
      <c r="L326" s="23" t="s">
        <v>405</v>
      </c>
      <c r="M326" s="25" t="s">
        <v>18</v>
      </c>
      <c r="N326" s="23" t="s">
        <v>40</v>
      </c>
      <c r="O326" s="23" t="s">
        <v>387</v>
      </c>
      <c r="P326" s="23" t="s">
        <v>40</v>
      </c>
      <c r="Q326" s="23" t="s">
        <v>40</v>
      </c>
      <c r="R326" s="23" t="s">
        <v>139</v>
      </c>
      <c r="S326" s="23" t="s">
        <v>40</v>
      </c>
      <c r="T326" s="23" t="s">
        <v>40</v>
      </c>
    </row>
    <row r="327" spans="1:20" x14ac:dyDescent="0.25">
      <c r="A327" s="23" t="s">
        <v>4486</v>
      </c>
      <c r="B327" s="23" t="s">
        <v>138</v>
      </c>
      <c r="C327" s="23" t="s">
        <v>4453</v>
      </c>
      <c r="D327" s="23" t="s">
        <v>4487</v>
      </c>
      <c r="E327" s="23" t="s">
        <v>4455</v>
      </c>
      <c r="F327" s="23" t="s">
        <v>40</v>
      </c>
      <c r="G327" s="23" t="s">
        <v>4488</v>
      </c>
      <c r="H327" s="23" t="s">
        <v>4489</v>
      </c>
      <c r="I327" s="23" t="s">
        <v>4490</v>
      </c>
      <c r="J327" s="23" t="s">
        <v>15</v>
      </c>
      <c r="K327" s="24" t="s">
        <v>386</v>
      </c>
      <c r="L327" s="23" t="s">
        <v>13</v>
      </c>
      <c r="M327" s="25" t="s">
        <v>18</v>
      </c>
      <c r="N327" s="23" t="s">
        <v>40</v>
      </c>
      <c r="O327" s="23" t="s">
        <v>387</v>
      </c>
      <c r="P327" s="23" t="s">
        <v>40</v>
      </c>
      <c r="Q327" s="23" t="s">
        <v>40</v>
      </c>
      <c r="R327" s="23" t="s">
        <v>139</v>
      </c>
      <c r="S327" s="23" t="s">
        <v>40</v>
      </c>
      <c r="T327" s="23" t="s">
        <v>4480</v>
      </c>
    </row>
    <row r="328" spans="1:20" x14ac:dyDescent="0.25">
      <c r="A328" s="23" t="s">
        <v>4491</v>
      </c>
      <c r="B328" s="23" t="s">
        <v>138</v>
      </c>
      <c r="C328" s="23" t="s">
        <v>4453</v>
      </c>
      <c r="D328" s="23" t="s">
        <v>4492</v>
      </c>
      <c r="E328" s="23" t="s">
        <v>4455</v>
      </c>
      <c r="F328" s="23" t="s">
        <v>40</v>
      </c>
      <c r="G328" s="23" t="s">
        <v>4493</v>
      </c>
      <c r="H328" s="23" t="s">
        <v>4494</v>
      </c>
      <c r="I328" s="23" t="s">
        <v>4495</v>
      </c>
      <c r="J328" s="23" t="s">
        <v>466</v>
      </c>
      <c r="K328" s="27" t="s">
        <v>404</v>
      </c>
      <c r="L328" s="23" t="s">
        <v>405</v>
      </c>
      <c r="M328" s="25" t="s">
        <v>18</v>
      </c>
      <c r="N328" s="23" t="s">
        <v>40</v>
      </c>
      <c r="O328" s="23" t="s">
        <v>387</v>
      </c>
      <c r="P328" s="23" t="s">
        <v>40</v>
      </c>
      <c r="Q328" s="23" t="s">
        <v>40</v>
      </c>
      <c r="R328" s="23" t="s">
        <v>139</v>
      </c>
      <c r="S328" s="23" t="s">
        <v>40</v>
      </c>
      <c r="T328" s="23" t="s">
        <v>40</v>
      </c>
    </row>
    <row r="329" spans="1:20" x14ac:dyDescent="0.25">
      <c r="A329" s="23" t="s">
        <v>4496</v>
      </c>
      <c r="B329" s="23" t="s">
        <v>138</v>
      </c>
      <c r="C329" s="23" t="s">
        <v>4453</v>
      </c>
      <c r="D329" s="23" t="s">
        <v>4497</v>
      </c>
      <c r="E329" s="23" t="s">
        <v>4455</v>
      </c>
      <c r="F329" s="23" t="s">
        <v>40</v>
      </c>
      <c r="G329" s="23" t="s">
        <v>4498</v>
      </c>
      <c r="H329" s="23" t="s">
        <v>4499</v>
      </c>
      <c r="I329" s="23" t="s">
        <v>4500</v>
      </c>
      <c r="J329" s="23" t="s">
        <v>15</v>
      </c>
      <c r="K329" s="27" t="s">
        <v>404</v>
      </c>
      <c r="L329" s="23" t="s">
        <v>490</v>
      </c>
      <c r="M329" s="25" t="s">
        <v>18</v>
      </c>
      <c r="N329" s="23" t="s">
        <v>40</v>
      </c>
      <c r="O329" s="23" t="s">
        <v>387</v>
      </c>
      <c r="P329" s="23" t="s">
        <v>40</v>
      </c>
      <c r="Q329" s="23" t="s">
        <v>40</v>
      </c>
      <c r="R329" s="23" t="s">
        <v>139</v>
      </c>
      <c r="S329" s="23" t="s">
        <v>4501</v>
      </c>
      <c r="T329" s="23" t="s">
        <v>40</v>
      </c>
    </row>
    <row r="330" spans="1:20" x14ac:dyDescent="0.25">
      <c r="A330" s="23" t="s">
        <v>4502</v>
      </c>
      <c r="B330" s="23" t="s">
        <v>138</v>
      </c>
      <c r="C330" s="23" t="s">
        <v>4453</v>
      </c>
      <c r="D330" s="23" t="s">
        <v>4503</v>
      </c>
      <c r="E330" s="23" t="s">
        <v>4455</v>
      </c>
      <c r="F330" s="23" t="s">
        <v>40</v>
      </c>
      <c r="G330" s="23" t="s">
        <v>4504</v>
      </c>
      <c r="H330" s="23" t="s">
        <v>4505</v>
      </c>
      <c r="I330" s="23" t="s">
        <v>4506</v>
      </c>
      <c r="J330" s="23" t="s">
        <v>14</v>
      </c>
      <c r="K330" s="27" t="s">
        <v>404</v>
      </c>
      <c r="L330" s="23" t="s">
        <v>490</v>
      </c>
      <c r="M330" s="25" t="s">
        <v>18</v>
      </c>
      <c r="N330" s="23" t="s">
        <v>40</v>
      </c>
      <c r="O330" s="23" t="s">
        <v>387</v>
      </c>
      <c r="P330" s="23" t="s">
        <v>40</v>
      </c>
      <c r="Q330" s="23" t="s">
        <v>40</v>
      </c>
      <c r="R330" s="23" t="s">
        <v>139</v>
      </c>
      <c r="S330" s="23" t="s">
        <v>40</v>
      </c>
      <c r="T330" s="23" t="s">
        <v>40</v>
      </c>
    </row>
    <row r="331" spans="1:20" x14ac:dyDescent="0.25">
      <c r="A331" s="23" t="s">
        <v>4507</v>
      </c>
      <c r="B331" s="23" t="s">
        <v>138</v>
      </c>
      <c r="C331" s="23" t="s">
        <v>4453</v>
      </c>
      <c r="D331" s="23" t="s">
        <v>4508</v>
      </c>
      <c r="E331" s="23" t="s">
        <v>4455</v>
      </c>
      <c r="F331" s="23" t="s">
        <v>40</v>
      </c>
      <c r="G331" s="23" t="s">
        <v>4509</v>
      </c>
      <c r="H331" s="23" t="s">
        <v>4510</v>
      </c>
      <c r="I331" s="23" t="s">
        <v>4511</v>
      </c>
      <c r="J331" s="23" t="s">
        <v>14</v>
      </c>
      <c r="K331" s="27" t="s">
        <v>404</v>
      </c>
      <c r="L331" s="23" t="s">
        <v>490</v>
      </c>
      <c r="M331" s="25" t="s">
        <v>18</v>
      </c>
      <c r="N331" s="23" t="s">
        <v>40</v>
      </c>
      <c r="O331" s="23" t="s">
        <v>387</v>
      </c>
      <c r="P331" s="23" t="s">
        <v>40</v>
      </c>
      <c r="Q331" s="23" t="s">
        <v>40</v>
      </c>
      <c r="R331" s="23" t="s">
        <v>139</v>
      </c>
      <c r="S331" s="23" t="s">
        <v>40</v>
      </c>
      <c r="T331" s="23" t="s">
        <v>40</v>
      </c>
    </row>
    <row r="332" spans="1:20" x14ac:dyDescent="0.25">
      <c r="A332" s="23" t="s">
        <v>4512</v>
      </c>
      <c r="B332" s="23" t="s">
        <v>138</v>
      </c>
      <c r="C332" s="23" t="s">
        <v>4453</v>
      </c>
      <c r="D332" s="23" t="s">
        <v>4513</v>
      </c>
      <c r="E332" s="23" t="s">
        <v>4455</v>
      </c>
      <c r="F332" s="23" t="s">
        <v>40</v>
      </c>
      <c r="G332" s="23" t="s">
        <v>4514</v>
      </c>
      <c r="H332" s="23" t="s">
        <v>4515</v>
      </c>
      <c r="I332" s="23" t="s">
        <v>4516</v>
      </c>
      <c r="J332" s="23" t="s">
        <v>14</v>
      </c>
      <c r="K332" s="27" t="s">
        <v>404</v>
      </c>
      <c r="L332" s="23" t="s">
        <v>490</v>
      </c>
      <c r="M332" s="25" t="s">
        <v>18</v>
      </c>
      <c r="N332" s="23" t="s">
        <v>40</v>
      </c>
      <c r="O332" s="23" t="s">
        <v>387</v>
      </c>
      <c r="P332" s="23" t="s">
        <v>40</v>
      </c>
      <c r="Q332" s="23" t="s">
        <v>40</v>
      </c>
      <c r="R332" s="23" t="s">
        <v>139</v>
      </c>
      <c r="S332" s="23" t="s">
        <v>40</v>
      </c>
      <c r="T332" s="23" t="s">
        <v>40</v>
      </c>
    </row>
    <row r="333" spans="1:20" x14ac:dyDescent="0.25">
      <c r="A333" s="23" t="s">
        <v>4517</v>
      </c>
      <c r="B333" s="23" t="s">
        <v>138</v>
      </c>
      <c r="C333" s="23" t="s">
        <v>4453</v>
      </c>
      <c r="D333" s="23" t="s">
        <v>4518</v>
      </c>
      <c r="E333" s="23" t="s">
        <v>4455</v>
      </c>
      <c r="F333" s="23" t="s">
        <v>40</v>
      </c>
      <c r="G333" s="23" t="s">
        <v>4519</v>
      </c>
      <c r="H333" s="23" t="s">
        <v>4520</v>
      </c>
      <c r="I333" s="23" t="s">
        <v>4521</v>
      </c>
      <c r="J333" s="23" t="s">
        <v>14</v>
      </c>
      <c r="K333" s="27" t="s">
        <v>404</v>
      </c>
      <c r="L333" s="23" t="s">
        <v>490</v>
      </c>
      <c r="M333" s="25" t="s">
        <v>18</v>
      </c>
      <c r="N333" s="23" t="s">
        <v>40</v>
      </c>
      <c r="O333" s="23" t="s">
        <v>387</v>
      </c>
      <c r="P333" s="23" t="s">
        <v>40</v>
      </c>
      <c r="Q333" s="23" t="s">
        <v>40</v>
      </c>
      <c r="R333" s="23" t="s">
        <v>139</v>
      </c>
      <c r="S333" s="23" t="s">
        <v>40</v>
      </c>
      <c r="T333" s="23" t="s">
        <v>40</v>
      </c>
    </row>
    <row r="334" spans="1:20" x14ac:dyDescent="0.25">
      <c r="A334" s="23" t="s">
        <v>4522</v>
      </c>
      <c r="B334" s="23" t="s">
        <v>138</v>
      </c>
      <c r="C334" s="23" t="s">
        <v>4453</v>
      </c>
      <c r="D334" s="23" t="s">
        <v>4523</v>
      </c>
      <c r="E334" s="23" t="s">
        <v>4455</v>
      </c>
      <c r="F334" s="23" t="s">
        <v>40</v>
      </c>
      <c r="G334" s="23" t="s">
        <v>4524</v>
      </c>
      <c r="H334" s="23" t="s">
        <v>4525</v>
      </c>
      <c r="I334" s="23" t="s">
        <v>4526</v>
      </c>
      <c r="J334" s="23" t="s">
        <v>801</v>
      </c>
      <c r="K334" s="24" t="s">
        <v>386</v>
      </c>
      <c r="L334" s="23" t="s">
        <v>405</v>
      </c>
      <c r="M334" s="25" t="s">
        <v>18</v>
      </c>
      <c r="N334" s="23" t="s">
        <v>40</v>
      </c>
      <c r="O334" s="23" t="s">
        <v>387</v>
      </c>
      <c r="P334" s="23" t="s">
        <v>40</v>
      </c>
      <c r="Q334" s="23" t="s">
        <v>40</v>
      </c>
      <c r="R334" s="23" t="s">
        <v>139</v>
      </c>
      <c r="S334" s="23" t="s">
        <v>40</v>
      </c>
      <c r="T334" s="23" t="s">
        <v>40</v>
      </c>
    </row>
    <row r="335" spans="1:20" x14ac:dyDescent="0.25">
      <c r="A335" s="23" t="s">
        <v>4527</v>
      </c>
      <c r="B335" s="23" t="s">
        <v>138</v>
      </c>
      <c r="C335" s="23" t="s">
        <v>4453</v>
      </c>
      <c r="D335" s="23" t="s">
        <v>4528</v>
      </c>
      <c r="E335" s="23" t="s">
        <v>2957</v>
      </c>
      <c r="F335" s="23" t="s">
        <v>40</v>
      </c>
      <c r="G335" s="23" t="s">
        <v>4529</v>
      </c>
      <c r="H335" s="23" t="s">
        <v>4530</v>
      </c>
      <c r="I335" s="23" t="s">
        <v>4531</v>
      </c>
      <c r="J335" s="23" t="s">
        <v>525</v>
      </c>
      <c r="K335" s="27" t="s">
        <v>404</v>
      </c>
      <c r="L335" s="23" t="s">
        <v>490</v>
      </c>
      <c r="M335" s="25" t="s">
        <v>18</v>
      </c>
      <c r="N335" s="23" t="s">
        <v>40</v>
      </c>
      <c r="O335" s="23" t="s">
        <v>387</v>
      </c>
      <c r="P335" s="23" t="s">
        <v>40</v>
      </c>
      <c r="Q335" s="23" t="s">
        <v>40</v>
      </c>
      <c r="R335" s="23" t="s">
        <v>139</v>
      </c>
      <c r="S335" s="23" t="s">
        <v>40</v>
      </c>
      <c r="T335" s="23" t="s">
        <v>4532</v>
      </c>
    </row>
    <row r="336" spans="1:20" x14ac:dyDescent="0.25">
      <c r="A336" s="23" t="s">
        <v>4533</v>
      </c>
      <c r="B336" s="23" t="s">
        <v>4534</v>
      </c>
      <c r="C336" s="23" t="s">
        <v>4535</v>
      </c>
      <c r="D336" s="23" t="s">
        <v>4536</v>
      </c>
      <c r="E336" s="23" t="s">
        <v>4537</v>
      </c>
      <c r="F336" s="23" t="s">
        <v>40</v>
      </c>
      <c r="G336" s="23" t="s">
        <v>4538</v>
      </c>
      <c r="H336" s="23" t="s">
        <v>4539</v>
      </c>
      <c r="I336" s="23" t="s">
        <v>4540</v>
      </c>
      <c r="J336" s="23" t="s">
        <v>563</v>
      </c>
      <c r="K336" s="26" t="s">
        <v>396</v>
      </c>
      <c r="L336" s="23" t="s">
        <v>13</v>
      </c>
      <c r="M336" s="28" t="s">
        <v>16</v>
      </c>
      <c r="N336" s="23" t="s">
        <v>4541</v>
      </c>
      <c r="O336" s="29" t="s">
        <v>87</v>
      </c>
      <c r="P336" s="23" t="s">
        <v>40</v>
      </c>
      <c r="Q336" s="23" t="s">
        <v>40</v>
      </c>
      <c r="R336" s="23" t="s">
        <v>40</v>
      </c>
      <c r="S336" s="23" t="s">
        <v>40</v>
      </c>
      <c r="T336" s="23" t="s">
        <v>40</v>
      </c>
    </row>
    <row r="337" spans="1:20" x14ac:dyDescent="0.25">
      <c r="A337" s="23" t="s">
        <v>4542</v>
      </c>
      <c r="B337" s="23" t="s">
        <v>4534</v>
      </c>
      <c r="C337" s="23" t="s">
        <v>4535</v>
      </c>
      <c r="D337" s="23" t="s">
        <v>4543</v>
      </c>
      <c r="E337" s="23" t="s">
        <v>4537</v>
      </c>
      <c r="F337" s="23" t="s">
        <v>40</v>
      </c>
      <c r="G337" s="23" t="s">
        <v>4544</v>
      </c>
      <c r="H337" s="23" t="s">
        <v>4545</v>
      </c>
      <c r="I337" s="23" t="s">
        <v>4546</v>
      </c>
      <c r="J337" s="23" t="s">
        <v>563</v>
      </c>
      <c r="K337" s="26" t="s">
        <v>396</v>
      </c>
      <c r="L337" s="23" t="s">
        <v>13</v>
      </c>
      <c r="M337" s="25" t="s">
        <v>18</v>
      </c>
      <c r="N337" s="23" t="s">
        <v>40</v>
      </c>
      <c r="O337" s="23" t="s">
        <v>387</v>
      </c>
      <c r="P337" s="23" t="s">
        <v>40</v>
      </c>
      <c r="Q337" s="23" t="s">
        <v>40</v>
      </c>
      <c r="R337" s="23" t="s">
        <v>40</v>
      </c>
      <c r="S337" s="23" t="s">
        <v>4547</v>
      </c>
      <c r="T337" s="23" t="s">
        <v>40</v>
      </c>
    </row>
    <row r="338" spans="1:20" x14ac:dyDescent="0.25">
      <c r="A338" s="23" t="s">
        <v>4548</v>
      </c>
      <c r="B338" s="23" t="s">
        <v>4534</v>
      </c>
      <c r="C338" s="23" t="s">
        <v>4535</v>
      </c>
      <c r="D338" s="23" t="s">
        <v>4549</v>
      </c>
      <c r="E338" s="23" t="s">
        <v>4537</v>
      </c>
      <c r="F338" s="23" t="s">
        <v>40</v>
      </c>
      <c r="G338" s="23" t="s">
        <v>4550</v>
      </c>
      <c r="H338" s="23" t="s">
        <v>4551</v>
      </c>
      <c r="I338" s="23" t="s">
        <v>4552</v>
      </c>
      <c r="J338" s="23" t="s">
        <v>563</v>
      </c>
      <c r="K338" s="26" t="s">
        <v>396</v>
      </c>
      <c r="L338" s="23" t="s">
        <v>13</v>
      </c>
      <c r="M338" s="30" t="s">
        <v>19</v>
      </c>
      <c r="N338" s="23" t="s">
        <v>40</v>
      </c>
      <c r="O338" s="23" t="s">
        <v>387</v>
      </c>
      <c r="P338" s="23" t="s">
        <v>40</v>
      </c>
      <c r="Q338" s="23" t="s">
        <v>40</v>
      </c>
      <c r="R338" s="23" t="s">
        <v>40</v>
      </c>
      <c r="S338" s="23" t="s">
        <v>4553</v>
      </c>
      <c r="T338" s="23" t="s">
        <v>40</v>
      </c>
    </row>
    <row r="339" spans="1:20" x14ac:dyDescent="0.25">
      <c r="A339" s="23" t="s">
        <v>4554</v>
      </c>
      <c r="B339" s="23" t="s">
        <v>4534</v>
      </c>
      <c r="C339" s="23" t="s">
        <v>4535</v>
      </c>
      <c r="D339" s="23" t="s">
        <v>4555</v>
      </c>
      <c r="E339" s="23" t="s">
        <v>4537</v>
      </c>
      <c r="F339" s="23" t="s">
        <v>40</v>
      </c>
      <c r="G339" s="23" t="s">
        <v>4556</v>
      </c>
      <c r="H339" s="23" t="s">
        <v>4557</v>
      </c>
      <c r="I339" s="23" t="s">
        <v>4558</v>
      </c>
      <c r="J339" s="23" t="s">
        <v>563</v>
      </c>
      <c r="K339" s="24" t="s">
        <v>386</v>
      </c>
      <c r="L339" s="23" t="s">
        <v>405</v>
      </c>
      <c r="M339" s="25" t="s">
        <v>18</v>
      </c>
      <c r="N339" s="23" t="s">
        <v>40</v>
      </c>
      <c r="O339" s="23" t="s">
        <v>387</v>
      </c>
      <c r="P339" s="23" t="s">
        <v>40</v>
      </c>
      <c r="Q339" s="23" t="s">
        <v>40</v>
      </c>
      <c r="R339" s="23" t="s">
        <v>40</v>
      </c>
      <c r="S339" s="23" t="s">
        <v>40</v>
      </c>
      <c r="T339" s="23" t="s">
        <v>40</v>
      </c>
    </row>
    <row r="340" spans="1:20" x14ac:dyDescent="0.25">
      <c r="A340" s="23" t="s">
        <v>4559</v>
      </c>
      <c r="B340" s="23" t="s">
        <v>4534</v>
      </c>
      <c r="C340" s="23" t="s">
        <v>4535</v>
      </c>
      <c r="D340" s="23" t="s">
        <v>4560</v>
      </c>
      <c r="E340" s="23" t="s">
        <v>4537</v>
      </c>
      <c r="F340" s="23" t="s">
        <v>40</v>
      </c>
      <c r="G340" s="23" t="s">
        <v>4561</v>
      </c>
      <c r="H340" s="23" t="s">
        <v>4562</v>
      </c>
      <c r="I340" s="23" t="s">
        <v>4563</v>
      </c>
      <c r="J340" s="23" t="s">
        <v>563</v>
      </c>
      <c r="K340" s="24" t="s">
        <v>386</v>
      </c>
      <c r="L340" s="23" t="s">
        <v>405</v>
      </c>
      <c r="M340" s="25" t="s">
        <v>18</v>
      </c>
      <c r="N340" s="23" t="s">
        <v>40</v>
      </c>
      <c r="O340" s="23" t="s">
        <v>387</v>
      </c>
      <c r="P340" s="23" t="s">
        <v>40</v>
      </c>
      <c r="Q340" s="23" t="s">
        <v>40</v>
      </c>
      <c r="R340" s="23" t="s">
        <v>40</v>
      </c>
      <c r="S340" s="23" t="s">
        <v>40</v>
      </c>
      <c r="T340" s="23" t="s">
        <v>40</v>
      </c>
    </row>
    <row r="341" spans="1:20" x14ac:dyDescent="0.25">
      <c r="A341" s="23" t="s">
        <v>4564</v>
      </c>
      <c r="B341" s="23" t="s">
        <v>4534</v>
      </c>
      <c r="C341" s="23" t="s">
        <v>4535</v>
      </c>
      <c r="D341" s="23" t="s">
        <v>4565</v>
      </c>
      <c r="E341" s="23" t="s">
        <v>4537</v>
      </c>
      <c r="F341" s="23" t="s">
        <v>40</v>
      </c>
      <c r="G341" s="23" t="s">
        <v>4566</v>
      </c>
      <c r="H341" s="23" t="s">
        <v>4567</v>
      </c>
      <c r="I341" s="23" t="s">
        <v>4568</v>
      </c>
      <c r="J341" s="23" t="s">
        <v>395</v>
      </c>
      <c r="K341" s="26" t="s">
        <v>396</v>
      </c>
      <c r="L341" s="23" t="s">
        <v>13</v>
      </c>
      <c r="M341" s="30" t="s">
        <v>19</v>
      </c>
      <c r="N341" s="23" t="s">
        <v>40</v>
      </c>
      <c r="O341" s="23" t="s">
        <v>387</v>
      </c>
      <c r="P341" s="23" t="s">
        <v>40</v>
      </c>
      <c r="Q341" s="23" t="s">
        <v>40</v>
      </c>
      <c r="R341" s="23" t="s">
        <v>40</v>
      </c>
      <c r="S341" s="23" t="s">
        <v>4569</v>
      </c>
      <c r="T341" s="23" t="s">
        <v>40</v>
      </c>
    </row>
  </sheetData>
  <autoFilter ref="A1:T341"/>
  <dataValidations count="2">
    <dataValidation type="list" allowBlank="1" sqref="O10:O341">
      <formula1>"Passed,Failed,Blocked,Not Executed,Passed (19 Oct 2026)"</formula1>
    </dataValidation>
    <dataValidation type="list" allowBlank="1" sqref="O2:O341">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4"/>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4570</v>
      </c>
      <c r="B2" s="23" t="s">
        <v>358</v>
      </c>
      <c r="C2" s="23" t="s">
        <v>944</v>
      </c>
      <c r="D2" s="23" t="s">
        <v>4571</v>
      </c>
      <c r="E2" s="23" t="s">
        <v>4572</v>
      </c>
      <c r="F2" s="23" t="s">
        <v>40</v>
      </c>
      <c r="G2" s="23" t="s">
        <v>4573</v>
      </c>
      <c r="H2" s="23" t="s">
        <v>4574</v>
      </c>
      <c r="I2" s="23" t="s">
        <v>4575</v>
      </c>
      <c r="J2" s="23" t="s">
        <v>385</v>
      </c>
      <c r="K2" s="24" t="s">
        <v>386</v>
      </c>
      <c r="L2" s="23" t="s">
        <v>13</v>
      </c>
      <c r="M2" s="31" t="s">
        <v>17</v>
      </c>
      <c r="N2" s="23" t="s">
        <v>4576</v>
      </c>
      <c r="O2" s="29" t="s">
        <v>87</v>
      </c>
      <c r="P2" s="23" t="s">
        <v>40</v>
      </c>
      <c r="Q2" s="23" t="s">
        <v>40</v>
      </c>
      <c r="R2" s="23" t="s">
        <v>359</v>
      </c>
      <c r="S2" s="23" t="s">
        <v>40</v>
      </c>
      <c r="T2" s="23" t="s">
        <v>40</v>
      </c>
    </row>
    <row r="3" spans="1:20" x14ac:dyDescent="0.25">
      <c r="A3" s="23" t="s">
        <v>4577</v>
      </c>
      <c r="B3" s="23" t="s">
        <v>358</v>
      </c>
      <c r="C3" s="23" t="s">
        <v>4578</v>
      </c>
      <c r="D3" s="23" t="s">
        <v>4579</v>
      </c>
      <c r="E3" s="23" t="s">
        <v>4572</v>
      </c>
      <c r="F3" s="23" t="s">
        <v>40</v>
      </c>
      <c r="G3" s="23" t="s">
        <v>4580</v>
      </c>
      <c r="H3" s="23" t="s">
        <v>4581</v>
      </c>
      <c r="I3" s="23" t="s">
        <v>4582</v>
      </c>
      <c r="J3" s="23" t="s">
        <v>801</v>
      </c>
      <c r="K3" s="24" t="s">
        <v>386</v>
      </c>
      <c r="L3" s="23" t="s">
        <v>405</v>
      </c>
      <c r="M3" s="25" t="s">
        <v>18</v>
      </c>
      <c r="N3" s="23" t="s">
        <v>40</v>
      </c>
      <c r="O3" s="23" t="s">
        <v>387</v>
      </c>
      <c r="P3" s="23" t="s">
        <v>40</v>
      </c>
      <c r="Q3" s="23" t="s">
        <v>40</v>
      </c>
      <c r="R3" s="23" t="s">
        <v>359</v>
      </c>
      <c r="S3" s="23" t="s">
        <v>40</v>
      </c>
      <c r="T3" s="23" t="s">
        <v>40</v>
      </c>
    </row>
    <row r="4" spans="1:20" x14ac:dyDescent="0.25">
      <c r="A4" s="23" t="s">
        <v>4583</v>
      </c>
      <c r="B4" s="23" t="s">
        <v>358</v>
      </c>
      <c r="C4" s="23" t="s">
        <v>4578</v>
      </c>
      <c r="D4" s="23" t="s">
        <v>4584</v>
      </c>
      <c r="E4" s="23" t="s">
        <v>4572</v>
      </c>
      <c r="F4" s="23" t="s">
        <v>40</v>
      </c>
      <c r="G4" s="23" t="s">
        <v>4585</v>
      </c>
      <c r="H4" s="23" t="s">
        <v>4586</v>
      </c>
      <c r="I4" s="23" t="s">
        <v>4587</v>
      </c>
      <c r="J4" s="23" t="s">
        <v>14</v>
      </c>
      <c r="K4" s="24" t="s">
        <v>386</v>
      </c>
      <c r="L4" s="23" t="s">
        <v>405</v>
      </c>
      <c r="M4" s="25" t="s">
        <v>18</v>
      </c>
      <c r="N4" s="23" t="s">
        <v>40</v>
      </c>
      <c r="O4" s="23" t="s">
        <v>387</v>
      </c>
      <c r="P4" s="23" t="s">
        <v>40</v>
      </c>
      <c r="Q4" s="23" t="s">
        <v>40</v>
      </c>
      <c r="R4" s="23" t="s">
        <v>359</v>
      </c>
      <c r="S4" s="23" t="s">
        <v>40</v>
      </c>
      <c r="T4" s="23" t="s">
        <v>40</v>
      </c>
    </row>
    <row r="5" spans="1:20" x14ac:dyDescent="0.25">
      <c r="A5" s="23" t="s">
        <v>4588</v>
      </c>
      <c r="B5" s="23" t="s">
        <v>358</v>
      </c>
      <c r="C5" s="23" t="s">
        <v>4578</v>
      </c>
      <c r="D5" s="23" t="s">
        <v>4589</v>
      </c>
      <c r="E5" s="23" t="s">
        <v>4572</v>
      </c>
      <c r="F5" s="23" t="s">
        <v>40</v>
      </c>
      <c r="G5" s="23" t="s">
        <v>4590</v>
      </c>
      <c r="H5" s="23" t="s">
        <v>4591</v>
      </c>
      <c r="I5" s="23" t="s">
        <v>4592</v>
      </c>
      <c r="J5" s="23" t="s">
        <v>14</v>
      </c>
      <c r="K5" s="27" t="s">
        <v>404</v>
      </c>
      <c r="L5" s="23" t="s">
        <v>490</v>
      </c>
      <c r="M5" s="25" t="s">
        <v>18</v>
      </c>
      <c r="N5" s="23" t="s">
        <v>40</v>
      </c>
      <c r="O5" s="23" t="s">
        <v>387</v>
      </c>
      <c r="P5" s="23" t="s">
        <v>40</v>
      </c>
      <c r="Q5" s="23" t="s">
        <v>40</v>
      </c>
      <c r="R5" s="23" t="s">
        <v>359</v>
      </c>
      <c r="S5" s="23" t="s">
        <v>40</v>
      </c>
      <c r="T5" s="23" t="s">
        <v>40</v>
      </c>
    </row>
    <row r="6" spans="1:20" x14ac:dyDescent="0.25">
      <c r="A6" s="23" t="s">
        <v>4593</v>
      </c>
      <c r="B6" s="23" t="s">
        <v>358</v>
      </c>
      <c r="C6" s="23" t="s">
        <v>4578</v>
      </c>
      <c r="D6" s="23" t="s">
        <v>4594</v>
      </c>
      <c r="E6" s="23" t="s">
        <v>4572</v>
      </c>
      <c r="F6" s="23" t="s">
        <v>40</v>
      </c>
      <c r="G6" s="23" t="s">
        <v>4595</v>
      </c>
      <c r="H6" s="23" t="s">
        <v>4596</v>
      </c>
      <c r="I6" s="23" t="s">
        <v>4597</v>
      </c>
      <c r="J6" s="23" t="s">
        <v>15</v>
      </c>
      <c r="K6" s="27" t="s">
        <v>404</v>
      </c>
      <c r="L6" s="23" t="s">
        <v>490</v>
      </c>
      <c r="M6" s="25" t="s">
        <v>18</v>
      </c>
      <c r="N6" s="23" t="s">
        <v>40</v>
      </c>
      <c r="O6" s="23" t="s">
        <v>387</v>
      </c>
      <c r="P6" s="23" t="s">
        <v>40</v>
      </c>
      <c r="Q6" s="23" t="s">
        <v>40</v>
      </c>
      <c r="R6" s="23" t="s">
        <v>359</v>
      </c>
      <c r="S6" s="23" t="s">
        <v>40</v>
      </c>
      <c r="T6" s="23" t="s">
        <v>40</v>
      </c>
    </row>
    <row r="7" spans="1:20" x14ac:dyDescent="0.25">
      <c r="A7" s="23" t="s">
        <v>4598</v>
      </c>
      <c r="B7" s="23" t="s">
        <v>358</v>
      </c>
      <c r="C7" s="23" t="s">
        <v>4578</v>
      </c>
      <c r="D7" s="23" t="s">
        <v>4599</v>
      </c>
      <c r="E7" s="23" t="s">
        <v>4572</v>
      </c>
      <c r="F7" s="23" t="s">
        <v>40</v>
      </c>
      <c r="G7" s="23" t="s">
        <v>4600</v>
      </c>
      <c r="H7" s="23" t="s">
        <v>4601</v>
      </c>
      <c r="I7" s="23" t="s">
        <v>4602</v>
      </c>
      <c r="J7" s="23" t="s">
        <v>385</v>
      </c>
      <c r="K7" s="32" t="s">
        <v>747</v>
      </c>
      <c r="L7" s="23" t="s">
        <v>490</v>
      </c>
      <c r="M7" s="25" t="s">
        <v>18</v>
      </c>
      <c r="N7" s="23" t="s">
        <v>40</v>
      </c>
      <c r="O7" s="23" t="s">
        <v>387</v>
      </c>
      <c r="P7" s="23" t="s">
        <v>40</v>
      </c>
      <c r="Q7" s="23" t="s">
        <v>40</v>
      </c>
      <c r="R7" s="23" t="s">
        <v>359</v>
      </c>
      <c r="S7" s="23" t="s">
        <v>40</v>
      </c>
      <c r="T7" s="23" t="s">
        <v>40</v>
      </c>
    </row>
    <row r="8" spans="1:20" x14ac:dyDescent="0.25">
      <c r="A8" s="23" t="s">
        <v>4603</v>
      </c>
      <c r="B8" s="23" t="s">
        <v>358</v>
      </c>
      <c r="C8" s="23" t="s">
        <v>4604</v>
      </c>
      <c r="D8" s="23" t="s">
        <v>4605</v>
      </c>
      <c r="E8" s="23" t="s">
        <v>4572</v>
      </c>
      <c r="F8" s="23" t="s">
        <v>4606</v>
      </c>
      <c r="G8" s="23" t="s">
        <v>4607</v>
      </c>
      <c r="H8" s="23" t="s">
        <v>4608</v>
      </c>
      <c r="I8" s="23" t="s">
        <v>4609</v>
      </c>
      <c r="J8" s="23" t="s">
        <v>14</v>
      </c>
      <c r="K8" s="26" t="s">
        <v>396</v>
      </c>
      <c r="L8" s="23" t="s">
        <v>13</v>
      </c>
      <c r="M8" s="28" t="s">
        <v>16</v>
      </c>
      <c r="N8" s="23" t="s">
        <v>3341</v>
      </c>
      <c r="O8" s="29" t="s">
        <v>87</v>
      </c>
      <c r="P8" s="23" t="s">
        <v>40</v>
      </c>
      <c r="Q8" s="23" t="s">
        <v>40</v>
      </c>
      <c r="R8" s="23" t="s">
        <v>359</v>
      </c>
      <c r="S8" s="23" t="s">
        <v>40</v>
      </c>
      <c r="T8" s="23" t="s">
        <v>40</v>
      </c>
    </row>
    <row r="9" spans="1:20" x14ac:dyDescent="0.25">
      <c r="A9" s="23" t="s">
        <v>4610</v>
      </c>
      <c r="B9" s="23" t="s">
        <v>358</v>
      </c>
      <c r="C9" s="23" t="s">
        <v>4604</v>
      </c>
      <c r="D9" s="23" t="s">
        <v>4611</v>
      </c>
      <c r="E9" s="23" t="s">
        <v>4572</v>
      </c>
      <c r="F9" s="23" t="s">
        <v>40</v>
      </c>
      <c r="G9" s="23" t="s">
        <v>4612</v>
      </c>
      <c r="H9" s="23" t="s">
        <v>4613</v>
      </c>
      <c r="I9" s="23" t="s">
        <v>4614</v>
      </c>
      <c r="J9" s="23" t="s">
        <v>14</v>
      </c>
      <c r="K9" s="26" t="s">
        <v>396</v>
      </c>
      <c r="L9" s="23" t="s">
        <v>13</v>
      </c>
      <c r="M9" s="25" t="s">
        <v>18</v>
      </c>
      <c r="N9" s="23" t="s">
        <v>40</v>
      </c>
      <c r="O9" s="23" t="s">
        <v>387</v>
      </c>
      <c r="P9" s="23" t="s">
        <v>40</v>
      </c>
      <c r="Q9" s="23" t="s">
        <v>40</v>
      </c>
      <c r="R9" s="23" t="s">
        <v>359</v>
      </c>
      <c r="S9" s="23" t="s">
        <v>40</v>
      </c>
      <c r="T9" s="23" t="s">
        <v>40</v>
      </c>
    </row>
    <row r="10" spans="1:20" x14ac:dyDescent="0.25">
      <c r="A10" s="23" t="s">
        <v>4615</v>
      </c>
      <c r="B10" s="23" t="s">
        <v>358</v>
      </c>
      <c r="C10" s="23" t="s">
        <v>4604</v>
      </c>
      <c r="D10" s="23" t="s">
        <v>4616</v>
      </c>
      <c r="E10" s="23" t="s">
        <v>4572</v>
      </c>
      <c r="F10" s="23" t="s">
        <v>40</v>
      </c>
      <c r="G10" s="23" t="s">
        <v>4617</v>
      </c>
      <c r="H10" s="23" t="s">
        <v>4618</v>
      </c>
      <c r="I10" s="23" t="s">
        <v>4619</v>
      </c>
      <c r="J10" s="23" t="s">
        <v>14</v>
      </c>
      <c r="K10" s="24" t="s">
        <v>386</v>
      </c>
      <c r="L10" s="23" t="s">
        <v>405</v>
      </c>
      <c r="M10" s="25" t="s">
        <v>18</v>
      </c>
      <c r="N10" s="23" t="s">
        <v>40</v>
      </c>
      <c r="O10" s="23" t="s">
        <v>387</v>
      </c>
      <c r="P10" s="23" t="s">
        <v>40</v>
      </c>
      <c r="Q10" s="23" t="s">
        <v>40</v>
      </c>
      <c r="R10" s="23" t="s">
        <v>359</v>
      </c>
      <c r="S10" s="23" t="s">
        <v>40</v>
      </c>
      <c r="T10" s="23" t="s">
        <v>40</v>
      </c>
    </row>
    <row r="11" spans="1:20" x14ac:dyDescent="0.25">
      <c r="A11" s="23" t="s">
        <v>4620</v>
      </c>
      <c r="B11" s="23" t="s">
        <v>358</v>
      </c>
      <c r="C11" s="23" t="s">
        <v>4604</v>
      </c>
      <c r="D11" s="23" t="s">
        <v>4621</v>
      </c>
      <c r="E11" s="23" t="s">
        <v>4572</v>
      </c>
      <c r="F11" s="23" t="s">
        <v>40</v>
      </c>
      <c r="G11" s="23" t="s">
        <v>4622</v>
      </c>
      <c r="H11" s="23" t="s">
        <v>4623</v>
      </c>
      <c r="I11" s="23" t="s">
        <v>4624</v>
      </c>
      <c r="J11" s="23" t="s">
        <v>466</v>
      </c>
      <c r="K11" s="24" t="s">
        <v>386</v>
      </c>
      <c r="L11" s="23" t="s">
        <v>13</v>
      </c>
      <c r="M11" s="25" t="s">
        <v>18</v>
      </c>
      <c r="N11" s="23" t="s">
        <v>40</v>
      </c>
      <c r="O11" s="23" t="s">
        <v>387</v>
      </c>
      <c r="P11" s="23" t="s">
        <v>40</v>
      </c>
      <c r="Q11" s="23" t="s">
        <v>40</v>
      </c>
      <c r="R11" s="23" t="s">
        <v>359</v>
      </c>
      <c r="S11" s="23" t="s">
        <v>40</v>
      </c>
      <c r="T11" s="23" t="s">
        <v>40</v>
      </c>
    </row>
    <row r="12" spans="1:20" x14ac:dyDescent="0.25">
      <c r="A12" s="23" t="s">
        <v>4625</v>
      </c>
      <c r="B12" s="23" t="s">
        <v>358</v>
      </c>
      <c r="C12" s="23" t="s">
        <v>4604</v>
      </c>
      <c r="D12" s="23" t="s">
        <v>4626</v>
      </c>
      <c r="E12" s="23" t="s">
        <v>4572</v>
      </c>
      <c r="F12" s="23" t="s">
        <v>40</v>
      </c>
      <c r="G12" s="23" t="s">
        <v>4627</v>
      </c>
      <c r="H12" s="23" t="s">
        <v>4628</v>
      </c>
      <c r="I12" s="23" t="s">
        <v>4629</v>
      </c>
      <c r="J12" s="23" t="s">
        <v>466</v>
      </c>
      <c r="K12" s="24" t="s">
        <v>386</v>
      </c>
      <c r="L12" s="23" t="s">
        <v>13</v>
      </c>
      <c r="M12" s="25" t="s">
        <v>18</v>
      </c>
      <c r="N12" s="23" t="s">
        <v>40</v>
      </c>
      <c r="O12" s="23" t="s">
        <v>387</v>
      </c>
      <c r="P12" s="23" t="s">
        <v>40</v>
      </c>
      <c r="Q12" s="23" t="s">
        <v>40</v>
      </c>
      <c r="R12" s="23" t="s">
        <v>359</v>
      </c>
      <c r="S12" s="23" t="s">
        <v>40</v>
      </c>
      <c r="T12" s="23" t="s">
        <v>40</v>
      </c>
    </row>
    <row r="13" spans="1:20" x14ac:dyDescent="0.25">
      <c r="A13" s="23" t="s">
        <v>4630</v>
      </c>
      <c r="B13" s="23" t="s">
        <v>358</v>
      </c>
      <c r="C13" s="23" t="s">
        <v>4604</v>
      </c>
      <c r="D13" s="23" t="s">
        <v>4631</v>
      </c>
      <c r="E13" s="23" t="s">
        <v>4572</v>
      </c>
      <c r="F13" s="23" t="s">
        <v>40</v>
      </c>
      <c r="G13" s="23" t="s">
        <v>4632</v>
      </c>
      <c r="H13" s="23" t="s">
        <v>4633</v>
      </c>
      <c r="I13" s="23" t="s">
        <v>4634</v>
      </c>
      <c r="J13" s="23" t="s">
        <v>466</v>
      </c>
      <c r="K13" s="27" t="s">
        <v>404</v>
      </c>
      <c r="L13" s="23" t="s">
        <v>405</v>
      </c>
      <c r="M13" s="25" t="s">
        <v>18</v>
      </c>
      <c r="N13" s="23" t="s">
        <v>40</v>
      </c>
      <c r="O13" s="23" t="s">
        <v>387</v>
      </c>
      <c r="P13" s="23" t="s">
        <v>40</v>
      </c>
      <c r="Q13" s="23" t="s">
        <v>40</v>
      </c>
      <c r="R13" s="23" t="s">
        <v>359</v>
      </c>
      <c r="S13" s="23" t="s">
        <v>40</v>
      </c>
      <c r="T13" s="23" t="s">
        <v>40</v>
      </c>
    </row>
    <row r="14" spans="1:20" x14ac:dyDescent="0.25">
      <c r="A14" s="23" t="s">
        <v>4635</v>
      </c>
      <c r="B14" s="23" t="s">
        <v>358</v>
      </c>
      <c r="C14" s="23" t="s">
        <v>4604</v>
      </c>
      <c r="D14" s="23" t="s">
        <v>4636</v>
      </c>
      <c r="E14" s="23" t="s">
        <v>4572</v>
      </c>
      <c r="F14" s="23" t="s">
        <v>40</v>
      </c>
      <c r="G14" s="23" t="s">
        <v>4637</v>
      </c>
      <c r="H14" s="23" t="s">
        <v>4638</v>
      </c>
      <c r="I14" s="23" t="s">
        <v>4639</v>
      </c>
      <c r="J14" s="23" t="s">
        <v>466</v>
      </c>
      <c r="K14" s="27" t="s">
        <v>404</v>
      </c>
      <c r="L14" s="23" t="s">
        <v>405</v>
      </c>
      <c r="M14" s="25" t="s">
        <v>18</v>
      </c>
      <c r="N14" s="23" t="s">
        <v>40</v>
      </c>
      <c r="O14" s="23" t="s">
        <v>387</v>
      </c>
      <c r="P14" s="23" t="s">
        <v>40</v>
      </c>
      <c r="Q14" s="23" t="s">
        <v>40</v>
      </c>
      <c r="R14" s="23" t="s">
        <v>359</v>
      </c>
      <c r="S14" s="23" t="s">
        <v>40</v>
      </c>
      <c r="T14" s="23" t="s">
        <v>40</v>
      </c>
    </row>
    <row r="15" spans="1:20" x14ac:dyDescent="0.25">
      <c r="A15" s="23" t="s">
        <v>4640</v>
      </c>
      <c r="B15" s="23" t="s">
        <v>358</v>
      </c>
      <c r="C15" s="23" t="s">
        <v>4604</v>
      </c>
      <c r="D15" s="23" t="s">
        <v>4641</v>
      </c>
      <c r="E15" s="23" t="s">
        <v>4572</v>
      </c>
      <c r="F15" s="23" t="s">
        <v>40</v>
      </c>
      <c r="G15" s="23" t="s">
        <v>4642</v>
      </c>
      <c r="H15" s="23" t="s">
        <v>4643</v>
      </c>
      <c r="I15" s="23" t="s">
        <v>4644</v>
      </c>
      <c r="J15" s="23" t="s">
        <v>466</v>
      </c>
      <c r="K15" s="27" t="s">
        <v>404</v>
      </c>
      <c r="L15" s="23" t="s">
        <v>405</v>
      </c>
      <c r="M15" s="25" t="s">
        <v>18</v>
      </c>
      <c r="N15" s="23" t="s">
        <v>40</v>
      </c>
      <c r="O15" s="23" t="s">
        <v>387</v>
      </c>
      <c r="P15" s="23" t="s">
        <v>40</v>
      </c>
      <c r="Q15" s="23" t="s">
        <v>40</v>
      </c>
      <c r="R15" s="23" t="s">
        <v>359</v>
      </c>
      <c r="S15" s="23" t="s">
        <v>40</v>
      </c>
      <c r="T15" s="23" t="s">
        <v>40</v>
      </c>
    </row>
    <row r="16" spans="1:20" x14ac:dyDescent="0.25">
      <c r="A16" s="23" t="s">
        <v>4645</v>
      </c>
      <c r="B16" s="23" t="s">
        <v>358</v>
      </c>
      <c r="C16" s="23" t="s">
        <v>4604</v>
      </c>
      <c r="D16" s="23" t="s">
        <v>4646</v>
      </c>
      <c r="E16" s="23" t="s">
        <v>4572</v>
      </c>
      <c r="F16" s="23" t="s">
        <v>40</v>
      </c>
      <c r="G16" s="23" t="s">
        <v>4647</v>
      </c>
      <c r="H16" s="23" t="s">
        <v>4648</v>
      </c>
      <c r="I16" s="23" t="s">
        <v>4649</v>
      </c>
      <c r="J16" s="23" t="s">
        <v>466</v>
      </c>
      <c r="K16" s="24" t="s">
        <v>386</v>
      </c>
      <c r="L16" s="23" t="s">
        <v>13</v>
      </c>
      <c r="M16" s="25" t="s">
        <v>18</v>
      </c>
      <c r="N16" s="23" t="s">
        <v>40</v>
      </c>
      <c r="O16" s="23" t="s">
        <v>387</v>
      </c>
      <c r="P16" s="23" t="s">
        <v>40</v>
      </c>
      <c r="Q16" s="23" t="s">
        <v>40</v>
      </c>
      <c r="R16" s="23" t="s">
        <v>359</v>
      </c>
      <c r="S16" s="23" t="s">
        <v>40</v>
      </c>
      <c r="T16" s="23" t="s">
        <v>40</v>
      </c>
    </row>
    <row r="17" spans="1:20" x14ac:dyDescent="0.25">
      <c r="A17" s="23" t="s">
        <v>4650</v>
      </c>
      <c r="B17" s="23" t="s">
        <v>358</v>
      </c>
      <c r="C17" s="23" t="s">
        <v>4604</v>
      </c>
      <c r="D17" s="23" t="s">
        <v>4651</v>
      </c>
      <c r="E17" s="23" t="s">
        <v>4572</v>
      </c>
      <c r="F17" s="23" t="s">
        <v>40</v>
      </c>
      <c r="G17" s="23" t="s">
        <v>4652</v>
      </c>
      <c r="H17" s="23" t="s">
        <v>4653</v>
      </c>
      <c r="I17" s="23" t="s">
        <v>4654</v>
      </c>
      <c r="J17" s="23" t="s">
        <v>466</v>
      </c>
      <c r="K17" s="27" t="s">
        <v>404</v>
      </c>
      <c r="L17" s="23" t="s">
        <v>405</v>
      </c>
      <c r="M17" s="25" t="s">
        <v>18</v>
      </c>
      <c r="N17" s="23" t="s">
        <v>40</v>
      </c>
      <c r="O17" s="23" t="s">
        <v>387</v>
      </c>
      <c r="P17" s="23" t="s">
        <v>40</v>
      </c>
      <c r="Q17" s="23" t="s">
        <v>40</v>
      </c>
      <c r="R17" s="23" t="s">
        <v>359</v>
      </c>
      <c r="S17" s="23" t="s">
        <v>40</v>
      </c>
      <c r="T17" s="23" t="s">
        <v>40</v>
      </c>
    </row>
    <row r="18" spans="1:20" x14ac:dyDescent="0.25">
      <c r="A18" s="23" t="s">
        <v>4655</v>
      </c>
      <c r="B18" s="23" t="s">
        <v>358</v>
      </c>
      <c r="C18" s="23" t="s">
        <v>4604</v>
      </c>
      <c r="D18" s="23" t="s">
        <v>4656</v>
      </c>
      <c r="E18" s="23" t="s">
        <v>4572</v>
      </c>
      <c r="F18" s="23" t="s">
        <v>40</v>
      </c>
      <c r="G18" s="23" t="s">
        <v>4657</v>
      </c>
      <c r="H18" s="23" t="s">
        <v>4658</v>
      </c>
      <c r="I18" s="23" t="s">
        <v>4659</v>
      </c>
      <c r="J18" s="23" t="s">
        <v>466</v>
      </c>
      <c r="K18" s="27" t="s">
        <v>404</v>
      </c>
      <c r="L18" s="23" t="s">
        <v>405</v>
      </c>
      <c r="M18" s="25" t="s">
        <v>18</v>
      </c>
      <c r="N18" s="23" t="s">
        <v>40</v>
      </c>
      <c r="O18" s="23" t="s">
        <v>387</v>
      </c>
      <c r="P18" s="23" t="s">
        <v>40</v>
      </c>
      <c r="Q18" s="23" t="s">
        <v>40</v>
      </c>
      <c r="R18" s="23" t="s">
        <v>359</v>
      </c>
      <c r="S18" s="23" t="s">
        <v>40</v>
      </c>
      <c r="T18" s="23" t="s">
        <v>40</v>
      </c>
    </row>
    <row r="19" spans="1:20" x14ac:dyDescent="0.25">
      <c r="A19" s="23" t="s">
        <v>4660</v>
      </c>
      <c r="B19" s="23" t="s">
        <v>358</v>
      </c>
      <c r="C19" s="23" t="s">
        <v>4604</v>
      </c>
      <c r="D19" s="23" t="s">
        <v>4661</v>
      </c>
      <c r="E19" s="23" t="s">
        <v>4572</v>
      </c>
      <c r="F19" s="23" t="s">
        <v>40</v>
      </c>
      <c r="G19" s="23" t="s">
        <v>4662</v>
      </c>
      <c r="H19" s="23" t="s">
        <v>4663</v>
      </c>
      <c r="I19" s="23" t="s">
        <v>4664</v>
      </c>
      <c r="J19" s="23" t="s">
        <v>466</v>
      </c>
      <c r="K19" s="27" t="s">
        <v>404</v>
      </c>
      <c r="L19" s="23" t="s">
        <v>490</v>
      </c>
      <c r="M19" s="25" t="s">
        <v>18</v>
      </c>
      <c r="N19" s="23" t="s">
        <v>40</v>
      </c>
      <c r="O19" s="23" t="s">
        <v>387</v>
      </c>
      <c r="P19" s="23" t="s">
        <v>40</v>
      </c>
      <c r="Q19" s="23" t="s">
        <v>40</v>
      </c>
      <c r="R19" s="23" t="s">
        <v>359</v>
      </c>
      <c r="S19" s="23" t="s">
        <v>40</v>
      </c>
      <c r="T19" s="23" t="s">
        <v>40</v>
      </c>
    </row>
    <row r="20" spans="1:20" x14ac:dyDescent="0.25">
      <c r="A20" s="23" t="s">
        <v>4665</v>
      </c>
      <c r="B20" s="23" t="s">
        <v>358</v>
      </c>
      <c r="C20" s="23" t="s">
        <v>4604</v>
      </c>
      <c r="D20" s="23" t="s">
        <v>4666</v>
      </c>
      <c r="E20" s="23" t="s">
        <v>4572</v>
      </c>
      <c r="F20" s="23" t="s">
        <v>40</v>
      </c>
      <c r="G20" s="23" t="s">
        <v>4667</v>
      </c>
      <c r="H20" s="23" t="s">
        <v>4668</v>
      </c>
      <c r="I20" s="23" t="s">
        <v>4669</v>
      </c>
      <c r="J20" s="23" t="s">
        <v>466</v>
      </c>
      <c r="K20" s="27" t="s">
        <v>404</v>
      </c>
      <c r="L20" s="23" t="s">
        <v>490</v>
      </c>
      <c r="M20" s="25" t="s">
        <v>18</v>
      </c>
      <c r="N20" s="23" t="s">
        <v>40</v>
      </c>
      <c r="O20" s="23" t="s">
        <v>387</v>
      </c>
      <c r="P20" s="23" t="s">
        <v>40</v>
      </c>
      <c r="Q20" s="23" t="s">
        <v>40</v>
      </c>
      <c r="R20" s="23" t="s">
        <v>359</v>
      </c>
      <c r="S20" s="23" t="s">
        <v>40</v>
      </c>
      <c r="T20" s="23" t="s">
        <v>40</v>
      </c>
    </row>
    <row r="21" spans="1:20" x14ac:dyDescent="0.25">
      <c r="A21" s="23" t="s">
        <v>4670</v>
      </c>
      <c r="B21" s="23" t="s">
        <v>358</v>
      </c>
      <c r="C21" s="23" t="s">
        <v>4604</v>
      </c>
      <c r="D21" s="23" t="s">
        <v>4671</v>
      </c>
      <c r="E21" s="23" t="s">
        <v>4572</v>
      </c>
      <c r="F21" s="23" t="s">
        <v>40</v>
      </c>
      <c r="G21" s="23" t="s">
        <v>4672</v>
      </c>
      <c r="H21" s="23" t="s">
        <v>4673</v>
      </c>
      <c r="I21" s="23" t="s">
        <v>4674</v>
      </c>
      <c r="J21" s="23" t="s">
        <v>466</v>
      </c>
      <c r="K21" s="27" t="s">
        <v>404</v>
      </c>
      <c r="L21" s="23" t="s">
        <v>490</v>
      </c>
      <c r="M21" s="25" t="s">
        <v>18</v>
      </c>
      <c r="N21" s="23" t="s">
        <v>40</v>
      </c>
      <c r="O21" s="23" t="s">
        <v>387</v>
      </c>
      <c r="P21" s="23" t="s">
        <v>40</v>
      </c>
      <c r="Q21" s="23" t="s">
        <v>40</v>
      </c>
      <c r="R21" s="23" t="s">
        <v>359</v>
      </c>
      <c r="S21" s="23" t="s">
        <v>40</v>
      </c>
      <c r="T21" s="23" t="s">
        <v>40</v>
      </c>
    </row>
    <row r="22" spans="1:20" x14ac:dyDescent="0.25">
      <c r="A22" s="23" t="s">
        <v>4675</v>
      </c>
      <c r="B22" s="23" t="s">
        <v>358</v>
      </c>
      <c r="C22" s="23" t="s">
        <v>4604</v>
      </c>
      <c r="D22" s="23" t="s">
        <v>4676</v>
      </c>
      <c r="E22" s="23" t="s">
        <v>4572</v>
      </c>
      <c r="F22" s="23" t="s">
        <v>40</v>
      </c>
      <c r="G22" s="23" t="s">
        <v>4677</v>
      </c>
      <c r="H22" s="23" t="s">
        <v>4678</v>
      </c>
      <c r="I22" s="23" t="s">
        <v>4679</v>
      </c>
      <c r="J22" s="23" t="s">
        <v>466</v>
      </c>
      <c r="K22" s="27" t="s">
        <v>404</v>
      </c>
      <c r="L22" s="23" t="s">
        <v>405</v>
      </c>
      <c r="M22" s="25" t="s">
        <v>18</v>
      </c>
      <c r="N22" s="23" t="s">
        <v>40</v>
      </c>
      <c r="O22" s="23" t="s">
        <v>387</v>
      </c>
      <c r="P22" s="23" t="s">
        <v>40</v>
      </c>
      <c r="Q22" s="23" t="s">
        <v>40</v>
      </c>
      <c r="R22" s="23" t="s">
        <v>359</v>
      </c>
      <c r="S22" s="23" t="s">
        <v>40</v>
      </c>
      <c r="T22" s="23" t="s">
        <v>40</v>
      </c>
    </row>
    <row r="23" spans="1:20" x14ac:dyDescent="0.25">
      <c r="A23" s="23" t="s">
        <v>4680</v>
      </c>
      <c r="B23" s="23" t="s">
        <v>358</v>
      </c>
      <c r="C23" s="23" t="s">
        <v>4604</v>
      </c>
      <c r="D23" s="23" t="s">
        <v>4681</v>
      </c>
      <c r="E23" s="23" t="s">
        <v>4572</v>
      </c>
      <c r="F23" s="23" t="s">
        <v>40</v>
      </c>
      <c r="G23" s="23" t="s">
        <v>4682</v>
      </c>
      <c r="H23" s="23" t="s">
        <v>4683</v>
      </c>
      <c r="I23" s="23" t="s">
        <v>4684</v>
      </c>
      <c r="J23" s="23" t="s">
        <v>489</v>
      </c>
      <c r="K23" s="27" t="s">
        <v>404</v>
      </c>
      <c r="L23" s="23" t="s">
        <v>490</v>
      </c>
      <c r="M23" s="25" t="s">
        <v>18</v>
      </c>
      <c r="N23" s="23" t="s">
        <v>40</v>
      </c>
      <c r="O23" s="23" t="s">
        <v>387</v>
      </c>
      <c r="P23" s="23" t="s">
        <v>40</v>
      </c>
      <c r="Q23" s="23" t="s">
        <v>40</v>
      </c>
      <c r="R23" s="23" t="s">
        <v>359</v>
      </c>
      <c r="S23" s="23" t="s">
        <v>40</v>
      </c>
      <c r="T23" s="23" t="s">
        <v>40</v>
      </c>
    </row>
    <row r="24" spans="1:20" x14ac:dyDescent="0.25">
      <c r="A24" s="23" t="s">
        <v>4685</v>
      </c>
      <c r="B24" s="23" t="s">
        <v>358</v>
      </c>
      <c r="C24" s="23" t="s">
        <v>4604</v>
      </c>
      <c r="D24" s="23" t="s">
        <v>4686</v>
      </c>
      <c r="E24" s="23" t="s">
        <v>4572</v>
      </c>
      <c r="F24" s="23" t="s">
        <v>40</v>
      </c>
      <c r="G24" s="23" t="s">
        <v>4687</v>
      </c>
      <c r="H24" s="23" t="s">
        <v>4688</v>
      </c>
      <c r="I24" s="23" t="s">
        <v>4689</v>
      </c>
      <c r="J24" s="23" t="s">
        <v>15</v>
      </c>
      <c r="K24" s="24" t="s">
        <v>386</v>
      </c>
      <c r="L24" s="23" t="s">
        <v>13</v>
      </c>
      <c r="M24" s="25" t="s">
        <v>18</v>
      </c>
      <c r="N24" s="23" t="s">
        <v>40</v>
      </c>
      <c r="O24" s="23" t="s">
        <v>387</v>
      </c>
      <c r="P24" s="23" t="s">
        <v>40</v>
      </c>
      <c r="Q24" s="23" t="s">
        <v>40</v>
      </c>
      <c r="R24" s="23" t="s">
        <v>359</v>
      </c>
      <c r="S24" s="23" t="s">
        <v>40</v>
      </c>
      <c r="T24" s="23" t="s">
        <v>40</v>
      </c>
    </row>
    <row r="25" spans="1:20" x14ac:dyDescent="0.25">
      <c r="A25" s="23" t="s">
        <v>4690</v>
      </c>
      <c r="B25" s="23" t="s">
        <v>358</v>
      </c>
      <c r="C25" s="23" t="s">
        <v>4604</v>
      </c>
      <c r="D25" s="23" t="s">
        <v>4691</v>
      </c>
      <c r="E25" s="23" t="s">
        <v>4572</v>
      </c>
      <c r="F25" s="23" t="s">
        <v>40</v>
      </c>
      <c r="G25" s="23" t="s">
        <v>4692</v>
      </c>
      <c r="H25" s="23" t="s">
        <v>4693</v>
      </c>
      <c r="I25" s="23" t="s">
        <v>4694</v>
      </c>
      <c r="J25" s="23" t="s">
        <v>15</v>
      </c>
      <c r="K25" s="27" t="s">
        <v>404</v>
      </c>
      <c r="L25" s="23" t="s">
        <v>405</v>
      </c>
      <c r="M25" s="25" t="s">
        <v>18</v>
      </c>
      <c r="N25" s="23" t="s">
        <v>40</v>
      </c>
      <c r="O25" s="23" t="s">
        <v>387</v>
      </c>
      <c r="P25" s="23" t="s">
        <v>40</v>
      </c>
      <c r="Q25" s="23" t="s">
        <v>40</v>
      </c>
      <c r="R25" s="23" t="s">
        <v>359</v>
      </c>
      <c r="S25" s="23" t="s">
        <v>40</v>
      </c>
      <c r="T25" s="23" t="s">
        <v>40</v>
      </c>
    </row>
    <row r="26" spans="1:20" x14ac:dyDescent="0.25">
      <c r="A26" s="23" t="s">
        <v>4695</v>
      </c>
      <c r="B26" s="23" t="s">
        <v>358</v>
      </c>
      <c r="C26" s="23" t="s">
        <v>4604</v>
      </c>
      <c r="D26" s="23" t="s">
        <v>4696</v>
      </c>
      <c r="E26" s="23" t="s">
        <v>4572</v>
      </c>
      <c r="F26" s="23" t="s">
        <v>40</v>
      </c>
      <c r="G26" s="23" t="s">
        <v>4697</v>
      </c>
      <c r="H26" s="23" t="s">
        <v>4698</v>
      </c>
      <c r="I26" s="23" t="s">
        <v>4699</v>
      </c>
      <c r="J26" s="23" t="s">
        <v>15</v>
      </c>
      <c r="K26" s="27" t="s">
        <v>404</v>
      </c>
      <c r="L26" s="23" t="s">
        <v>490</v>
      </c>
      <c r="M26" s="25" t="s">
        <v>18</v>
      </c>
      <c r="N26" s="23" t="s">
        <v>40</v>
      </c>
      <c r="O26" s="23" t="s">
        <v>387</v>
      </c>
      <c r="P26" s="23" t="s">
        <v>40</v>
      </c>
      <c r="Q26" s="23" t="s">
        <v>40</v>
      </c>
      <c r="R26" s="23" t="s">
        <v>359</v>
      </c>
      <c r="S26" s="23" t="s">
        <v>40</v>
      </c>
      <c r="T26" s="23" t="s">
        <v>40</v>
      </c>
    </row>
    <row r="27" spans="1:20" x14ac:dyDescent="0.25">
      <c r="A27" s="23" t="s">
        <v>4700</v>
      </c>
      <c r="B27" s="23" t="s">
        <v>358</v>
      </c>
      <c r="C27" s="23" t="s">
        <v>4604</v>
      </c>
      <c r="D27" s="23" t="s">
        <v>4701</v>
      </c>
      <c r="E27" s="23" t="s">
        <v>4572</v>
      </c>
      <c r="F27" s="23" t="s">
        <v>40</v>
      </c>
      <c r="G27" s="23" t="s">
        <v>4702</v>
      </c>
      <c r="H27" s="23" t="s">
        <v>4703</v>
      </c>
      <c r="I27" s="23" t="s">
        <v>4704</v>
      </c>
      <c r="J27" s="23" t="s">
        <v>15</v>
      </c>
      <c r="K27" s="27" t="s">
        <v>404</v>
      </c>
      <c r="L27" s="23" t="s">
        <v>490</v>
      </c>
      <c r="M27" s="25" t="s">
        <v>18</v>
      </c>
      <c r="N27" s="23" t="s">
        <v>40</v>
      </c>
      <c r="O27" s="23" t="s">
        <v>387</v>
      </c>
      <c r="P27" s="23" t="s">
        <v>40</v>
      </c>
      <c r="Q27" s="23" t="s">
        <v>40</v>
      </c>
      <c r="R27" s="23" t="s">
        <v>359</v>
      </c>
      <c r="S27" s="23" t="s">
        <v>40</v>
      </c>
      <c r="T27" s="23" t="s">
        <v>40</v>
      </c>
    </row>
    <row r="28" spans="1:20" x14ac:dyDescent="0.25">
      <c r="A28" s="23" t="s">
        <v>4705</v>
      </c>
      <c r="B28" s="23" t="s">
        <v>358</v>
      </c>
      <c r="C28" s="23" t="s">
        <v>4604</v>
      </c>
      <c r="D28" s="23" t="s">
        <v>4706</v>
      </c>
      <c r="E28" s="23" t="s">
        <v>4572</v>
      </c>
      <c r="F28" s="23" t="s">
        <v>40</v>
      </c>
      <c r="G28" s="23" t="s">
        <v>4707</v>
      </c>
      <c r="H28" s="23" t="s">
        <v>4708</v>
      </c>
      <c r="I28" s="23" t="s">
        <v>4709</v>
      </c>
      <c r="J28" s="23" t="s">
        <v>15</v>
      </c>
      <c r="K28" s="27" t="s">
        <v>404</v>
      </c>
      <c r="L28" s="23" t="s">
        <v>490</v>
      </c>
      <c r="M28" s="25" t="s">
        <v>18</v>
      </c>
      <c r="N28" s="23" t="s">
        <v>40</v>
      </c>
      <c r="O28" s="23" t="s">
        <v>387</v>
      </c>
      <c r="P28" s="23" t="s">
        <v>40</v>
      </c>
      <c r="Q28" s="23" t="s">
        <v>40</v>
      </c>
      <c r="R28" s="23" t="s">
        <v>359</v>
      </c>
      <c r="S28" s="23" t="s">
        <v>40</v>
      </c>
      <c r="T28" s="23" t="s">
        <v>40</v>
      </c>
    </row>
    <row r="29" spans="1:20" x14ac:dyDescent="0.25">
      <c r="A29" s="23" t="s">
        <v>4710</v>
      </c>
      <c r="B29" s="23" t="s">
        <v>358</v>
      </c>
      <c r="C29" s="23" t="s">
        <v>4711</v>
      </c>
      <c r="D29" s="23" t="s">
        <v>4712</v>
      </c>
      <c r="E29" s="23" t="s">
        <v>4572</v>
      </c>
      <c r="F29" s="23" t="s">
        <v>40</v>
      </c>
      <c r="G29" s="23" t="s">
        <v>4713</v>
      </c>
      <c r="H29" s="23" t="s">
        <v>4714</v>
      </c>
      <c r="I29" s="23" t="s">
        <v>4715</v>
      </c>
      <c r="J29" s="23" t="s">
        <v>14</v>
      </c>
      <c r="K29" s="26" t="s">
        <v>396</v>
      </c>
      <c r="L29" s="23" t="s">
        <v>13</v>
      </c>
      <c r="M29" s="25" t="s">
        <v>18</v>
      </c>
      <c r="N29" s="23" t="s">
        <v>40</v>
      </c>
      <c r="O29" s="23" t="s">
        <v>387</v>
      </c>
      <c r="P29" s="23" t="s">
        <v>40</v>
      </c>
      <c r="Q29" s="23" t="s">
        <v>40</v>
      </c>
      <c r="R29" s="23" t="s">
        <v>359</v>
      </c>
      <c r="S29" s="23" t="s">
        <v>40</v>
      </c>
      <c r="T29" s="23" t="s">
        <v>40</v>
      </c>
    </row>
    <row r="30" spans="1:20" x14ac:dyDescent="0.25">
      <c r="A30" s="23" t="s">
        <v>4716</v>
      </c>
      <c r="B30" s="23" t="s">
        <v>358</v>
      </c>
      <c r="C30" s="23" t="s">
        <v>4711</v>
      </c>
      <c r="D30" s="23" t="s">
        <v>4717</v>
      </c>
      <c r="E30" s="23" t="s">
        <v>4572</v>
      </c>
      <c r="F30" s="23" t="s">
        <v>40</v>
      </c>
      <c r="G30" s="23" t="s">
        <v>4718</v>
      </c>
      <c r="H30" s="23" t="s">
        <v>4719</v>
      </c>
      <c r="I30" s="23" t="s">
        <v>4720</v>
      </c>
      <c r="J30" s="23" t="s">
        <v>14</v>
      </c>
      <c r="K30" s="24" t="s">
        <v>386</v>
      </c>
      <c r="L30" s="23" t="s">
        <v>405</v>
      </c>
      <c r="M30" s="25" t="s">
        <v>18</v>
      </c>
      <c r="N30" s="23" t="s">
        <v>40</v>
      </c>
      <c r="O30" s="23" t="s">
        <v>387</v>
      </c>
      <c r="P30" s="23" t="s">
        <v>40</v>
      </c>
      <c r="Q30" s="23" t="s">
        <v>40</v>
      </c>
      <c r="R30" s="23" t="s">
        <v>359</v>
      </c>
      <c r="S30" s="23" t="s">
        <v>40</v>
      </c>
      <c r="T30" s="23" t="s">
        <v>40</v>
      </c>
    </row>
    <row r="31" spans="1:20" x14ac:dyDescent="0.25">
      <c r="A31" s="23" t="s">
        <v>4721</v>
      </c>
      <c r="B31" s="23" t="s">
        <v>358</v>
      </c>
      <c r="C31" s="23" t="s">
        <v>4711</v>
      </c>
      <c r="D31" s="23" t="s">
        <v>4722</v>
      </c>
      <c r="E31" s="23" t="s">
        <v>4572</v>
      </c>
      <c r="F31" s="23" t="s">
        <v>40</v>
      </c>
      <c r="G31" s="23" t="s">
        <v>4723</v>
      </c>
      <c r="H31" s="23" t="s">
        <v>4724</v>
      </c>
      <c r="I31" s="23" t="s">
        <v>4725</v>
      </c>
      <c r="J31" s="23" t="s">
        <v>801</v>
      </c>
      <c r="K31" s="26" t="s">
        <v>396</v>
      </c>
      <c r="L31" s="23" t="s">
        <v>13</v>
      </c>
      <c r="M31" s="28" t="s">
        <v>16</v>
      </c>
      <c r="N31" s="23" t="s">
        <v>3341</v>
      </c>
      <c r="O31" s="29" t="s">
        <v>87</v>
      </c>
      <c r="P31" s="23" t="s">
        <v>40</v>
      </c>
      <c r="Q31" s="23" t="s">
        <v>40</v>
      </c>
      <c r="R31" s="23" t="s">
        <v>359</v>
      </c>
      <c r="S31" s="23" t="s">
        <v>40</v>
      </c>
      <c r="T31" s="23" t="s">
        <v>40</v>
      </c>
    </row>
    <row r="32" spans="1:20" x14ac:dyDescent="0.25">
      <c r="A32" s="23" t="s">
        <v>4726</v>
      </c>
      <c r="B32" s="23" t="s">
        <v>358</v>
      </c>
      <c r="C32" s="23" t="s">
        <v>4711</v>
      </c>
      <c r="D32" s="23" t="s">
        <v>4727</v>
      </c>
      <c r="E32" s="23" t="s">
        <v>4572</v>
      </c>
      <c r="F32" s="23" t="s">
        <v>40</v>
      </c>
      <c r="G32" s="23" t="s">
        <v>4728</v>
      </c>
      <c r="H32" s="23" t="s">
        <v>4729</v>
      </c>
      <c r="I32" s="23" t="s">
        <v>4730</v>
      </c>
      <c r="J32" s="23" t="s">
        <v>801</v>
      </c>
      <c r="K32" s="24" t="s">
        <v>386</v>
      </c>
      <c r="L32" s="23" t="s">
        <v>405</v>
      </c>
      <c r="M32" s="25" t="s">
        <v>18</v>
      </c>
      <c r="N32" s="23" t="s">
        <v>40</v>
      </c>
      <c r="O32" s="23" t="s">
        <v>387</v>
      </c>
      <c r="P32" s="23" t="s">
        <v>40</v>
      </c>
      <c r="Q32" s="23" t="s">
        <v>40</v>
      </c>
      <c r="R32" s="23" t="s">
        <v>359</v>
      </c>
      <c r="S32" s="23" t="s">
        <v>40</v>
      </c>
      <c r="T32" s="23" t="s">
        <v>40</v>
      </c>
    </row>
    <row r="33" spans="1:20" x14ac:dyDescent="0.25">
      <c r="A33" s="23" t="s">
        <v>4731</v>
      </c>
      <c r="B33" s="23" t="s">
        <v>358</v>
      </c>
      <c r="C33" s="23" t="s">
        <v>4711</v>
      </c>
      <c r="D33" s="23" t="s">
        <v>4732</v>
      </c>
      <c r="E33" s="23" t="s">
        <v>4733</v>
      </c>
      <c r="F33" s="23" t="s">
        <v>40</v>
      </c>
      <c r="G33" s="23" t="s">
        <v>4734</v>
      </c>
      <c r="H33" s="23" t="s">
        <v>4735</v>
      </c>
      <c r="I33" s="23" t="s">
        <v>4736</v>
      </c>
      <c r="J33" s="23" t="s">
        <v>525</v>
      </c>
      <c r="K33" s="24" t="s">
        <v>386</v>
      </c>
      <c r="L33" s="23" t="s">
        <v>13</v>
      </c>
      <c r="M33" s="25" t="s">
        <v>18</v>
      </c>
      <c r="N33" s="23" t="s">
        <v>40</v>
      </c>
      <c r="O33" s="23" t="s">
        <v>387</v>
      </c>
      <c r="P33" s="23" t="s">
        <v>40</v>
      </c>
      <c r="Q33" s="23" t="s">
        <v>40</v>
      </c>
      <c r="R33" s="23" t="s">
        <v>359</v>
      </c>
      <c r="S33" s="23" t="s">
        <v>40</v>
      </c>
      <c r="T33" s="23" t="s">
        <v>40</v>
      </c>
    </row>
    <row r="34" spans="1:20" x14ac:dyDescent="0.25">
      <c r="A34" s="23" t="s">
        <v>4737</v>
      </c>
      <c r="B34" s="23" t="s">
        <v>358</v>
      </c>
      <c r="C34" s="23" t="s">
        <v>4711</v>
      </c>
      <c r="D34" s="23" t="s">
        <v>4738</v>
      </c>
      <c r="E34" s="23" t="s">
        <v>4572</v>
      </c>
      <c r="F34" s="23" t="s">
        <v>40</v>
      </c>
      <c r="G34" s="23" t="s">
        <v>4739</v>
      </c>
      <c r="H34" s="23" t="s">
        <v>4740</v>
      </c>
      <c r="I34" s="23" t="s">
        <v>4741</v>
      </c>
      <c r="J34" s="23" t="s">
        <v>395</v>
      </c>
      <c r="K34" s="24" t="s">
        <v>386</v>
      </c>
      <c r="L34" s="23" t="s">
        <v>405</v>
      </c>
      <c r="M34" s="25" t="s">
        <v>18</v>
      </c>
      <c r="N34" s="23" t="s">
        <v>40</v>
      </c>
      <c r="O34" s="23" t="s">
        <v>387</v>
      </c>
      <c r="P34" s="23" t="s">
        <v>40</v>
      </c>
      <c r="Q34" s="23" t="s">
        <v>40</v>
      </c>
      <c r="R34" s="23" t="s">
        <v>359</v>
      </c>
      <c r="S34" s="23" t="s">
        <v>40</v>
      </c>
      <c r="T34" s="23" t="s">
        <v>40</v>
      </c>
    </row>
    <row r="35" spans="1:20" x14ac:dyDescent="0.25">
      <c r="A35" s="23" t="s">
        <v>4742</v>
      </c>
      <c r="B35" s="23" t="s">
        <v>358</v>
      </c>
      <c r="C35" s="23" t="s">
        <v>4711</v>
      </c>
      <c r="D35" s="23" t="s">
        <v>4743</v>
      </c>
      <c r="E35" s="23" t="s">
        <v>4572</v>
      </c>
      <c r="F35" s="23" t="s">
        <v>40</v>
      </c>
      <c r="G35" s="23" t="s">
        <v>4744</v>
      </c>
      <c r="H35" s="23" t="s">
        <v>4745</v>
      </c>
      <c r="I35" s="23" t="s">
        <v>4746</v>
      </c>
      <c r="J35" s="23" t="s">
        <v>801</v>
      </c>
      <c r="K35" s="27" t="s">
        <v>404</v>
      </c>
      <c r="L35" s="23" t="s">
        <v>490</v>
      </c>
      <c r="M35" s="33" t="s">
        <v>20</v>
      </c>
      <c r="N35" s="23" t="s">
        <v>40</v>
      </c>
      <c r="O35" s="23" t="s">
        <v>387</v>
      </c>
      <c r="P35" s="23" t="s">
        <v>40</v>
      </c>
      <c r="Q35" s="23" t="s">
        <v>40</v>
      </c>
      <c r="R35" s="23" t="s">
        <v>359</v>
      </c>
      <c r="S35" s="23" t="s">
        <v>4747</v>
      </c>
      <c r="T35" s="23" t="s">
        <v>40</v>
      </c>
    </row>
    <row r="36" spans="1:20" x14ac:dyDescent="0.25">
      <c r="A36" s="23" t="s">
        <v>4748</v>
      </c>
      <c r="B36" s="23" t="s">
        <v>358</v>
      </c>
      <c r="C36" s="23" t="s">
        <v>4711</v>
      </c>
      <c r="D36" s="23" t="s">
        <v>4749</v>
      </c>
      <c r="E36" s="23" t="s">
        <v>2951</v>
      </c>
      <c r="F36" s="23" t="s">
        <v>40</v>
      </c>
      <c r="G36" s="23" t="s">
        <v>4750</v>
      </c>
      <c r="H36" s="23" t="s">
        <v>4751</v>
      </c>
      <c r="I36" s="23" t="s">
        <v>3428</v>
      </c>
      <c r="J36" s="23" t="s">
        <v>395</v>
      </c>
      <c r="K36" s="24" t="s">
        <v>386</v>
      </c>
      <c r="L36" s="23" t="s">
        <v>405</v>
      </c>
      <c r="M36" s="25" t="s">
        <v>18</v>
      </c>
      <c r="N36" s="23" t="s">
        <v>40</v>
      </c>
      <c r="O36" s="23" t="s">
        <v>387</v>
      </c>
      <c r="P36" s="23" t="s">
        <v>40</v>
      </c>
      <c r="Q36" s="23" t="s">
        <v>40</v>
      </c>
      <c r="R36" s="23" t="s">
        <v>359</v>
      </c>
      <c r="S36" s="23" t="s">
        <v>40</v>
      </c>
      <c r="T36" s="23" t="s">
        <v>40</v>
      </c>
    </row>
    <row r="37" spans="1:20" x14ac:dyDescent="0.25">
      <c r="A37" s="23" t="s">
        <v>4752</v>
      </c>
      <c r="B37" s="23" t="s">
        <v>144</v>
      </c>
      <c r="C37" s="23" t="s">
        <v>4753</v>
      </c>
      <c r="D37" s="23" t="s">
        <v>4754</v>
      </c>
      <c r="E37" s="23" t="s">
        <v>4755</v>
      </c>
      <c r="F37" s="23" t="s">
        <v>40</v>
      </c>
      <c r="G37" s="23" t="s">
        <v>4756</v>
      </c>
      <c r="H37" s="23" t="s">
        <v>4757</v>
      </c>
      <c r="I37" s="23" t="s">
        <v>4758</v>
      </c>
      <c r="J37" s="23" t="s">
        <v>385</v>
      </c>
      <c r="K37" s="24" t="s">
        <v>386</v>
      </c>
      <c r="L37" s="23" t="s">
        <v>13</v>
      </c>
      <c r="M37" s="31" t="s">
        <v>17</v>
      </c>
      <c r="N37" s="23" t="s">
        <v>4759</v>
      </c>
      <c r="O37" s="29" t="s">
        <v>87</v>
      </c>
      <c r="P37" s="23" t="s">
        <v>40</v>
      </c>
      <c r="Q37" s="23" t="s">
        <v>40</v>
      </c>
      <c r="R37" s="23" t="s">
        <v>145</v>
      </c>
      <c r="S37" s="23" t="s">
        <v>40</v>
      </c>
      <c r="T37" s="23" t="s">
        <v>40</v>
      </c>
    </row>
    <row r="38" spans="1:20" x14ac:dyDescent="0.25">
      <c r="A38" s="23" t="s">
        <v>4760</v>
      </c>
      <c r="B38" s="23" t="s">
        <v>144</v>
      </c>
      <c r="C38" s="23" t="s">
        <v>4753</v>
      </c>
      <c r="D38" s="23" t="s">
        <v>4761</v>
      </c>
      <c r="E38" s="23" t="s">
        <v>4755</v>
      </c>
      <c r="F38" s="23" t="s">
        <v>40</v>
      </c>
      <c r="G38" s="23" t="s">
        <v>4762</v>
      </c>
      <c r="H38" s="23" t="s">
        <v>4763</v>
      </c>
      <c r="I38" s="23" t="s">
        <v>4764</v>
      </c>
      <c r="J38" s="23" t="s">
        <v>14</v>
      </c>
      <c r="K38" s="26" t="s">
        <v>396</v>
      </c>
      <c r="L38" s="23" t="s">
        <v>13</v>
      </c>
      <c r="M38" s="28" t="s">
        <v>16</v>
      </c>
      <c r="N38" s="23" t="s">
        <v>3341</v>
      </c>
      <c r="O38" s="29" t="s">
        <v>87</v>
      </c>
      <c r="P38" s="23" t="s">
        <v>40</v>
      </c>
      <c r="Q38" s="23" t="s">
        <v>40</v>
      </c>
      <c r="R38" s="23" t="s">
        <v>145</v>
      </c>
      <c r="S38" s="23" t="s">
        <v>40</v>
      </c>
      <c r="T38" s="23" t="s">
        <v>40</v>
      </c>
    </row>
    <row r="39" spans="1:20" x14ac:dyDescent="0.25">
      <c r="A39" s="23" t="s">
        <v>4765</v>
      </c>
      <c r="B39" s="23" t="s">
        <v>144</v>
      </c>
      <c r="C39" s="23" t="s">
        <v>4753</v>
      </c>
      <c r="D39" s="23" t="s">
        <v>4766</v>
      </c>
      <c r="E39" s="23" t="s">
        <v>4755</v>
      </c>
      <c r="F39" s="23" t="s">
        <v>40</v>
      </c>
      <c r="G39" s="23" t="s">
        <v>4767</v>
      </c>
      <c r="H39" s="23" t="s">
        <v>4768</v>
      </c>
      <c r="I39" s="23" t="s">
        <v>4769</v>
      </c>
      <c r="J39" s="23" t="s">
        <v>14</v>
      </c>
      <c r="K39" s="24" t="s">
        <v>386</v>
      </c>
      <c r="L39" s="23" t="s">
        <v>405</v>
      </c>
      <c r="M39" s="25" t="s">
        <v>18</v>
      </c>
      <c r="N39" s="23" t="s">
        <v>40</v>
      </c>
      <c r="O39" s="23" t="s">
        <v>387</v>
      </c>
      <c r="P39" s="23" t="s">
        <v>40</v>
      </c>
      <c r="Q39" s="23" t="s">
        <v>40</v>
      </c>
      <c r="R39" s="23" t="s">
        <v>145</v>
      </c>
      <c r="S39" s="23" t="s">
        <v>40</v>
      </c>
      <c r="T39" s="23" t="s">
        <v>40</v>
      </c>
    </row>
    <row r="40" spans="1:20" x14ac:dyDescent="0.25">
      <c r="A40" s="23" t="s">
        <v>4770</v>
      </c>
      <c r="B40" s="23" t="s">
        <v>144</v>
      </c>
      <c r="C40" s="23" t="s">
        <v>4753</v>
      </c>
      <c r="D40" s="23" t="s">
        <v>4771</v>
      </c>
      <c r="E40" s="23" t="s">
        <v>4755</v>
      </c>
      <c r="F40" s="23" t="s">
        <v>40</v>
      </c>
      <c r="G40" s="23" t="s">
        <v>4772</v>
      </c>
      <c r="H40" s="23" t="s">
        <v>4773</v>
      </c>
      <c r="I40" s="23" t="s">
        <v>4774</v>
      </c>
      <c r="J40" s="23" t="s">
        <v>15</v>
      </c>
      <c r="K40" s="27" t="s">
        <v>404</v>
      </c>
      <c r="L40" s="23" t="s">
        <v>490</v>
      </c>
      <c r="M40" s="25" t="s">
        <v>18</v>
      </c>
      <c r="N40" s="23" t="s">
        <v>40</v>
      </c>
      <c r="O40" s="23" t="s">
        <v>387</v>
      </c>
      <c r="P40" s="23" t="s">
        <v>40</v>
      </c>
      <c r="Q40" s="23" t="s">
        <v>40</v>
      </c>
      <c r="R40" s="23" t="s">
        <v>145</v>
      </c>
      <c r="S40" s="23" t="s">
        <v>40</v>
      </c>
      <c r="T40" s="23" t="s">
        <v>40</v>
      </c>
    </row>
    <row r="41" spans="1:20" x14ac:dyDescent="0.25">
      <c r="A41" s="23" t="s">
        <v>4775</v>
      </c>
      <c r="B41" s="23" t="s">
        <v>144</v>
      </c>
      <c r="C41" s="23" t="s">
        <v>4753</v>
      </c>
      <c r="D41" s="23" t="s">
        <v>4776</v>
      </c>
      <c r="E41" s="23" t="s">
        <v>4755</v>
      </c>
      <c r="F41" s="23" t="s">
        <v>40</v>
      </c>
      <c r="G41" s="23" t="s">
        <v>4777</v>
      </c>
      <c r="H41" s="23" t="s">
        <v>4778</v>
      </c>
      <c r="I41" s="23" t="s">
        <v>4779</v>
      </c>
      <c r="J41" s="23" t="s">
        <v>14</v>
      </c>
      <c r="K41" s="24" t="s">
        <v>386</v>
      </c>
      <c r="L41" s="23" t="s">
        <v>405</v>
      </c>
      <c r="M41" s="25" t="s">
        <v>18</v>
      </c>
      <c r="N41" s="23" t="s">
        <v>40</v>
      </c>
      <c r="O41" s="23" t="s">
        <v>387</v>
      </c>
      <c r="P41" s="23" t="s">
        <v>40</v>
      </c>
      <c r="Q41" s="23" t="s">
        <v>40</v>
      </c>
      <c r="R41" s="23" t="s">
        <v>145</v>
      </c>
      <c r="S41" s="23" t="s">
        <v>40</v>
      </c>
      <c r="T41" s="23" t="s">
        <v>40</v>
      </c>
    </row>
    <row r="42" spans="1:20" x14ac:dyDescent="0.25">
      <c r="A42" s="23" t="s">
        <v>4780</v>
      </c>
      <c r="B42" s="23" t="s">
        <v>144</v>
      </c>
      <c r="C42" s="23" t="s">
        <v>4753</v>
      </c>
      <c r="D42" s="23" t="s">
        <v>4781</v>
      </c>
      <c r="E42" s="23" t="s">
        <v>4755</v>
      </c>
      <c r="F42" s="23" t="s">
        <v>40</v>
      </c>
      <c r="G42" s="23" t="s">
        <v>4782</v>
      </c>
      <c r="H42" s="23" t="s">
        <v>4783</v>
      </c>
      <c r="I42" s="23" t="s">
        <v>4784</v>
      </c>
      <c r="J42" s="23" t="s">
        <v>14</v>
      </c>
      <c r="K42" s="24" t="s">
        <v>386</v>
      </c>
      <c r="L42" s="23" t="s">
        <v>405</v>
      </c>
      <c r="M42" s="25" t="s">
        <v>18</v>
      </c>
      <c r="N42" s="23" t="s">
        <v>40</v>
      </c>
      <c r="O42" s="23" t="s">
        <v>387</v>
      </c>
      <c r="P42" s="23" t="s">
        <v>40</v>
      </c>
      <c r="Q42" s="23" t="s">
        <v>40</v>
      </c>
      <c r="R42" s="23" t="s">
        <v>145</v>
      </c>
      <c r="S42" s="23" t="s">
        <v>40</v>
      </c>
      <c r="T42" s="23" t="s">
        <v>40</v>
      </c>
    </row>
    <row r="43" spans="1:20" x14ac:dyDescent="0.25">
      <c r="A43" s="23" t="s">
        <v>4785</v>
      </c>
      <c r="B43" s="23" t="s">
        <v>144</v>
      </c>
      <c r="C43" s="23" t="s">
        <v>4753</v>
      </c>
      <c r="D43" s="23" t="s">
        <v>4786</v>
      </c>
      <c r="E43" s="23" t="s">
        <v>4755</v>
      </c>
      <c r="F43" s="23" t="s">
        <v>40</v>
      </c>
      <c r="G43" s="23" t="s">
        <v>4787</v>
      </c>
      <c r="H43" s="23" t="s">
        <v>4788</v>
      </c>
      <c r="I43" s="23" t="s">
        <v>4789</v>
      </c>
      <c r="J43" s="23" t="s">
        <v>14</v>
      </c>
      <c r="K43" s="27" t="s">
        <v>404</v>
      </c>
      <c r="L43" s="23" t="s">
        <v>490</v>
      </c>
      <c r="M43" s="25" t="s">
        <v>18</v>
      </c>
      <c r="N43" s="23" t="s">
        <v>40</v>
      </c>
      <c r="O43" s="23" t="s">
        <v>387</v>
      </c>
      <c r="P43" s="23" t="s">
        <v>40</v>
      </c>
      <c r="Q43" s="23" t="s">
        <v>40</v>
      </c>
      <c r="R43" s="23" t="s">
        <v>145</v>
      </c>
      <c r="S43" s="23" t="s">
        <v>40</v>
      </c>
      <c r="T43" s="23" t="s">
        <v>40</v>
      </c>
    </row>
    <row r="44" spans="1:20" x14ac:dyDescent="0.25">
      <c r="A44" s="23" t="s">
        <v>4790</v>
      </c>
      <c r="B44" s="23" t="s">
        <v>144</v>
      </c>
      <c r="C44" s="23" t="s">
        <v>4753</v>
      </c>
      <c r="D44" s="23" t="s">
        <v>4791</v>
      </c>
      <c r="E44" s="23" t="s">
        <v>4755</v>
      </c>
      <c r="F44" s="23" t="s">
        <v>40</v>
      </c>
      <c r="G44" s="23" t="s">
        <v>4792</v>
      </c>
      <c r="H44" s="23" t="s">
        <v>4793</v>
      </c>
      <c r="I44" s="23" t="s">
        <v>4794</v>
      </c>
      <c r="J44" s="23" t="s">
        <v>385</v>
      </c>
      <c r="K44" s="32" t="s">
        <v>747</v>
      </c>
      <c r="L44" s="23" t="s">
        <v>490</v>
      </c>
      <c r="M44" s="25" t="s">
        <v>18</v>
      </c>
      <c r="N44" s="23" t="s">
        <v>40</v>
      </c>
      <c r="O44" s="23" t="s">
        <v>387</v>
      </c>
      <c r="P44" s="23" t="s">
        <v>40</v>
      </c>
      <c r="Q44" s="23" t="s">
        <v>40</v>
      </c>
      <c r="R44" s="23" t="s">
        <v>145</v>
      </c>
      <c r="S44" s="23" t="s">
        <v>40</v>
      </c>
      <c r="T44" s="23" t="s">
        <v>40</v>
      </c>
    </row>
    <row r="45" spans="1:20" x14ac:dyDescent="0.25">
      <c r="A45" s="23" t="s">
        <v>4795</v>
      </c>
      <c r="B45" s="23" t="s">
        <v>144</v>
      </c>
      <c r="C45" s="23" t="s">
        <v>4753</v>
      </c>
      <c r="D45" s="23" t="s">
        <v>4796</v>
      </c>
      <c r="E45" s="23" t="s">
        <v>4755</v>
      </c>
      <c r="F45" s="23" t="s">
        <v>40</v>
      </c>
      <c r="G45" s="23" t="s">
        <v>4797</v>
      </c>
      <c r="H45" s="23" t="s">
        <v>4798</v>
      </c>
      <c r="I45" s="23" t="s">
        <v>4799</v>
      </c>
      <c r="J45" s="23" t="s">
        <v>14</v>
      </c>
      <c r="K45" s="26" t="s">
        <v>396</v>
      </c>
      <c r="L45" s="23" t="s">
        <v>13</v>
      </c>
      <c r="M45" s="28" t="s">
        <v>16</v>
      </c>
      <c r="N45" s="23" t="s">
        <v>3341</v>
      </c>
      <c r="O45" s="29" t="s">
        <v>87</v>
      </c>
      <c r="P45" s="23" t="s">
        <v>40</v>
      </c>
      <c r="Q45" s="23" t="s">
        <v>40</v>
      </c>
      <c r="R45" s="23" t="s">
        <v>145</v>
      </c>
      <c r="S45" s="23" t="s">
        <v>40</v>
      </c>
      <c r="T45" s="23" t="s">
        <v>40</v>
      </c>
    </row>
    <row r="46" spans="1:20" x14ac:dyDescent="0.25">
      <c r="A46" s="23" t="s">
        <v>4800</v>
      </c>
      <c r="B46" s="23" t="s">
        <v>144</v>
      </c>
      <c r="C46" s="23" t="s">
        <v>4753</v>
      </c>
      <c r="D46" s="23" t="s">
        <v>4801</v>
      </c>
      <c r="E46" s="23" t="s">
        <v>4755</v>
      </c>
      <c r="F46" s="23" t="s">
        <v>40</v>
      </c>
      <c r="G46" s="23" t="s">
        <v>4802</v>
      </c>
      <c r="H46" s="23" t="s">
        <v>4803</v>
      </c>
      <c r="I46" s="23" t="s">
        <v>4804</v>
      </c>
      <c r="J46" s="23" t="s">
        <v>385</v>
      </c>
      <c r="K46" s="32" t="s">
        <v>747</v>
      </c>
      <c r="L46" s="23" t="s">
        <v>490</v>
      </c>
      <c r="M46" s="25" t="s">
        <v>18</v>
      </c>
      <c r="N46" s="23" t="s">
        <v>40</v>
      </c>
      <c r="O46" s="23" t="s">
        <v>387</v>
      </c>
      <c r="P46" s="23" t="s">
        <v>40</v>
      </c>
      <c r="Q46" s="23" t="s">
        <v>40</v>
      </c>
      <c r="R46" s="23" t="s">
        <v>145</v>
      </c>
      <c r="S46" s="23" t="s">
        <v>40</v>
      </c>
      <c r="T46" s="23" t="s">
        <v>40</v>
      </c>
    </row>
    <row r="47" spans="1:20" x14ac:dyDescent="0.25">
      <c r="A47" s="23" t="s">
        <v>4805</v>
      </c>
      <c r="B47" s="23" t="s">
        <v>144</v>
      </c>
      <c r="C47" s="23" t="s">
        <v>4753</v>
      </c>
      <c r="D47" s="23" t="s">
        <v>4806</v>
      </c>
      <c r="E47" s="23" t="s">
        <v>4755</v>
      </c>
      <c r="F47" s="23" t="s">
        <v>40</v>
      </c>
      <c r="G47" s="23" t="s">
        <v>4807</v>
      </c>
      <c r="H47" s="23" t="s">
        <v>4808</v>
      </c>
      <c r="I47" s="23" t="s">
        <v>4809</v>
      </c>
      <c r="J47" s="23" t="s">
        <v>801</v>
      </c>
      <c r="K47" s="26" t="s">
        <v>396</v>
      </c>
      <c r="L47" s="23" t="s">
        <v>13</v>
      </c>
      <c r="M47" s="28" t="s">
        <v>16</v>
      </c>
      <c r="N47" s="23" t="s">
        <v>3341</v>
      </c>
      <c r="O47" s="29" t="s">
        <v>87</v>
      </c>
      <c r="P47" s="23" t="s">
        <v>40</v>
      </c>
      <c r="Q47" s="23" t="s">
        <v>40</v>
      </c>
      <c r="R47" s="23" t="s">
        <v>145</v>
      </c>
      <c r="S47" s="23" t="s">
        <v>40</v>
      </c>
      <c r="T47" s="23" t="s">
        <v>40</v>
      </c>
    </row>
    <row r="48" spans="1:20" x14ac:dyDescent="0.25">
      <c r="A48" s="23" t="s">
        <v>4810</v>
      </c>
      <c r="B48" s="23" t="s">
        <v>144</v>
      </c>
      <c r="C48" s="23" t="s">
        <v>4753</v>
      </c>
      <c r="D48" s="23" t="s">
        <v>4811</v>
      </c>
      <c r="E48" s="23" t="s">
        <v>2944</v>
      </c>
      <c r="F48" s="23" t="s">
        <v>40</v>
      </c>
      <c r="G48" s="23" t="s">
        <v>4812</v>
      </c>
      <c r="H48" s="23" t="s">
        <v>4813</v>
      </c>
      <c r="I48" s="23" t="s">
        <v>4814</v>
      </c>
      <c r="J48" s="23" t="s">
        <v>525</v>
      </c>
      <c r="K48" s="24" t="s">
        <v>386</v>
      </c>
      <c r="L48" s="23" t="s">
        <v>13</v>
      </c>
      <c r="M48" s="25" t="s">
        <v>18</v>
      </c>
      <c r="N48" s="23" t="s">
        <v>40</v>
      </c>
      <c r="O48" s="23" t="s">
        <v>387</v>
      </c>
      <c r="P48" s="23" t="s">
        <v>40</v>
      </c>
      <c r="Q48" s="23" t="s">
        <v>40</v>
      </c>
      <c r="R48" s="23" t="s">
        <v>145</v>
      </c>
      <c r="S48" s="23" t="s">
        <v>40</v>
      </c>
      <c r="T48" s="23" t="s">
        <v>40</v>
      </c>
    </row>
    <row r="49" spans="1:20" x14ac:dyDescent="0.25">
      <c r="A49" s="23" t="s">
        <v>4815</v>
      </c>
      <c r="B49" s="23" t="s">
        <v>4816</v>
      </c>
      <c r="C49" s="23" t="s">
        <v>4817</v>
      </c>
      <c r="D49" s="23" t="s">
        <v>4818</v>
      </c>
      <c r="E49" s="23" t="s">
        <v>4819</v>
      </c>
      <c r="F49" s="23" t="s">
        <v>40</v>
      </c>
      <c r="G49" s="23" t="s">
        <v>4820</v>
      </c>
      <c r="H49" s="23" t="s">
        <v>4821</v>
      </c>
      <c r="I49" s="23" t="s">
        <v>4822</v>
      </c>
      <c r="J49" s="23" t="s">
        <v>385</v>
      </c>
      <c r="K49" s="27" t="s">
        <v>404</v>
      </c>
      <c r="L49" s="23" t="s">
        <v>405</v>
      </c>
      <c r="M49" s="25" t="s">
        <v>18</v>
      </c>
      <c r="N49" s="23" t="s">
        <v>40</v>
      </c>
      <c r="O49" s="23" t="s">
        <v>387</v>
      </c>
      <c r="P49" s="23" t="s">
        <v>40</v>
      </c>
      <c r="Q49" s="23" t="s">
        <v>40</v>
      </c>
      <c r="R49" s="23" t="s">
        <v>4823</v>
      </c>
      <c r="S49" s="23" t="s">
        <v>40</v>
      </c>
      <c r="T49" s="23" t="s">
        <v>40</v>
      </c>
    </row>
    <row r="50" spans="1:20" x14ac:dyDescent="0.25">
      <c r="A50" s="23" t="s">
        <v>4824</v>
      </c>
      <c r="B50" s="23" t="s">
        <v>4816</v>
      </c>
      <c r="C50" s="23" t="s">
        <v>4817</v>
      </c>
      <c r="D50" s="23" t="s">
        <v>4825</v>
      </c>
      <c r="E50" s="23" t="s">
        <v>4819</v>
      </c>
      <c r="F50" s="23" t="s">
        <v>40</v>
      </c>
      <c r="G50" s="23" t="s">
        <v>4826</v>
      </c>
      <c r="H50" s="23" t="s">
        <v>4827</v>
      </c>
      <c r="I50" s="23" t="s">
        <v>4828</v>
      </c>
      <c r="J50" s="23" t="s">
        <v>14</v>
      </c>
      <c r="K50" s="26" t="s">
        <v>396</v>
      </c>
      <c r="L50" s="23" t="s">
        <v>13</v>
      </c>
      <c r="M50" s="28" t="s">
        <v>16</v>
      </c>
      <c r="N50" s="23" t="s">
        <v>3341</v>
      </c>
      <c r="O50" s="29" t="s">
        <v>87</v>
      </c>
      <c r="P50" s="23" t="s">
        <v>40</v>
      </c>
      <c r="Q50" s="23" t="s">
        <v>40</v>
      </c>
      <c r="R50" s="23" t="s">
        <v>4823</v>
      </c>
      <c r="S50" s="23" t="s">
        <v>40</v>
      </c>
      <c r="T50" s="23" t="s">
        <v>40</v>
      </c>
    </row>
    <row r="51" spans="1:20" x14ac:dyDescent="0.25">
      <c r="A51" s="23" t="s">
        <v>4829</v>
      </c>
      <c r="B51" s="23" t="s">
        <v>4816</v>
      </c>
      <c r="C51" s="23" t="s">
        <v>4817</v>
      </c>
      <c r="D51" s="23" t="s">
        <v>4830</v>
      </c>
      <c r="E51" s="23" t="s">
        <v>4819</v>
      </c>
      <c r="F51" s="23" t="s">
        <v>40</v>
      </c>
      <c r="G51" s="23" t="s">
        <v>4831</v>
      </c>
      <c r="H51" s="23" t="s">
        <v>4832</v>
      </c>
      <c r="I51" s="23" t="s">
        <v>4833</v>
      </c>
      <c r="J51" s="23" t="s">
        <v>14</v>
      </c>
      <c r="K51" s="24" t="s">
        <v>386</v>
      </c>
      <c r="L51" s="23" t="s">
        <v>405</v>
      </c>
      <c r="M51" s="25" t="s">
        <v>18</v>
      </c>
      <c r="N51" s="23" t="s">
        <v>40</v>
      </c>
      <c r="O51" s="23" t="s">
        <v>387</v>
      </c>
      <c r="P51" s="23" t="s">
        <v>40</v>
      </c>
      <c r="Q51" s="23" t="s">
        <v>40</v>
      </c>
      <c r="R51" s="23" t="s">
        <v>4823</v>
      </c>
      <c r="S51" s="23" t="s">
        <v>40</v>
      </c>
      <c r="T51" s="23" t="s">
        <v>40</v>
      </c>
    </row>
    <row r="52" spans="1:20" x14ac:dyDescent="0.25">
      <c r="A52" s="23" t="s">
        <v>4834</v>
      </c>
      <c r="B52" s="23" t="s">
        <v>4816</v>
      </c>
      <c r="C52" s="23" t="s">
        <v>4817</v>
      </c>
      <c r="D52" s="23" t="s">
        <v>4835</v>
      </c>
      <c r="E52" s="23" t="s">
        <v>4819</v>
      </c>
      <c r="F52" s="23" t="s">
        <v>40</v>
      </c>
      <c r="G52" s="23" t="s">
        <v>4836</v>
      </c>
      <c r="H52" s="23" t="s">
        <v>4837</v>
      </c>
      <c r="I52" s="23" t="s">
        <v>4010</v>
      </c>
      <c r="J52" s="23" t="s">
        <v>466</v>
      </c>
      <c r="K52" s="27" t="s">
        <v>404</v>
      </c>
      <c r="L52" s="23" t="s">
        <v>405</v>
      </c>
      <c r="M52" s="25" t="s">
        <v>18</v>
      </c>
      <c r="N52" s="23" t="s">
        <v>40</v>
      </c>
      <c r="O52" s="23" t="s">
        <v>387</v>
      </c>
      <c r="P52" s="23" t="s">
        <v>40</v>
      </c>
      <c r="Q52" s="23" t="s">
        <v>40</v>
      </c>
      <c r="R52" s="23" t="s">
        <v>4823</v>
      </c>
      <c r="S52" s="23" t="s">
        <v>40</v>
      </c>
      <c r="T52" s="23" t="s">
        <v>40</v>
      </c>
    </row>
    <row r="53" spans="1:20" x14ac:dyDescent="0.25">
      <c r="A53" s="23" t="s">
        <v>4838</v>
      </c>
      <c r="B53" s="23" t="s">
        <v>4816</v>
      </c>
      <c r="C53" s="23" t="s">
        <v>4817</v>
      </c>
      <c r="D53" s="23" t="s">
        <v>4839</v>
      </c>
      <c r="E53" s="23" t="s">
        <v>4819</v>
      </c>
      <c r="F53" s="23" t="s">
        <v>40</v>
      </c>
      <c r="G53" s="23" t="s">
        <v>4840</v>
      </c>
      <c r="H53" s="23" t="s">
        <v>4841</v>
      </c>
      <c r="I53" s="23" t="s">
        <v>4842</v>
      </c>
      <c r="J53" s="23" t="s">
        <v>15</v>
      </c>
      <c r="K53" s="24" t="s">
        <v>386</v>
      </c>
      <c r="L53" s="23" t="s">
        <v>13</v>
      </c>
      <c r="M53" s="28" t="s">
        <v>16</v>
      </c>
      <c r="N53" s="23" t="s">
        <v>3341</v>
      </c>
      <c r="O53" s="29" t="s">
        <v>87</v>
      </c>
      <c r="P53" s="23" t="s">
        <v>40</v>
      </c>
      <c r="Q53" s="23" t="s">
        <v>40</v>
      </c>
      <c r="R53" s="23" t="s">
        <v>4823</v>
      </c>
      <c r="S53" s="23" t="s">
        <v>3962</v>
      </c>
      <c r="T53" s="23" t="s">
        <v>40</v>
      </c>
    </row>
    <row r="54" spans="1:20" x14ac:dyDescent="0.25">
      <c r="A54" s="23" t="s">
        <v>4843</v>
      </c>
      <c r="B54" s="23" t="s">
        <v>4816</v>
      </c>
      <c r="C54" s="23" t="s">
        <v>4817</v>
      </c>
      <c r="D54" s="23" t="s">
        <v>4844</v>
      </c>
      <c r="E54" s="23" t="s">
        <v>4819</v>
      </c>
      <c r="F54" s="23" t="s">
        <v>40</v>
      </c>
      <c r="G54" s="23" t="s">
        <v>4845</v>
      </c>
      <c r="H54" s="23" t="s">
        <v>4846</v>
      </c>
      <c r="I54" s="23" t="s">
        <v>4847</v>
      </c>
      <c r="J54" s="23" t="s">
        <v>14</v>
      </c>
      <c r="K54" s="26" t="s">
        <v>396</v>
      </c>
      <c r="L54" s="23" t="s">
        <v>13</v>
      </c>
      <c r="M54" s="28" t="s">
        <v>16</v>
      </c>
      <c r="N54" s="23" t="s">
        <v>3341</v>
      </c>
      <c r="O54" s="29" t="s">
        <v>87</v>
      </c>
      <c r="P54" s="23" t="s">
        <v>40</v>
      </c>
      <c r="Q54" s="23" t="s">
        <v>40</v>
      </c>
      <c r="R54" s="23" t="s">
        <v>4823</v>
      </c>
      <c r="S54" s="23" t="s">
        <v>40</v>
      </c>
      <c r="T54" s="23" t="s">
        <v>40</v>
      </c>
    </row>
    <row r="55" spans="1:20" x14ac:dyDescent="0.25">
      <c r="A55" s="23" t="s">
        <v>4848</v>
      </c>
      <c r="B55" s="23" t="s">
        <v>4816</v>
      </c>
      <c r="C55" s="23" t="s">
        <v>4817</v>
      </c>
      <c r="D55" s="23" t="s">
        <v>4849</v>
      </c>
      <c r="E55" s="23" t="s">
        <v>4819</v>
      </c>
      <c r="F55" s="23" t="s">
        <v>40</v>
      </c>
      <c r="G55" s="23" t="s">
        <v>4850</v>
      </c>
      <c r="H55" s="23" t="s">
        <v>4851</v>
      </c>
      <c r="I55" s="23" t="s">
        <v>4852</v>
      </c>
      <c r="J55" s="23" t="s">
        <v>801</v>
      </c>
      <c r="K55" s="26" t="s">
        <v>396</v>
      </c>
      <c r="L55" s="23" t="s">
        <v>13</v>
      </c>
      <c r="M55" s="28" t="s">
        <v>16</v>
      </c>
      <c r="N55" s="23" t="s">
        <v>3341</v>
      </c>
      <c r="O55" s="29" t="s">
        <v>87</v>
      </c>
      <c r="P55" s="23" t="s">
        <v>40</v>
      </c>
      <c r="Q55" s="23" t="s">
        <v>40</v>
      </c>
      <c r="R55" s="23" t="s">
        <v>4823</v>
      </c>
      <c r="S55" s="23" t="s">
        <v>40</v>
      </c>
      <c r="T55" s="23" t="s">
        <v>40</v>
      </c>
    </row>
    <row r="56" spans="1:20" x14ac:dyDescent="0.25">
      <c r="A56" s="23" t="s">
        <v>4853</v>
      </c>
      <c r="B56" s="23" t="s">
        <v>4816</v>
      </c>
      <c r="C56" s="23" t="s">
        <v>4817</v>
      </c>
      <c r="D56" s="23" t="s">
        <v>4854</v>
      </c>
      <c r="E56" s="23" t="s">
        <v>4819</v>
      </c>
      <c r="F56" s="23" t="s">
        <v>40</v>
      </c>
      <c r="G56" s="23" t="s">
        <v>4855</v>
      </c>
      <c r="H56" s="23" t="s">
        <v>4856</v>
      </c>
      <c r="I56" s="23" t="s">
        <v>4857</v>
      </c>
      <c r="J56" s="23" t="s">
        <v>14</v>
      </c>
      <c r="K56" s="24" t="s">
        <v>386</v>
      </c>
      <c r="L56" s="23" t="s">
        <v>405</v>
      </c>
      <c r="M56" s="25" t="s">
        <v>18</v>
      </c>
      <c r="N56" s="23" t="s">
        <v>40</v>
      </c>
      <c r="O56" s="23" t="s">
        <v>387</v>
      </c>
      <c r="P56" s="23" t="s">
        <v>40</v>
      </c>
      <c r="Q56" s="23" t="s">
        <v>40</v>
      </c>
      <c r="R56" s="23" t="s">
        <v>4823</v>
      </c>
      <c r="S56" s="23" t="s">
        <v>40</v>
      </c>
      <c r="T56" s="23" t="s">
        <v>40</v>
      </c>
    </row>
    <row r="57" spans="1:20" x14ac:dyDescent="0.25">
      <c r="A57" s="23" t="s">
        <v>4858</v>
      </c>
      <c r="B57" s="23" t="s">
        <v>4816</v>
      </c>
      <c r="C57" s="23" t="s">
        <v>4817</v>
      </c>
      <c r="D57" s="23" t="s">
        <v>4859</v>
      </c>
      <c r="E57" s="23" t="s">
        <v>4819</v>
      </c>
      <c r="F57" s="23" t="s">
        <v>40</v>
      </c>
      <c r="G57" s="23" t="s">
        <v>4860</v>
      </c>
      <c r="H57" s="23" t="s">
        <v>4861</v>
      </c>
      <c r="I57" s="23" t="s">
        <v>4862</v>
      </c>
      <c r="J57" s="23" t="s">
        <v>466</v>
      </c>
      <c r="K57" s="27" t="s">
        <v>404</v>
      </c>
      <c r="L57" s="23" t="s">
        <v>490</v>
      </c>
      <c r="M57" s="25" t="s">
        <v>18</v>
      </c>
      <c r="N57" s="23" t="s">
        <v>40</v>
      </c>
      <c r="O57" s="23" t="s">
        <v>387</v>
      </c>
      <c r="P57" s="23" t="s">
        <v>40</v>
      </c>
      <c r="Q57" s="23" t="s">
        <v>40</v>
      </c>
      <c r="R57" s="23" t="s">
        <v>4823</v>
      </c>
      <c r="S57" s="23" t="s">
        <v>40</v>
      </c>
      <c r="T57" s="23" t="s">
        <v>40</v>
      </c>
    </row>
    <row r="58" spans="1:20" x14ac:dyDescent="0.25">
      <c r="A58" s="23" t="s">
        <v>4863</v>
      </c>
      <c r="B58" s="23" t="s">
        <v>4816</v>
      </c>
      <c r="C58" s="23" t="s">
        <v>4817</v>
      </c>
      <c r="D58" s="23" t="s">
        <v>4864</v>
      </c>
      <c r="E58" s="23" t="s">
        <v>4819</v>
      </c>
      <c r="F58" s="23" t="s">
        <v>40</v>
      </c>
      <c r="G58" s="23" t="s">
        <v>4865</v>
      </c>
      <c r="H58" s="23" t="s">
        <v>4866</v>
      </c>
      <c r="I58" s="23" t="s">
        <v>4867</v>
      </c>
      <c r="J58" s="23" t="s">
        <v>15</v>
      </c>
      <c r="K58" s="27" t="s">
        <v>404</v>
      </c>
      <c r="L58" s="23" t="s">
        <v>490</v>
      </c>
      <c r="M58" s="25" t="s">
        <v>18</v>
      </c>
      <c r="N58" s="23" t="s">
        <v>40</v>
      </c>
      <c r="O58" s="23" t="s">
        <v>387</v>
      </c>
      <c r="P58" s="23" t="s">
        <v>40</v>
      </c>
      <c r="Q58" s="23" t="s">
        <v>40</v>
      </c>
      <c r="R58" s="23" t="s">
        <v>4823</v>
      </c>
      <c r="S58" s="23" t="s">
        <v>40</v>
      </c>
      <c r="T58" s="23" t="s">
        <v>40</v>
      </c>
    </row>
    <row r="59" spans="1:20" x14ac:dyDescent="0.25">
      <c r="A59" s="23" t="s">
        <v>4868</v>
      </c>
      <c r="B59" s="23" t="s">
        <v>4816</v>
      </c>
      <c r="C59" s="23" t="s">
        <v>4869</v>
      </c>
      <c r="D59" s="23" t="s">
        <v>4870</v>
      </c>
      <c r="E59" s="23" t="s">
        <v>4819</v>
      </c>
      <c r="F59" s="23" t="s">
        <v>40</v>
      </c>
      <c r="G59" s="23" t="s">
        <v>4871</v>
      </c>
      <c r="H59" s="23" t="s">
        <v>4872</v>
      </c>
      <c r="I59" s="23" t="s">
        <v>4873</v>
      </c>
      <c r="J59" s="23" t="s">
        <v>14</v>
      </c>
      <c r="K59" s="24" t="s">
        <v>386</v>
      </c>
      <c r="L59" s="23" t="s">
        <v>405</v>
      </c>
      <c r="M59" s="25" t="s">
        <v>18</v>
      </c>
      <c r="N59" s="23" t="s">
        <v>40</v>
      </c>
      <c r="O59" s="23" t="s">
        <v>387</v>
      </c>
      <c r="P59" s="23" t="s">
        <v>40</v>
      </c>
      <c r="Q59" s="23" t="s">
        <v>40</v>
      </c>
      <c r="R59" s="23" t="s">
        <v>4823</v>
      </c>
      <c r="S59" s="23" t="s">
        <v>40</v>
      </c>
      <c r="T59" s="23" t="s">
        <v>40</v>
      </c>
    </row>
    <row r="60" spans="1:20" x14ac:dyDescent="0.25">
      <c r="A60" s="23" t="s">
        <v>4874</v>
      </c>
      <c r="B60" s="23" t="s">
        <v>4816</v>
      </c>
      <c r="C60" s="23" t="s">
        <v>4869</v>
      </c>
      <c r="D60" s="23" t="s">
        <v>4875</v>
      </c>
      <c r="E60" s="23" t="s">
        <v>4819</v>
      </c>
      <c r="F60" s="23" t="s">
        <v>40</v>
      </c>
      <c r="G60" s="23" t="s">
        <v>4876</v>
      </c>
      <c r="H60" s="23" t="s">
        <v>4877</v>
      </c>
      <c r="I60" s="23" t="s">
        <v>4878</v>
      </c>
      <c r="J60" s="23" t="s">
        <v>801</v>
      </c>
      <c r="K60" s="26" t="s">
        <v>396</v>
      </c>
      <c r="L60" s="23" t="s">
        <v>13</v>
      </c>
      <c r="M60" s="28" t="s">
        <v>16</v>
      </c>
      <c r="N60" s="23" t="s">
        <v>3341</v>
      </c>
      <c r="O60" s="29" t="s">
        <v>87</v>
      </c>
      <c r="P60" s="23" t="s">
        <v>40</v>
      </c>
      <c r="Q60" s="23" t="s">
        <v>40</v>
      </c>
      <c r="R60" s="23" t="s">
        <v>4823</v>
      </c>
      <c r="S60" s="23" t="s">
        <v>4879</v>
      </c>
      <c r="T60" s="23" t="s">
        <v>40</v>
      </c>
    </row>
    <row r="61" spans="1:20" x14ac:dyDescent="0.25">
      <c r="A61" s="23" t="s">
        <v>4880</v>
      </c>
      <c r="B61" s="23" t="s">
        <v>4816</v>
      </c>
      <c r="C61" s="23" t="s">
        <v>4869</v>
      </c>
      <c r="D61" s="23" t="s">
        <v>4881</v>
      </c>
      <c r="E61" s="23" t="s">
        <v>4819</v>
      </c>
      <c r="F61" s="23" t="s">
        <v>40</v>
      </c>
      <c r="G61" s="23" t="s">
        <v>4882</v>
      </c>
      <c r="H61" s="23" t="s">
        <v>4883</v>
      </c>
      <c r="I61" s="23" t="s">
        <v>4884</v>
      </c>
      <c r="J61" s="23" t="s">
        <v>801</v>
      </c>
      <c r="K61" s="26" t="s">
        <v>396</v>
      </c>
      <c r="L61" s="23" t="s">
        <v>13</v>
      </c>
      <c r="M61" s="28" t="s">
        <v>16</v>
      </c>
      <c r="N61" s="23" t="s">
        <v>3341</v>
      </c>
      <c r="O61" s="29" t="s">
        <v>87</v>
      </c>
      <c r="P61" s="23" t="s">
        <v>40</v>
      </c>
      <c r="Q61" s="23" t="s">
        <v>40</v>
      </c>
      <c r="R61" s="23" t="s">
        <v>4823</v>
      </c>
      <c r="S61" s="23" t="s">
        <v>40</v>
      </c>
      <c r="T61" s="23" t="s">
        <v>40</v>
      </c>
    </row>
    <row r="62" spans="1:20" x14ac:dyDescent="0.25">
      <c r="A62" s="23" t="s">
        <v>4885</v>
      </c>
      <c r="B62" s="23" t="s">
        <v>4816</v>
      </c>
      <c r="C62" s="23" t="s">
        <v>4869</v>
      </c>
      <c r="D62" s="23" t="s">
        <v>4886</v>
      </c>
      <c r="E62" s="23" t="s">
        <v>4819</v>
      </c>
      <c r="F62" s="23" t="s">
        <v>40</v>
      </c>
      <c r="G62" s="23" t="s">
        <v>4887</v>
      </c>
      <c r="H62" s="23" t="s">
        <v>4888</v>
      </c>
      <c r="I62" s="23" t="s">
        <v>4889</v>
      </c>
      <c r="J62" s="23" t="s">
        <v>14</v>
      </c>
      <c r="K62" s="24" t="s">
        <v>386</v>
      </c>
      <c r="L62" s="23" t="s">
        <v>405</v>
      </c>
      <c r="M62" s="25" t="s">
        <v>18</v>
      </c>
      <c r="N62" s="23" t="s">
        <v>40</v>
      </c>
      <c r="O62" s="23" t="s">
        <v>387</v>
      </c>
      <c r="P62" s="23" t="s">
        <v>40</v>
      </c>
      <c r="Q62" s="23" t="s">
        <v>40</v>
      </c>
      <c r="R62" s="23" t="s">
        <v>4823</v>
      </c>
      <c r="S62" s="23" t="s">
        <v>40</v>
      </c>
      <c r="T62" s="23" t="s">
        <v>40</v>
      </c>
    </row>
    <row r="63" spans="1:20" x14ac:dyDescent="0.25">
      <c r="A63" s="23" t="s">
        <v>4890</v>
      </c>
      <c r="B63" s="23" t="s">
        <v>4816</v>
      </c>
      <c r="C63" s="23" t="s">
        <v>4869</v>
      </c>
      <c r="D63" s="23" t="s">
        <v>4891</v>
      </c>
      <c r="E63" s="23" t="s">
        <v>4819</v>
      </c>
      <c r="F63" s="23" t="s">
        <v>40</v>
      </c>
      <c r="G63" s="23" t="s">
        <v>4892</v>
      </c>
      <c r="H63" s="23" t="s">
        <v>4893</v>
      </c>
      <c r="I63" s="23" t="s">
        <v>4894</v>
      </c>
      <c r="J63" s="23" t="s">
        <v>14</v>
      </c>
      <c r="K63" s="27" t="s">
        <v>404</v>
      </c>
      <c r="L63" s="23" t="s">
        <v>490</v>
      </c>
      <c r="M63" s="25" t="s">
        <v>18</v>
      </c>
      <c r="N63" s="23" t="s">
        <v>40</v>
      </c>
      <c r="O63" s="23" t="s">
        <v>387</v>
      </c>
      <c r="P63" s="23" t="s">
        <v>40</v>
      </c>
      <c r="Q63" s="23" t="s">
        <v>40</v>
      </c>
      <c r="R63" s="23" t="s">
        <v>4823</v>
      </c>
      <c r="S63" s="23" t="s">
        <v>40</v>
      </c>
      <c r="T63" s="23" t="s">
        <v>40</v>
      </c>
    </row>
    <row r="64" spans="1:20" x14ac:dyDescent="0.25">
      <c r="A64" s="23" t="s">
        <v>4895</v>
      </c>
      <c r="B64" s="23" t="s">
        <v>4816</v>
      </c>
      <c r="C64" s="23" t="s">
        <v>4869</v>
      </c>
      <c r="D64" s="23" t="s">
        <v>4896</v>
      </c>
      <c r="E64" s="23" t="s">
        <v>4819</v>
      </c>
      <c r="F64" s="23" t="s">
        <v>40</v>
      </c>
      <c r="G64" s="23" t="s">
        <v>4897</v>
      </c>
      <c r="H64" s="23" t="s">
        <v>4898</v>
      </c>
      <c r="I64" s="23" t="s">
        <v>4899</v>
      </c>
      <c r="J64" s="23" t="s">
        <v>801</v>
      </c>
      <c r="K64" s="24" t="s">
        <v>386</v>
      </c>
      <c r="L64" s="23" t="s">
        <v>405</v>
      </c>
      <c r="M64" s="25" t="s">
        <v>18</v>
      </c>
      <c r="N64" s="23" t="s">
        <v>40</v>
      </c>
      <c r="O64" s="23" t="s">
        <v>387</v>
      </c>
      <c r="P64" s="23" t="s">
        <v>40</v>
      </c>
      <c r="Q64" s="23" t="s">
        <v>40</v>
      </c>
      <c r="R64" s="23" t="s">
        <v>4823</v>
      </c>
      <c r="S64" s="23" t="s">
        <v>40</v>
      </c>
      <c r="T64" s="23" t="s">
        <v>40</v>
      </c>
    </row>
    <row r="65" spans="1:20" x14ac:dyDescent="0.25">
      <c r="A65" s="23" t="s">
        <v>4900</v>
      </c>
      <c r="B65" s="23" t="s">
        <v>4816</v>
      </c>
      <c r="C65" s="23" t="s">
        <v>4901</v>
      </c>
      <c r="D65" s="23" t="s">
        <v>4902</v>
      </c>
      <c r="E65" s="23" t="s">
        <v>4903</v>
      </c>
      <c r="F65" s="23" t="s">
        <v>40</v>
      </c>
      <c r="G65" s="23" t="s">
        <v>4904</v>
      </c>
      <c r="H65" s="23" t="s">
        <v>4905</v>
      </c>
      <c r="I65" s="23" t="s">
        <v>4906</v>
      </c>
      <c r="J65" s="23" t="s">
        <v>801</v>
      </c>
      <c r="K65" s="26" t="s">
        <v>396</v>
      </c>
      <c r="L65" s="23" t="s">
        <v>13</v>
      </c>
      <c r="M65" s="28" t="s">
        <v>16</v>
      </c>
      <c r="N65" s="23" t="s">
        <v>3341</v>
      </c>
      <c r="O65" s="29" t="s">
        <v>87</v>
      </c>
      <c r="P65" s="23" t="s">
        <v>40</v>
      </c>
      <c r="Q65" s="23" t="s">
        <v>40</v>
      </c>
      <c r="R65" s="23" t="s">
        <v>4823</v>
      </c>
      <c r="S65" s="23" t="s">
        <v>3962</v>
      </c>
      <c r="T65" s="23" t="s">
        <v>40</v>
      </c>
    </row>
    <row r="66" spans="1:20" x14ac:dyDescent="0.25">
      <c r="A66" s="23" t="s">
        <v>4907</v>
      </c>
      <c r="B66" s="23" t="s">
        <v>4816</v>
      </c>
      <c r="C66" s="23" t="s">
        <v>4901</v>
      </c>
      <c r="D66" s="23" t="s">
        <v>4908</v>
      </c>
      <c r="E66" s="23" t="s">
        <v>4903</v>
      </c>
      <c r="F66" s="23" t="s">
        <v>40</v>
      </c>
      <c r="G66" s="23" t="s">
        <v>4909</v>
      </c>
      <c r="H66" s="23" t="s">
        <v>4910</v>
      </c>
      <c r="I66" s="23" t="s">
        <v>4911</v>
      </c>
      <c r="J66" s="23" t="s">
        <v>15</v>
      </c>
      <c r="K66" s="27" t="s">
        <v>404</v>
      </c>
      <c r="L66" s="23" t="s">
        <v>405</v>
      </c>
      <c r="M66" s="25" t="s">
        <v>18</v>
      </c>
      <c r="N66" s="23" t="s">
        <v>40</v>
      </c>
      <c r="O66" s="23" t="s">
        <v>387</v>
      </c>
      <c r="P66" s="23" t="s">
        <v>40</v>
      </c>
      <c r="Q66" s="23" t="s">
        <v>40</v>
      </c>
      <c r="R66" s="23" t="s">
        <v>4823</v>
      </c>
      <c r="S66" s="23" t="s">
        <v>40</v>
      </c>
      <c r="T66" s="23" t="s">
        <v>40</v>
      </c>
    </row>
    <row r="67" spans="1:20" x14ac:dyDescent="0.25">
      <c r="A67" s="23" t="s">
        <v>4912</v>
      </c>
      <c r="B67" s="23" t="s">
        <v>4816</v>
      </c>
      <c r="C67" s="23" t="s">
        <v>4901</v>
      </c>
      <c r="D67" s="23" t="s">
        <v>4913</v>
      </c>
      <c r="E67" s="23" t="s">
        <v>4903</v>
      </c>
      <c r="F67" s="23" t="s">
        <v>40</v>
      </c>
      <c r="G67" s="23" t="s">
        <v>4914</v>
      </c>
      <c r="H67" s="23" t="s">
        <v>4915</v>
      </c>
      <c r="I67" s="23" t="s">
        <v>4916</v>
      </c>
      <c r="J67" s="23" t="s">
        <v>801</v>
      </c>
      <c r="K67" s="24" t="s">
        <v>386</v>
      </c>
      <c r="L67" s="23" t="s">
        <v>405</v>
      </c>
      <c r="M67" s="25" t="s">
        <v>18</v>
      </c>
      <c r="N67" s="23" t="s">
        <v>40</v>
      </c>
      <c r="O67" s="23" t="s">
        <v>387</v>
      </c>
      <c r="P67" s="23" t="s">
        <v>40</v>
      </c>
      <c r="Q67" s="23" t="s">
        <v>40</v>
      </c>
      <c r="R67" s="23" t="s">
        <v>4823</v>
      </c>
      <c r="S67" s="23" t="s">
        <v>40</v>
      </c>
      <c r="T67" s="23" t="s">
        <v>40</v>
      </c>
    </row>
    <row r="68" spans="1:20" x14ac:dyDescent="0.25">
      <c r="A68" s="23" t="s">
        <v>4917</v>
      </c>
      <c r="B68" s="23" t="s">
        <v>4816</v>
      </c>
      <c r="C68" s="23" t="s">
        <v>4901</v>
      </c>
      <c r="D68" s="23" t="s">
        <v>4918</v>
      </c>
      <c r="E68" s="23" t="s">
        <v>4903</v>
      </c>
      <c r="F68" s="23" t="s">
        <v>40</v>
      </c>
      <c r="G68" s="23" t="s">
        <v>4919</v>
      </c>
      <c r="H68" s="23" t="s">
        <v>4920</v>
      </c>
      <c r="I68" s="23" t="s">
        <v>4921</v>
      </c>
      <c r="J68" s="23" t="s">
        <v>14</v>
      </c>
      <c r="K68" s="24" t="s">
        <v>386</v>
      </c>
      <c r="L68" s="23" t="s">
        <v>405</v>
      </c>
      <c r="M68" s="33" t="s">
        <v>20</v>
      </c>
      <c r="N68" s="23" t="s">
        <v>40</v>
      </c>
      <c r="O68" s="23" t="s">
        <v>387</v>
      </c>
      <c r="P68" s="23" t="s">
        <v>40</v>
      </c>
      <c r="Q68" s="23" t="s">
        <v>40</v>
      </c>
      <c r="R68" s="23" t="s">
        <v>4823</v>
      </c>
      <c r="S68" s="23" t="s">
        <v>4922</v>
      </c>
      <c r="T68" s="23" t="s">
        <v>40</v>
      </c>
    </row>
    <row r="69" spans="1:20" x14ac:dyDescent="0.25">
      <c r="A69" s="23" t="s">
        <v>4923</v>
      </c>
      <c r="B69" s="23" t="s">
        <v>4816</v>
      </c>
      <c r="C69" s="23" t="s">
        <v>4901</v>
      </c>
      <c r="D69" s="23" t="s">
        <v>4924</v>
      </c>
      <c r="E69" s="23" t="s">
        <v>4903</v>
      </c>
      <c r="F69" s="23" t="s">
        <v>40</v>
      </c>
      <c r="G69" s="23" t="s">
        <v>4925</v>
      </c>
      <c r="H69" s="23" t="s">
        <v>4926</v>
      </c>
      <c r="I69" s="23" t="s">
        <v>4927</v>
      </c>
      <c r="J69" s="23" t="s">
        <v>14</v>
      </c>
      <c r="K69" s="24" t="s">
        <v>386</v>
      </c>
      <c r="L69" s="23" t="s">
        <v>405</v>
      </c>
      <c r="M69" s="33" t="s">
        <v>20</v>
      </c>
      <c r="N69" s="23" t="s">
        <v>40</v>
      </c>
      <c r="O69" s="23" t="s">
        <v>387</v>
      </c>
      <c r="P69" s="23" t="s">
        <v>40</v>
      </c>
      <c r="Q69" s="23" t="s">
        <v>40</v>
      </c>
      <c r="R69" s="23" t="s">
        <v>4823</v>
      </c>
      <c r="S69" s="23" t="s">
        <v>4928</v>
      </c>
      <c r="T69" s="23" t="s">
        <v>40</v>
      </c>
    </row>
    <row r="70" spans="1:20" x14ac:dyDescent="0.25">
      <c r="A70" s="23" t="s">
        <v>4929</v>
      </c>
      <c r="B70" s="23" t="s">
        <v>4816</v>
      </c>
      <c r="C70" s="23" t="s">
        <v>4901</v>
      </c>
      <c r="D70" s="23" t="s">
        <v>4930</v>
      </c>
      <c r="E70" s="23" t="s">
        <v>4903</v>
      </c>
      <c r="F70" s="23" t="s">
        <v>40</v>
      </c>
      <c r="G70" s="23" t="s">
        <v>4931</v>
      </c>
      <c r="H70" s="23" t="s">
        <v>4932</v>
      </c>
      <c r="I70" s="23" t="s">
        <v>4933</v>
      </c>
      <c r="J70" s="23" t="s">
        <v>15</v>
      </c>
      <c r="K70" s="27" t="s">
        <v>404</v>
      </c>
      <c r="L70" s="23" t="s">
        <v>490</v>
      </c>
      <c r="M70" s="33" t="s">
        <v>20</v>
      </c>
      <c r="N70" s="23" t="s">
        <v>40</v>
      </c>
      <c r="O70" s="23" t="s">
        <v>387</v>
      </c>
      <c r="P70" s="23" t="s">
        <v>40</v>
      </c>
      <c r="Q70" s="23" t="s">
        <v>40</v>
      </c>
      <c r="R70" s="23" t="s">
        <v>4823</v>
      </c>
      <c r="S70" s="23" t="s">
        <v>4934</v>
      </c>
      <c r="T70" s="23" t="s">
        <v>40</v>
      </c>
    </row>
    <row r="71" spans="1:20" x14ac:dyDescent="0.25">
      <c r="A71" s="23" t="s">
        <v>4935</v>
      </c>
      <c r="B71" s="23" t="s">
        <v>4816</v>
      </c>
      <c r="C71" s="23" t="s">
        <v>4901</v>
      </c>
      <c r="D71" s="23" t="s">
        <v>4936</v>
      </c>
      <c r="E71" s="23" t="s">
        <v>4903</v>
      </c>
      <c r="F71" s="23" t="s">
        <v>40</v>
      </c>
      <c r="G71" s="23" t="s">
        <v>4937</v>
      </c>
      <c r="H71" s="23" t="s">
        <v>4938</v>
      </c>
      <c r="I71" s="23" t="s">
        <v>4939</v>
      </c>
      <c r="J71" s="23" t="s">
        <v>15</v>
      </c>
      <c r="K71" s="27" t="s">
        <v>404</v>
      </c>
      <c r="L71" s="23" t="s">
        <v>490</v>
      </c>
      <c r="M71" s="33" t="s">
        <v>20</v>
      </c>
      <c r="N71" s="23" t="s">
        <v>40</v>
      </c>
      <c r="O71" s="23" t="s">
        <v>387</v>
      </c>
      <c r="P71" s="23" t="s">
        <v>40</v>
      </c>
      <c r="Q71" s="23" t="s">
        <v>40</v>
      </c>
      <c r="R71" s="23" t="s">
        <v>4823</v>
      </c>
      <c r="S71" s="23" t="s">
        <v>4934</v>
      </c>
      <c r="T71" s="23" t="s">
        <v>40</v>
      </c>
    </row>
    <row r="72" spans="1:20" x14ac:dyDescent="0.25">
      <c r="A72" s="23" t="s">
        <v>4940</v>
      </c>
      <c r="B72" s="23" t="s">
        <v>4816</v>
      </c>
      <c r="C72" s="23" t="s">
        <v>4901</v>
      </c>
      <c r="D72" s="23" t="s">
        <v>4941</v>
      </c>
      <c r="E72" s="23" t="s">
        <v>4903</v>
      </c>
      <c r="F72" s="23" t="s">
        <v>40</v>
      </c>
      <c r="G72" s="23" t="s">
        <v>4942</v>
      </c>
      <c r="H72" s="23" t="s">
        <v>4943</v>
      </c>
      <c r="I72" s="23" t="s">
        <v>4944</v>
      </c>
      <c r="J72" s="23" t="s">
        <v>15</v>
      </c>
      <c r="K72" s="27" t="s">
        <v>404</v>
      </c>
      <c r="L72" s="23" t="s">
        <v>405</v>
      </c>
      <c r="M72" s="25" t="s">
        <v>18</v>
      </c>
      <c r="N72" s="23" t="s">
        <v>40</v>
      </c>
      <c r="O72" s="23" t="s">
        <v>387</v>
      </c>
      <c r="P72" s="23" t="s">
        <v>40</v>
      </c>
      <c r="Q72" s="23" t="s">
        <v>40</v>
      </c>
      <c r="R72" s="23" t="s">
        <v>4823</v>
      </c>
      <c r="S72" s="23" t="s">
        <v>40</v>
      </c>
      <c r="T72" s="23" t="s">
        <v>40</v>
      </c>
    </row>
    <row r="73" spans="1:20" x14ac:dyDescent="0.25">
      <c r="A73" s="23" t="s">
        <v>4945</v>
      </c>
      <c r="B73" s="23" t="s">
        <v>146</v>
      </c>
      <c r="C73" s="23" t="s">
        <v>4946</v>
      </c>
      <c r="D73" s="23" t="s">
        <v>4947</v>
      </c>
      <c r="E73" s="23" t="s">
        <v>4948</v>
      </c>
      <c r="F73" s="23" t="s">
        <v>40</v>
      </c>
      <c r="G73" s="23" t="s">
        <v>4949</v>
      </c>
      <c r="H73" s="23" t="s">
        <v>4950</v>
      </c>
      <c r="I73" s="23" t="s">
        <v>4951</v>
      </c>
      <c r="J73" s="23" t="s">
        <v>385</v>
      </c>
      <c r="K73" s="24" t="s">
        <v>386</v>
      </c>
      <c r="L73" s="23" t="s">
        <v>13</v>
      </c>
      <c r="M73" s="31" t="s">
        <v>17</v>
      </c>
      <c r="N73" s="23" t="s">
        <v>4952</v>
      </c>
      <c r="O73" s="29" t="s">
        <v>87</v>
      </c>
      <c r="P73" s="23" t="s">
        <v>40</v>
      </c>
      <c r="Q73" s="23" t="s">
        <v>40</v>
      </c>
      <c r="R73" s="23" t="s">
        <v>147</v>
      </c>
      <c r="S73" s="23" t="s">
        <v>40</v>
      </c>
      <c r="T73" s="23" t="s">
        <v>40</v>
      </c>
    </row>
    <row r="74" spans="1:20" x14ac:dyDescent="0.25">
      <c r="A74" s="23" t="s">
        <v>4953</v>
      </c>
      <c r="B74" s="23" t="s">
        <v>146</v>
      </c>
      <c r="C74" s="23" t="s">
        <v>4946</v>
      </c>
      <c r="D74" s="23" t="s">
        <v>4954</v>
      </c>
      <c r="E74" s="23" t="s">
        <v>4948</v>
      </c>
      <c r="F74" s="23" t="s">
        <v>40</v>
      </c>
      <c r="G74" s="23" t="s">
        <v>4955</v>
      </c>
      <c r="H74" s="23" t="s">
        <v>4956</v>
      </c>
      <c r="I74" s="23" t="s">
        <v>4957</v>
      </c>
      <c r="J74" s="23" t="s">
        <v>14</v>
      </c>
      <c r="K74" s="24" t="s">
        <v>386</v>
      </c>
      <c r="L74" s="23" t="s">
        <v>405</v>
      </c>
      <c r="M74" s="25" t="s">
        <v>18</v>
      </c>
      <c r="N74" s="23" t="s">
        <v>40</v>
      </c>
      <c r="O74" s="23" t="s">
        <v>387</v>
      </c>
      <c r="P74" s="23" t="s">
        <v>40</v>
      </c>
      <c r="Q74" s="23" t="s">
        <v>40</v>
      </c>
      <c r="R74" s="23" t="s">
        <v>147</v>
      </c>
      <c r="S74" s="23" t="s">
        <v>40</v>
      </c>
      <c r="T74" s="23" t="s">
        <v>40</v>
      </c>
    </row>
    <row r="75" spans="1:20" x14ac:dyDescent="0.25">
      <c r="A75" s="23" t="s">
        <v>4958</v>
      </c>
      <c r="B75" s="23" t="s">
        <v>146</v>
      </c>
      <c r="C75" s="23" t="s">
        <v>4946</v>
      </c>
      <c r="D75" s="23" t="s">
        <v>4959</v>
      </c>
      <c r="E75" s="23" t="s">
        <v>4948</v>
      </c>
      <c r="F75" s="23" t="s">
        <v>40</v>
      </c>
      <c r="G75" s="23" t="s">
        <v>4960</v>
      </c>
      <c r="H75" s="23" t="s">
        <v>4961</v>
      </c>
      <c r="I75" s="23" t="s">
        <v>4962</v>
      </c>
      <c r="J75" s="23" t="s">
        <v>14</v>
      </c>
      <c r="K75" s="24" t="s">
        <v>386</v>
      </c>
      <c r="L75" s="23" t="s">
        <v>405</v>
      </c>
      <c r="M75" s="33" t="s">
        <v>20</v>
      </c>
      <c r="N75" s="23" t="s">
        <v>40</v>
      </c>
      <c r="O75" s="23" t="s">
        <v>387</v>
      </c>
      <c r="P75" s="23" t="s">
        <v>40</v>
      </c>
      <c r="Q75" s="23" t="s">
        <v>40</v>
      </c>
      <c r="R75" s="23" t="s">
        <v>147</v>
      </c>
      <c r="S75" s="23" t="s">
        <v>4963</v>
      </c>
      <c r="T75" s="23" t="s">
        <v>40</v>
      </c>
    </row>
    <row r="76" spans="1:20" x14ac:dyDescent="0.25">
      <c r="A76" s="23" t="s">
        <v>4964</v>
      </c>
      <c r="B76" s="23" t="s">
        <v>146</v>
      </c>
      <c r="C76" s="23" t="s">
        <v>4946</v>
      </c>
      <c r="D76" s="23" t="s">
        <v>4965</v>
      </c>
      <c r="E76" s="23" t="s">
        <v>4948</v>
      </c>
      <c r="F76" s="23" t="s">
        <v>40</v>
      </c>
      <c r="G76" s="23" t="s">
        <v>4966</v>
      </c>
      <c r="H76" s="23" t="s">
        <v>4967</v>
      </c>
      <c r="I76" s="23" t="s">
        <v>4968</v>
      </c>
      <c r="J76" s="23" t="s">
        <v>466</v>
      </c>
      <c r="K76" s="27" t="s">
        <v>404</v>
      </c>
      <c r="L76" s="23" t="s">
        <v>405</v>
      </c>
      <c r="M76" s="33" t="s">
        <v>20</v>
      </c>
      <c r="N76" s="23" t="s">
        <v>40</v>
      </c>
      <c r="O76" s="23" t="s">
        <v>387</v>
      </c>
      <c r="P76" s="23" t="s">
        <v>40</v>
      </c>
      <c r="Q76" s="23" t="s">
        <v>40</v>
      </c>
      <c r="R76" s="23" t="s">
        <v>147</v>
      </c>
      <c r="S76" s="23" t="s">
        <v>4963</v>
      </c>
      <c r="T76" s="23" t="s">
        <v>40</v>
      </c>
    </row>
    <row r="77" spans="1:20" x14ac:dyDescent="0.25">
      <c r="A77" s="23" t="s">
        <v>4969</v>
      </c>
      <c r="B77" s="23" t="s">
        <v>146</v>
      </c>
      <c r="C77" s="23" t="s">
        <v>4946</v>
      </c>
      <c r="D77" s="23" t="s">
        <v>4970</v>
      </c>
      <c r="E77" s="23" t="s">
        <v>4948</v>
      </c>
      <c r="F77" s="23" t="s">
        <v>40</v>
      </c>
      <c r="G77" s="23" t="s">
        <v>4971</v>
      </c>
      <c r="H77" s="23" t="s">
        <v>4972</v>
      </c>
      <c r="I77" s="23" t="s">
        <v>4968</v>
      </c>
      <c r="J77" s="23" t="s">
        <v>466</v>
      </c>
      <c r="K77" s="27" t="s">
        <v>404</v>
      </c>
      <c r="L77" s="23" t="s">
        <v>405</v>
      </c>
      <c r="M77" s="33" t="s">
        <v>20</v>
      </c>
      <c r="N77" s="23" t="s">
        <v>40</v>
      </c>
      <c r="O77" s="23" t="s">
        <v>387</v>
      </c>
      <c r="P77" s="23" t="s">
        <v>40</v>
      </c>
      <c r="Q77" s="23" t="s">
        <v>40</v>
      </c>
      <c r="R77" s="23" t="s">
        <v>147</v>
      </c>
      <c r="S77" s="23" t="s">
        <v>4963</v>
      </c>
      <c r="T77" s="23" t="s">
        <v>40</v>
      </c>
    </row>
    <row r="78" spans="1:20" x14ac:dyDescent="0.25">
      <c r="A78" s="23" t="s">
        <v>4973</v>
      </c>
      <c r="B78" s="23" t="s">
        <v>146</v>
      </c>
      <c r="C78" s="23" t="s">
        <v>4946</v>
      </c>
      <c r="D78" s="23" t="s">
        <v>4974</v>
      </c>
      <c r="E78" s="23" t="s">
        <v>4948</v>
      </c>
      <c r="F78" s="23" t="s">
        <v>40</v>
      </c>
      <c r="G78" s="23" t="s">
        <v>4975</v>
      </c>
      <c r="H78" s="23" t="s">
        <v>4976</v>
      </c>
      <c r="I78" s="23" t="s">
        <v>3984</v>
      </c>
      <c r="J78" s="23" t="s">
        <v>489</v>
      </c>
      <c r="K78" s="27" t="s">
        <v>404</v>
      </c>
      <c r="L78" s="23" t="s">
        <v>405</v>
      </c>
      <c r="M78" s="33" t="s">
        <v>20</v>
      </c>
      <c r="N78" s="23" t="s">
        <v>40</v>
      </c>
      <c r="O78" s="23" t="s">
        <v>387</v>
      </c>
      <c r="P78" s="23" t="s">
        <v>40</v>
      </c>
      <c r="Q78" s="23" t="s">
        <v>40</v>
      </c>
      <c r="R78" s="23" t="s">
        <v>147</v>
      </c>
      <c r="S78" s="23" t="s">
        <v>4963</v>
      </c>
      <c r="T78" s="23" t="s">
        <v>40</v>
      </c>
    </row>
    <row r="79" spans="1:20" x14ac:dyDescent="0.25">
      <c r="A79" s="23" t="s">
        <v>4977</v>
      </c>
      <c r="B79" s="23" t="s">
        <v>146</v>
      </c>
      <c r="C79" s="23" t="s">
        <v>4946</v>
      </c>
      <c r="D79" s="23" t="s">
        <v>4978</v>
      </c>
      <c r="E79" s="23" t="s">
        <v>4948</v>
      </c>
      <c r="F79" s="23" t="s">
        <v>40</v>
      </c>
      <c r="G79" s="23" t="s">
        <v>4979</v>
      </c>
      <c r="H79" s="23" t="s">
        <v>4980</v>
      </c>
      <c r="I79" s="23" t="s">
        <v>3984</v>
      </c>
      <c r="J79" s="23" t="s">
        <v>489</v>
      </c>
      <c r="K79" s="27" t="s">
        <v>404</v>
      </c>
      <c r="L79" s="23" t="s">
        <v>490</v>
      </c>
      <c r="M79" s="33" t="s">
        <v>20</v>
      </c>
      <c r="N79" s="23" t="s">
        <v>40</v>
      </c>
      <c r="O79" s="23" t="s">
        <v>387</v>
      </c>
      <c r="P79" s="23" t="s">
        <v>40</v>
      </c>
      <c r="Q79" s="23" t="s">
        <v>40</v>
      </c>
      <c r="R79" s="23" t="s">
        <v>147</v>
      </c>
      <c r="S79" s="23" t="s">
        <v>4963</v>
      </c>
      <c r="T79" s="23" t="s">
        <v>40</v>
      </c>
    </row>
    <row r="80" spans="1:20" x14ac:dyDescent="0.25">
      <c r="A80" s="23" t="s">
        <v>4981</v>
      </c>
      <c r="B80" s="23" t="s">
        <v>146</v>
      </c>
      <c r="C80" s="23" t="s">
        <v>4946</v>
      </c>
      <c r="D80" s="23" t="s">
        <v>4982</v>
      </c>
      <c r="E80" s="23" t="s">
        <v>4948</v>
      </c>
      <c r="F80" s="23" t="s">
        <v>40</v>
      </c>
      <c r="G80" s="23" t="s">
        <v>4983</v>
      </c>
      <c r="H80" s="23" t="s">
        <v>4984</v>
      </c>
      <c r="I80" s="23" t="s">
        <v>4985</v>
      </c>
      <c r="J80" s="23" t="s">
        <v>801</v>
      </c>
      <c r="K80" s="24" t="s">
        <v>386</v>
      </c>
      <c r="L80" s="23" t="s">
        <v>405</v>
      </c>
      <c r="M80" s="33" t="s">
        <v>20</v>
      </c>
      <c r="N80" s="23" t="s">
        <v>40</v>
      </c>
      <c r="O80" s="23" t="s">
        <v>387</v>
      </c>
      <c r="P80" s="23" t="s">
        <v>40</v>
      </c>
      <c r="Q80" s="23" t="s">
        <v>40</v>
      </c>
      <c r="R80" s="23" t="s">
        <v>147</v>
      </c>
      <c r="S80" s="23" t="s">
        <v>4963</v>
      </c>
      <c r="T80" s="23" t="s">
        <v>40</v>
      </c>
    </row>
    <row r="81" spans="1:20" x14ac:dyDescent="0.25">
      <c r="A81" s="23" t="s">
        <v>4986</v>
      </c>
      <c r="B81" s="23" t="s">
        <v>146</v>
      </c>
      <c r="C81" s="23" t="s">
        <v>4946</v>
      </c>
      <c r="D81" s="23" t="s">
        <v>4987</v>
      </c>
      <c r="E81" s="23" t="s">
        <v>2944</v>
      </c>
      <c r="F81" s="23" t="s">
        <v>40</v>
      </c>
      <c r="G81" s="23" t="s">
        <v>4988</v>
      </c>
      <c r="H81" s="23" t="s">
        <v>4989</v>
      </c>
      <c r="I81" s="23" t="s">
        <v>4451</v>
      </c>
      <c r="J81" s="23" t="s">
        <v>525</v>
      </c>
      <c r="K81" s="24" t="s">
        <v>386</v>
      </c>
      <c r="L81" s="23" t="s">
        <v>13</v>
      </c>
      <c r="M81" s="25" t="s">
        <v>18</v>
      </c>
      <c r="N81" s="23" t="s">
        <v>40</v>
      </c>
      <c r="O81" s="23" t="s">
        <v>387</v>
      </c>
      <c r="P81" s="23" t="s">
        <v>40</v>
      </c>
      <c r="Q81" s="23" t="s">
        <v>40</v>
      </c>
      <c r="R81" s="23" t="s">
        <v>147</v>
      </c>
      <c r="S81" s="23" t="s">
        <v>40</v>
      </c>
      <c r="T81" s="23" t="s">
        <v>40</v>
      </c>
    </row>
    <row r="82" spans="1:20" x14ac:dyDescent="0.25">
      <c r="A82" s="23" t="s">
        <v>4990</v>
      </c>
      <c r="B82" s="23" t="s">
        <v>4534</v>
      </c>
      <c r="C82" s="23" t="s">
        <v>4991</v>
      </c>
      <c r="D82" s="23" t="s">
        <v>4992</v>
      </c>
      <c r="E82" s="23" t="s">
        <v>4993</v>
      </c>
      <c r="F82" s="23" t="s">
        <v>40</v>
      </c>
      <c r="G82" s="23" t="s">
        <v>4994</v>
      </c>
      <c r="H82" s="23" t="s">
        <v>4995</v>
      </c>
      <c r="I82" s="23" t="s">
        <v>4996</v>
      </c>
      <c r="J82" s="23" t="s">
        <v>563</v>
      </c>
      <c r="K82" s="26" t="s">
        <v>396</v>
      </c>
      <c r="L82" s="23" t="s">
        <v>13</v>
      </c>
      <c r="M82" s="28" t="s">
        <v>16</v>
      </c>
      <c r="N82" s="23" t="s">
        <v>3341</v>
      </c>
      <c r="O82" s="29" t="s">
        <v>87</v>
      </c>
      <c r="P82" s="23" t="s">
        <v>40</v>
      </c>
      <c r="Q82" s="23" t="s">
        <v>40</v>
      </c>
      <c r="R82" s="23" t="s">
        <v>40</v>
      </c>
      <c r="S82" s="23" t="s">
        <v>40</v>
      </c>
      <c r="T82" s="23" t="s">
        <v>40</v>
      </c>
    </row>
    <row r="83" spans="1:20" x14ac:dyDescent="0.25">
      <c r="A83" s="23" t="s">
        <v>4997</v>
      </c>
      <c r="B83" s="23" t="s">
        <v>4534</v>
      </c>
      <c r="C83" s="23" t="s">
        <v>4991</v>
      </c>
      <c r="D83" s="23" t="s">
        <v>4998</v>
      </c>
      <c r="E83" s="23" t="s">
        <v>4993</v>
      </c>
      <c r="F83" s="23" t="s">
        <v>40</v>
      </c>
      <c r="G83" s="23" t="s">
        <v>4999</v>
      </c>
      <c r="H83" s="23" t="s">
        <v>5000</v>
      </c>
      <c r="I83" s="23" t="s">
        <v>5001</v>
      </c>
      <c r="J83" s="23" t="s">
        <v>563</v>
      </c>
      <c r="K83" s="24" t="s">
        <v>386</v>
      </c>
      <c r="L83" s="23" t="s">
        <v>405</v>
      </c>
      <c r="M83" s="25" t="s">
        <v>18</v>
      </c>
      <c r="N83" s="23" t="s">
        <v>40</v>
      </c>
      <c r="O83" s="23" t="s">
        <v>387</v>
      </c>
      <c r="P83" s="23" t="s">
        <v>40</v>
      </c>
      <c r="Q83" s="23" t="s">
        <v>40</v>
      </c>
      <c r="R83" s="23" t="s">
        <v>40</v>
      </c>
      <c r="S83" s="23" t="s">
        <v>40</v>
      </c>
      <c r="T83" s="23" t="s">
        <v>40</v>
      </c>
    </row>
    <row r="84" spans="1:20" x14ac:dyDescent="0.25">
      <c r="A84" s="23" t="s">
        <v>5002</v>
      </c>
      <c r="B84" s="23" t="s">
        <v>4534</v>
      </c>
      <c r="C84" s="23" t="s">
        <v>4991</v>
      </c>
      <c r="D84" s="23" t="s">
        <v>5003</v>
      </c>
      <c r="E84" s="23" t="s">
        <v>4993</v>
      </c>
      <c r="F84" s="23" t="s">
        <v>40</v>
      </c>
      <c r="G84" s="23" t="s">
        <v>5004</v>
      </c>
      <c r="H84" s="23" t="s">
        <v>5005</v>
      </c>
      <c r="I84" s="23" t="s">
        <v>5006</v>
      </c>
      <c r="J84" s="23" t="s">
        <v>563</v>
      </c>
      <c r="K84" s="27" t="s">
        <v>404</v>
      </c>
      <c r="L84" s="23" t="s">
        <v>490</v>
      </c>
      <c r="M84" s="33" t="s">
        <v>20</v>
      </c>
      <c r="N84" s="23" t="s">
        <v>40</v>
      </c>
      <c r="O84" s="23" t="s">
        <v>387</v>
      </c>
      <c r="P84" s="23" t="s">
        <v>40</v>
      </c>
      <c r="Q84" s="23" t="s">
        <v>40</v>
      </c>
      <c r="R84" s="23" t="s">
        <v>40</v>
      </c>
      <c r="S84" s="23" t="s">
        <v>5007</v>
      </c>
      <c r="T84" s="23" t="s">
        <v>40</v>
      </c>
    </row>
  </sheetData>
  <autoFilter ref="A1:T84"/>
  <dataValidations count="2">
    <dataValidation type="list" allowBlank="1" sqref="O10:O84">
      <formula1>"Passed,Failed,Blocked,Not Executed,Passed (19 Oct 2026)"</formula1>
    </dataValidation>
    <dataValidation type="list" allowBlank="1" sqref="O2:O84">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9"/>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5008</v>
      </c>
      <c r="B2" s="23" t="s">
        <v>149</v>
      </c>
      <c r="C2" s="23" t="s">
        <v>944</v>
      </c>
      <c r="D2" s="23" t="s">
        <v>5009</v>
      </c>
      <c r="E2" s="23" t="s">
        <v>3835</v>
      </c>
      <c r="F2" s="23" t="s">
        <v>40</v>
      </c>
      <c r="G2" s="23" t="s">
        <v>5010</v>
      </c>
      <c r="H2" s="23" t="s">
        <v>5011</v>
      </c>
      <c r="I2" s="23" t="s">
        <v>5012</v>
      </c>
      <c r="J2" s="23" t="s">
        <v>385</v>
      </c>
      <c r="K2" s="24" t="s">
        <v>386</v>
      </c>
      <c r="L2" s="23" t="s">
        <v>13</v>
      </c>
      <c r="M2" s="31" t="s">
        <v>17</v>
      </c>
      <c r="N2" s="23" t="s">
        <v>5013</v>
      </c>
      <c r="O2" s="29" t="s">
        <v>87</v>
      </c>
      <c r="P2" s="23" t="s">
        <v>40</v>
      </c>
      <c r="Q2" s="23" t="s">
        <v>40</v>
      </c>
      <c r="R2" s="23" t="s">
        <v>150</v>
      </c>
      <c r="S2" s="23" t="s">
        <v>40</v>
      </c>
      <c r="T2" s="23" t="s">
        <v>40</v>
      </c>
    </row>
    <row r="3" spans="1:20" x14ac:dyDescent="0.25">
      <c r="A3" s="23" t="s">
        <v>5014</v>
      </c>
      <c r="B3" s="23" t="s">
        <v>149</v>
      </c>
      <c r="C3" s="23" t="s">
        <v>2074</v>
      </c>
      <c r="D3" s="23" t="s">
        <v>5015</v>
      </c>
      <c r="E3" s="23" t="s">
        <v>3835</v>
      </c>
      <c r="F3" s="23" t="s">
        <v>5016</v>
      </c>
      <c r="G3" s="23" t="s">
        <v>5017</v>
      </c>
      <c r="H3" s="23" t="s">
        <v>5018</v>
      </c>
      <c r="I3" s="23" t="s">
        <v>5019</v>
      </c>
      <c r="J3" s="23" t="s">
        <v>14</v>
      </c>
      <c r="K3" s="26" t="s">
        <v>396</v>
      </c>
      <c r="L3" s="23" t="s">
        <v>13</v>
      </c>
      <c r="M3" s="28" t="s">
        <v>16</v>
      </c>
      <c r="N3" s="23" t="s">
        <v>5020</v>
      </c>
      <c r="O3" s="29" t="s">
        <v>87</v>
      </c>
      <c r="P3" s="23" t="s">
        <v>40</v>
      </c>
      <c r="Q3" s="23" t="s">
        <v>40</v>
      </c>
      <c r="R3" s="23" t="s">
        <v>150</v>
      </c>
      <c r="S3" s="23" t="s">
        <v>40</v>
      </c>
      <c r="T3" s="23" t="s">
        <v>5021</v>
      </c>
    </row>
    <row r="4" spans="1:20" x14ac:dyDescent="0.25">
      <c r="A4" s="23" t="s">
        <v>5022</v>
      </c>
      <c r="B4" s="23" t="s">
        <v>149</v>
      </c>
      <c r="C4" s="23" t="s">
        <v>2074</v>
      </c>
      <c r="D4" s="23" t="s">
        <v>5023</v>
      </c>
      <c r="E4" s="23" t="s">
        <v>3835</v>
      </c>
      <c r="F4" s="23" t="s">
        <v>5024</v>
      </c>
      <c r="G4" s="23" t="s">
        <v>5025</v>
      </c>
      <c r="H4" s="23" t="s">
        <v>5026</v>
      </c>
      <c r="I4" s="23" t="s">
        <v>5027</v>
      </c>
      <c r="J4" s="23" t="s">
        <v>14</v>
      </c>
      <c r="K4" s="26" t="s">
        <v>396</v>
      </c>
      <c r="L4" s="23" t="s">
        <v>13</v>
      </c>
      <c r="M4" s="25" t="s">
        <v>18</v>
      </c>
      <c r="N4" s="23" t="s">
        <v>40</v>
      </c>
      <c r="O4" s="23" t="s">
        <v>387</v>
      </c>
      <c r="P4" s="23" t="s">
        <v>40</v>
      </c>
      <c r="Q4" s="23" t="s">
        <v>40</v>
      </c>
      <c r="R4" s="23" t="s">
        <v>150</v>
      </c>
      <c r="S4" s="23" t="s">
        <v>40</v>
      </c>
      <c r="T4" s="23" t="s">
        <v>5028</v>
      </c>
    </row>
    <row r="5" spans="1:20" x14ac:dyDescent="0.25">
      <c r="A5" s="23" t="s">
        <v>5029</v>
      </c>
      <c r="B5" s="23" t="s">
        <v>149</v>
      </c>
      <c r="C5" s="23" t="s">
        <v>2074</v>
      </c>
      <c r="D5" s="23" t="s">
        <v>5030</v>
      </c>
      <c r="E5" s="23" t="s">
        <v>3835</v>
      </c>
      <c r="F5" s="23" t="s">
        <v>5031</v>
      </c>
      <c r="G5" s="23" t="s">
        <v>5032</v>
      </c>
      <c r="H5" s="23" t="s">
        <v>5033</v>
      </c>
      <c r="I5" s="23" t="s">
        <v>5034</v>
      </c>
      <c r="J5" s="23" t="s">
        <v>14</v>
      </c>
      <c r="K5" s="24" t="s">
        <v>386</v>
      </c>
      <c r="L5" s="23" t="s">
        <v>405</v>
      </c>
      <c r="M5" s="25" t="s">
        <v>18</v>
      </c>
      <c r="N5" s="23" t="s">
        <v>40</v>
      </c>
      <c r="O5" s="23" t="s">
        <v>387</v>
      </c>
      <c r="P5" s="23" t="s">
        <v>40</v>
      </c>
      <c r="Q5" s="23" t="s">
        <v>40</v>
      </c>
      <c r="R5" s="23" t="s">
        <v>150</v>
      </c>
      <c r="S5" s="23" t="s">
        <v>40</v>
      </c>
      <c r="T5" s="23" t="s">
        <v>5021</v>
      </c>
    </row>
    <row r="6" spans="1:20" x14ac:dyDescent="0.25">
      <c r="A6" s="23" t="s">
        <v>5035</v>
      </c>
      <c r="B6" s="23" t="s">
        <v>149</v>
      </c>
      <c r="C6" s="23" t="s">
        <v>2074</v>
      </c>
      <c r="D6" s="23" t="s">
        <v>5036</v>
      </c>
      <c r="E6" s="23" t="s">
        <v>3835</v>
      </c>
      <c r="F6" s="23" t="s">
        <v>40</v>
      </c>
      <c r="G6" s="23" t="s">
        <v>5037</v>
      </c>
      <c r="H6" s="23" t="s">
        <v>5038</v>
      </c>
      <c r="I6" s="23" t="s">
        <v>5039</v>
      </c>
      <c r="J6" s="23" t="s">
        <v>385</v>
      </c>
      <c r="K6" s="27" t="s">
        <v>404</v>
      </c>
      <c r="L6" s="23" t="s">
        <v>405</v>
      </c>
      <c r="M6" s="25" t="s">
        <v>18</v>
      </c>
      <c r="N6" s="23" t="s">
        <v>40</v>
      </c>
      <c r="O6" s="23" t="s">
        <v>387</v>
      </c>
      <c r="P6" s="23" t="s">
        <v>40</v>
      </c>
      <c r="Q6" s="23" t="s">
        <v>40</v>
      </c>
      <c r="R6" s="23" t="s">
        <v>150</v>
      </c>
      <c r="S6" s="23" t="s">
        <v>40</v>
      </c>
      <c r="T6" s="23" t="s">
        <v>5040</v>
      </c>
    </row>
    <row r="7" spans="1:20" x14ac:dyDescent="0.25">
      <c r="A7" s="23" t="s">
        <v>5041</v>
      </c>
      <c r="B7" s="23" t="s">
        <v>149</v>
      </c>
      <c r="C7" s="23" t="s">
        <v>5042</v>
      </c>
      <c r="D7" s="23" t="s">
        <v>5043</v>
      </c>
      <c r="E7" s="23" t="s">
        <v>3835</v>
      </c>
      <c r="F7" s="23" t="s">
        <v>40</v>
      </c>
      <c r="G7" s="23" t="s">
        <v>5044</v>
      </c>
      <c r="H7" s="23" t="s">
        <v>5045</v>
      </c>
      <c r="I7" s="23" t="s">
        <v>5046</v>
      </c>
      <c r="J7" s="23" t="s">
        <v>466</v>
      </c>
      <c r="K7" s="24" t="s">
        <v>386</v>
      </c>
      <c r="L7" s="23" t="s">
        <v>13</v>
      </c>
      <c r="M7" s="25" t="s">
        <v>18</v>
      </c>
      <c r="N7" s="23" t="s">
        <v>40</v>
      </c>
      <c r="O7" s="23" t="s">
        <v>387</v>
      </c>
      <c r="P7" s="23" t="s">
        <v>40</v>
      </c>
      <c r="Q7" s="23" t="s">
        <v>40</v>
      </c>
      <c r="R7" s="23" t="s">
        <v>150</v>
      </c>
      <c r="S7" s="23" t="s">
        <v>40</v>
      </c>
      <c r="T7" s="23" t="s">
        <v>5047</v>
      </c>
    </row>
    <row r="8" spans="1:20" x14ac:dyDescent="0.25">
      <c r="A8" s="23" t="s">
        <v>5048</v>
      </c>
      <c r="B8" s="23" t="s">
        <v>149</v>
      </c>
      <c r="C8" s="23" t="s">
        <v>5042</v>
      </c>
      <c r="D8" s="23" t="s">
        <v>5049</v>
      </c>
      <c r="E8" s="23" t="s">
        <v>3835</v>
      </c>
      <c r="F8" s="23" t="s">
        <v>5050</v>
      </c>
      <c r="G8" s="23" t="s">
        <v>5051</v>
      </c>
      <c r="H8" s="23" t="s">
        <v>5052</v>
      </c>
      <c r="I8" s="23" t="s">
        <v>5053</v>
      </c>
      <c r="J8" s="23" t="s">
        <v>466</v>
      </c>
      <c r="K8" s="27" t="s">
        <v>404</v>
      </c>
      <c r="L8" s="23" t="s">
        <v>405</v>
      </c>
      <c r="M8" s="25" t="s">
        <v>18</v>
      </c>
      <c r="N8" s="23" t="s">
        <v>40</v>
      </c>
      <c r="O8" s="23" t="s">
        <v>387</v>
      </c>
      <c r="P8" s="23" t="s">
        <v>40</v>
      </c>
      <c r="Q8" s="23" t="s">
        <v>40</v>
      </c>
      <c r="R8" s="23" t="s">
        <v>150</v>
      </c>
      <c r="S8" s="23" t="s">
        <v>40</v>
      </c>
      <c r="T8" s="23" t="s">
        <v>5054</v>
      </c>
    </row>
    <row r="9" spans="1:20" x14ac:dyDescent="0.25">
      <c r="A9" s="23" t="s">
        <v>5055</v>
      </c>
      <c r="B9" s="23" t="s">
        <v>149</v>
      </c>
      <c r="C9" s="23" t="s">
        <v>5042</v>
      </c>
      <c r="D9" s="23" t="s">
        <v>5056</v>
      </c>
      <c r="E9" s="23" t="s">
        <v>3835</v>
      </c>
      <c r="F9" s="23" t="s">
        <v>5057</v>
      </c>
      <c r="G9" s="23" t="s">
        <v>5058</v>
      </c>
      <c r="H9" s="23" t="s">
        <v>5059</v>
      </c>
      <c r="I9" s="23" t="s">
        <v>5060</v>
      </c>
      <c r="J9" s="23" t="s">
        <v>466</v>
      </c>
      <c r="K9" s="24" t="s">
        <v>386</v>
      </c>
      <c r="L9" s="23" t="s">
        <v>13</v>
      </c>
      <c r="M9" s="25" t="s">
        <v>18</v>
      </c>
      <c r="N9" s="23" t="s">
        <v>40</v>
      </c>
      <c r="O9" s="23" t="s">
        <v>387</v>
      </c>
      <c r="P9" s="23" t="s">
        <v>40</v>
      </c>
      <c r="Q9" s="23" t="s">
        <v>40</v>
      </c>
      <c r="R9" s="23" t="s">
        <v>150</v>
      </c>
      <c r="S9" s="23" t="s">
        <v>5061</v>
      </c>
      <c r="T9" s="23" t="s">
        <v>5062</v>
      </c>
    </row>
    <row r="10" spans="1:20" x14ac:dyDescent="0.25">
      <c r="A10" s="23" t="s">
        <v>5063</v>
      </c>
      <c r="B10" s="23" t="s">
        <v>149</v>
      </c>
      <c r="C10" s="23" t="s">
        <v>5042</v>
      </c>
      <c r="D10" s="23" t="s">
        <v>5064</v>
      </c>
      <c r="E10" s="23" t="s">
        <v>3835</v>
      </c>
      <c r="F10" s="23" t="s">
        <v>40</v>
      </c>
      <c r="G10" s="23" t="s">
        <v>5065</v>
      </c>
      <c r="H10" s="23" t="s">
        <v>5066</v>
      </c>
      <c r="I10" s="23" t="s">
        <v>5067</v>
      </c>
      <c r="J10" s="23" t="s">
        <v>466</v>
      </c>
      <c r="K10" s="24" t="s">
        <v>386</v>
      </c>
      <c r="L10" s="23" t="s">
        <v>13</v>
      </c>
      <c r="M10" s="25" t="s">
        <v>18</v>
      </c>
      <c r="N10" s="23" t="s">
        <v>40</v>
      </c>
      <c r="O10" s="23" t="s">
        <v>387</v>
      </c>
      <c r="P10" s="23" t="s">
        <v>40</v>
      </c>
      <c r="Q10" s="23" t="s">
        <v>40</v>
      </c>
      <c r="R10" s="23" t="s">
        <v>150</v>
      </c>
      <c r="S10" s="23" t="s">
        <v>40</v>
      </c>
      <c r="T10" s="23" t="s">
        <v>5068</v>
      </c>
    </row>
    <row r="11" spans="1:20" x14ac:dyDescent="0.25">
      <c r="A11" s="23" t="s">
        <v>5069</v>
      </c>
      <c r="B11" s="23" t="s">
        <v>149</v>
      </c>
      <c r="C11" s="23" t="s">
        <v>5042</v>
      </c>
      <c r="D11" s="23" t="s">
        <v>5070</v>
      </c>
      <c r="E11" s="23" t="s">
        <v>3835</v>
      </c>
      <c r="F11" s="23" t="s">
        <v>40</v>
      </c>
      <c r="G11" s="23" t="s">
        <v>5071</v>
      </c>
      <c r="H11" s="23" t="s">
        <v>5072</v>
      </c>
      <c r="I11" s="23" t="s">
        <v>5073</v>
      </c>
      <c r="J11" s="23" t="s">
        <v>466</v>
      </c>
      <c r="K11" s="27" t="s">
        <v>404</v>
      </c>
      <c r="L11" s="23" t="s">
        <v>405</v>
      </c>
      <c r="M11" s="25" t="s">
        <v>18</v>
      </c>
      <c r="N11" s="23" t="s">
        <v>40</v>
      </c>
      <c r="O11" s="23" t="s">
        <v>387</v>
      </c>
      <c r="P11" s="23" t="s">
        <v>40</v>
      </c>
      <c r="Q11" s="23" t="s">
        <v>40</v>
      </c>
      <c r="R11" s="23" t="s">
        <v>150</v>
      </c>
      <c r="S11" s="23" t="s">
        <v>5074</v>
      </c>
      <c r="T11" s="23" t="s">
        <v>40</v>
      </c>
    </row>
    <row r="12" spans="1:20" x14ac:dyDescent="0.25">
      <c r="A12" s="23" t="s">
        <v>5075</v>
      </c>
      <c r="B12" s="23" t="s">
        <v>149</v>
      </c>
      <c r="C12" s="23" t="s">
        <v>5042</v>
      </c>
      <c r="D12" s="23" t="s">
        <v>5076</v>
      </c>
      <c r="E12" s="23" t="s">
        <v>3835</v>
      </c>
      <c r="F12" s="23" t="s">
        <v>5077</v>
      </c>
      <c r="G12" s="23" t="s">
        <v>5078</v>
      </c>
      <c r="H12" s="23" t="s">
        <v>5079</v>
      </c>
      <c r="I12" s="23" t="s">
        <v>5080</v>
      </c>
      <c r="J12" s="23" t="s">
        <v>466</v>
      </c>
      <c r="K12" s="24" t="s">
        <v>386</v>
      </c>
      <c r="L12" s="23" t="s">
        <v>13</v>
      </c>
      <c r="M12" s="25" t="s">
        <v>18</v>
      </c>
      <c r="N12" s="23" t="s">
        <v>40</v>
      </c>
      <c r="O12" s="23" t="s">
        <v>387</v>
      </c>
      <c r="P12" s="23" t="s">
        <v>40</v>
      </c>
      <c r="Q12" s="23" t="s">
        <v>40</v>
      </c>
      <c r="R12" s="23" t="s">
        <v>150</v>
      </c>
      <c r="S12" s="23" t="s">
        <v>40</v>
      </c>
      <c r="T12" s="23" t="s">
        <v>5081</v>
      </c>
    </row>
    <row r="13" spans="1:20" x14ac:dyDescent="0.25">
      <c r="A13" s="23" t="s">
        <v>5082</v>
      </c>
      <c r="B13" s="23" t="s">
        <v>149</v>
      </c>
      <c r="C13" s="23" t="s">
        <v>5042</v>
      </c>
      <c r="D13" s="23" t="s">
        <v>5083</v>
      </c>
      <c r="E13" s="23" t="s">
        <v>3835</v>
      </c>
      <c r="F13" s="23" t="s">
        <v>40</v>
      </c>
      <c r="G13" s="23" t="s">
        <v>5084</v>
      </c>
      <c r="H13" s="23" t="s">
        <v>5085</v>
      </c>
      <c r="I13" s="23" t="s">
        <v>5086</v>
      </c>
      <c r="J13" s="23" t="s">
        <v>466</v>
      </c>
      <c r="K13" s="24" t="s">
        <v>386</v>
      </c>
      <c r="L13" s="23" t="s">
        <v>13</v>
      </c>
      <c r="M13" s="25" t="s">
        <v>18</v>
      </c>
      <c r="N13" s="23" t="s">
        <v>40</v>
      </c>
      <c r="O13" s="23" t="s">
        <v>387</v>
      </c>
      <c r="P13" s="23" t="s">
        <v>40</v>
      </c>
      <c r="Q13" s="23" t="s">
        <v>40</v>
      </c>
      <c r="R13" s="23" t="s">
        <v>150</v>
      </c>
      <c r="S13" s="23" t="s">
        <v>40</v>
      </c>
      <c r="T13" s="23" t="s">
        <v>5068</v>
      </c>
    </row>
    <row r="14" spans="1:20" x14ac:dyDescent="0.25">
      <c r="A14" s="23" t="s">
        <v>5087</v>
      </c>
      <c r="B14" s="23" t="s">
        <v>149</v>
      </c>
      <c r="C14" s="23" t="s">
        <v>5042</v>
      </c>
      <c r="D14" s="23" t="s">
        <v>5088</v>
      </c>
      <c r="E14" s="23" t="s">
        <v>3835</v>
      </c>
      <c r="F14" s="23" t="s">
        <v>5089</v>
      </c>
      <c r="G14" s="23" t="s">
        <v>5090</v>
      </c>
      <c r="H14" s="23" t="s">
        <v>5091</v>
      </c>
      <c r="I14" s="23" t="s">
        <v>5092</v>
      </c>
      <c r="J14" s="23" t="s">
        <v>489</v>
      </c>
      <c r="K14" s="24" t="s">
        <v>386</v>
      </c>
      <c r="L14" s="23" t="s">
        <v>13</v>
      </c>
      <c r="M14" s="25" t="s">
        <v>18</v>
      </c>
      <c r="N14" s="23" t="s">
        <v>40</v>
      </c>
      <c r="O14" s="23" t="s">
        <v>387</v>
      </c>
      <c r="P14" s="23" t="s">
        <v>40</v>
      </c>
      <c r="Q14" s="23" t="s">
        <v>40</v>
      </c>
      <c r="R14" s="23" t="s">
        <v>150</v>
      </c>
      <c r="S14" s="23" t="s">
        <v>40</v>
      </c>
      <c r="T14" s="23" t="s">
        <v>5093</v>
      </c>
    </row>
    <row r="15" spans="1:20" x14ac:dyDescent="0.25">
      <c r="A15" s="23" t="s">
        <v>5094</v>
      </c>
      <c r="B15" s="23" t="s">
        <v>149</v>
      </c>
      <c r="C15" s="23" t="s">
        <v>5042</v>
      </c>
      <c r="D15" s="23" t="s">
        <v>5095</v>
      </c>
      <c r="E15" s="23" t="s">
        <v>3835</v>
      </c>
      <c r="F15" s="23" t="s">
        <v>5096</v>
      </c>
      <c r="G15" s="23" t="s">
        <v>5097</v>
      </c>
      <c r="H15" s="23" t="s">
        <v>5098</v>
      </c>
      <c r="I15" s="23" t="s">
        <v>5099</v>
      </c>
      <c r="J15" s="23" t="s">
        <v>489</v>
      </c>
      <c r="K15" s="27" t="s">
        <v>404</v>
      </c>
      <c r="L15" s="23" t="s">
        <v>405</v>
      </c>
      <c r="M15" s="25" t="s">
        <v>18</v>
      </c>
      <c r="N15" s="23" t="s">
        <v>40</v>
      </c>
      <c r="O15" s="23" t="s">
        <v>387</v>
      </c>
      <c r="P15" s="23" t="s">
        <v>40</v>
      </c>
      <c r="Q15" s="23" t="s">
        <v>40</v>
      </c>
      <c r="R15" s="23" t="s">
        <v>150</v>
      </c>
      <c r="S15" s="23" t="s">
        <v>40</v>
      </c>
      <c r="T15" s="23" t="s">
        <v>5100</v>
      </c>
    </row>
    <row r="16" spans="1:20" x14ac:dyDescent="0.25">
      <c r="A16" s="23" t="s">
        <v>5101</v>
      </c>
      <c r="B16" s="23" t="s">
        <v>149</v>
      </c>
      <c r="C16" s="23" t="s">
        <v>5042</v>
      </c>
      <c r="D16" s="23" t="s">
        <v>5102</v>
      </c>
      <c r="E16" s="23" t="s">
        <v>3835</v>
      </c>
      <c r="F16" s="23" t="s">
        <v>5103</v>
      </c>
      <c r="G16" s="23" t="s">
        <v>5104</v>
      </c>
      <c r="H16" s="23" t="s">
        <v>5105</v>
      </c>
      <c r="I16" s="23" t="s">
        <v>5106</v>
      </c>
      <c r="J16" s="23" t="s">
        <v>466</v>
      </c>
      <c r="K16" s="27" t="s">
        <v>404</v>
      </c>
      <c r="L16" s="23" t="s">
        <v>490</v>
      </c>
      <c r="M16" s="25" t="s">
        <v>18</v>
      </c>
      <c r="N16" s="23" t="s">
        <v>40</v>
      </c>
      <c r="O16" s="23" t="s">
        <v>387</v>
      </c>
      <c r="P16" s="23" t="s">
        <v>40</v>
      </c>
      <c r="Q16" s="23" t="s">
        <v>40</v>
      </c>
      <c r="R16" s="23" t="s">
        <v>150</v>
      </c>
      <c r="S16" s="23" t="s">
        <v>40</v>
      </c>
      <c r="T16" s="23" t="s">
        <v>5054</v>
      </c>
    </row>
    <row r="17" spans="1:20" x14ac:dyDescent="0.25">
      <c r="A17" s="23" t="s">
        <v>5107</v>
      </c>
      <c r="B17" s="23" t="s">
        <v>149</v>
      </c>
      <c r="C17" s="23" t="s">
        <v>5042</v>
      </c>
      <c r="D17" s="23" t="s">
        <v>5108</v>
      </c>
      <c r="E17" s="23" t="s">
        <v>3835</v>
      </c>
      <c r="F17" s="23" t="s">
        <v>40</v>
      </c>
      <c r="G17" s="23" t="s">
        <v>5109</v>
      </c>
      <c r="H17" s="23" t="s">
        <v>5110</v>
      </c>
      <c r="I17" s="23" t="s">
        <v>5111</v>
      </c>
      <c r="J17" s="23" t="s">
        <v>466</v>
      </c>
      <c r="K17" s="24" t="s">
        <v>386</v>
      </c>
      <c r="L17" s="23" t="s">
        <v>13</v>
      </c>
      <c r="M17" s="25" t="s">
        <v>18</v>
      </c>
      <c r="N17" s="23" t="s">
        <v>40</v>
      </c>
      <c r="O17" s="23" t="s">
        <v>387</v>
      </c>
      <c r="P17" s="23" t="s">
        <v>40</v>
      </c>
      <c r="Q17" s="23" t="s">
        <v>40</v>
      </c>
      <c r="R17" s="23" t="s">
        <v>150</v>
      </c>
      <c r="S17" s="23" t="s">
        <v>40</v>
      </c>
      <c r="T17" s="23" t="s">
        <v>5047</v>
      </c>
    </row>
    <row r="18" spans="1:20" x14ac:dyDescent="0.25">
      <c r="A18" s="23" t="s">
        <v>5112</v>
      </c>
      <c r="B18" s="23" t="s">
        <v>149</v>
      </c>
      <c r="C18" s="23" t="s">
        <v>5042</v>
      </c>
      <c r="D18" s="23" t="s">
        <v>5113</v>
      </c>
      <c r="E18" s="23" t="s">
        <v>3835</v>
      </c>
      <c r="F18" s="23" t="s">
        <v>40</v>
      </c>
      <c r="G18" s="23" t="s">
        <v>5114</v>
      </c>
      <c r="H18" s="23" t="s">
        <v>5115</v>
      </c>
      <c r="I18" s="23" t="s">
        <v>5116</v>
      </c>
      <c r="J18" s="23" t="s">
        <v>466</v>
      </c>
      <c r="K18" s="27" t="s">
        <v>404</v>
      </c>
      <c r="L18" s="23" t="s">
        <v>405</v>
      </c>
      <c r="M18" s="25" t="s">
        <v>18</v>
      </c>
      <c r="N18" s="23" t="s">
        <v>40</v>
      </c>
      <c r="O18" s="23" t="s">
        <v>387</v>
      </c>
      <c r="P18" s="23" t="s">
        <v>40</v>
      </c>
      <c r="Q18" s="23" t="s">
        <v>40</v>
      </c>
      <c r="R18" s="23" t="s">
        <v>150</v>
      </c>
      <c r="S18" s="23" t="s">
        <v>40</v>
      </c>
      <c r="T18" s="23" t="s">
        <v>5068</v>
      </c>
    </row>
    <row r="19" spans="1:20" x14ac:dyDescent="0.25">
      <c r="A19" s="23" t="s">
        <v>5117</v>
      </c>
      <c r="B19" s="23" t="s">
        <v>149</v>
      </c>
      <c r="C19" s="23" t="s">
        <v>5042</v>
      </c>
      <c r="D19" s="23" t="s">
        <v>5118</v>
      </c>
      <c r="E19" s="23" t="s">
        <v>3835</v>
      </c>
      <c r="F19" s="23" t="s">
        <v>40</v>
      </c>
      <c r="G19" s="23" t="s">
        <v>5119</v>
      </c>
      <c r="H19" s="23" t="s">
        <v>5120</v>
      </c>
      <c r="I19" s="23" t="s">
        <v>5121</v>
      </c>
      <c r="J19" s="23" t="s">
        <v>466</v>
      </c>
      <c r="K19" s="27" t="s">
        <v>404</v>
      </c>
      <c r="L19" s="23" t="s">
        <v>405</v>
      </c>
      <c r="M19" s="25" t="s">
        <v>18</v>
      </c>
      <c r="N19" s="23" t="s">
        <v>40</v>
      </c>
      <c r="O19" s="23" t="s">
        <v>387</v>
      </c>
      <c r="P19" s="23" t="s">
        <v>40</v>
      </c>
      <c r="Q19" s="23" t="s">
        <v>40</v>
      </c>
      <c r="R19" s="23" t="s">
        <v>150</v>
      </c>
      <c r="S19" s="23" t="s">
        <v>40</v>
      </c>
      <c r="T19" s="23" t="s">
        <v>5068</v>
      </c>
    </row>
    <row r="20" spans="1:20" x14ac:dyDescent="0.25">
      <c r="A20" s="23" t="s">
        <v>5122</v>
      </c>
      <c r="B20" s="23" t="s">
        <v>149</v>
      </c>
      <c r="C20" s="23" t="s">
        <v>5042</v>
      </c>
      <c r="D20" s="23" t="s">
        <v>5123</v>
      </c>
      <c r="E20" s="23" t="s">
        <v>3835</v>
      </c>
      <c r="F20" s="23" t="s">
        <v>40</v>
      </c>
      <c r="G20" s="23" t="s">
        <v>5124</v>
      </c>
      <c r="H20" s="23" t="s">
        <v>5125</v>
      </c>
      <c r="I20" s="23" t="s">
        <v>5126</v>
      </c>
      <c r="J20" s="23" t="s">
        <v>15</v>
      </c>
      <c r="K20" s="27" t="s">
        <v>404</v>
      </c>
      <c r="L20" s="23" t="s">
        <v>405</v>
      </c>
      <c r="M20" s="25" t="s">
        <v>18</v>
      </c>
      <c r="N20" s="23" t="s">
        <v>40</v>
      </c>
      <c r="O20" s="23" t="s">
        <v>387</v>
      </c>
      <c r="P20" s="23" t="s">
        <v>40</v>
      </c>
      <c r="Q20" s="23" t="s">
        <v>40</v>
      </c>
      <c r="R20" s="23" t="s">
        <v>150</v>
      </c>
      <c r="S20" s="23" t="s">
        <v>40</v>
      </c>
      <c r="T20" s="23" t="s">
        <v>5021</v>
      </c>
    </row>
    <row r="21" spans="1:20" x14ac:dyDescent="0.25">
      <c r="A21" s="23" t="s">
        <v>5127</v>
      </c>
      <c r="B21" s="23" t="s">
        <v>149</v>
      </c>
      <c r="C21" s="23" t="s">
        <v>5042</v>
      </c>
      <c r="D21" s="23" t="s">
        <v>5128</v>
      </c>
      <c r="E21" s="23" t="s">
        <v>3835</v>
      </c>
      <c r="F21" s="23" t="s">
        <v>5129</v>
      </c>
      <c r="G21" s="23" t="s">
        <v>5130</v>
      </c>
      <c r="H21" s="23" t="s">
        <v>5131</v>
      </c>
      <c r="I21" s="23" t="s">
        <v>5132</v>
      </c>
      <c r="J21" s="23" t="s">
        <v>489</v>
      </c>
      <c r="K21" s="27" t="s">
        <v>404</v>
      </c>
      <c r="L21" s="23" t="s">
        <v>490</v>
      </c>
      <c r="M21" s="25" t="s">
        <v>18</v>
      </c>
      <c r="N21" s="23" t="s">
        <v>40</v>
      </c>
      <c r="O21" s="23" t="s">
        <v>387</v>
      </c>
      <c r="P21" s="23" t="s">
        <v>40</v>
      </c>
      <c r="Q21" s="23" t="s">
        <v>40</v>
      </c>
      <c r="R21" s="23" t="s">
        <v>150</v>
      </c>
      <c r="S21" s="23" t="s">
        <v>40</v>
      </c>
      <c r="T21" s="23" t="s">
        <v>5054</v>
      </c>
    </row>
    <row r="22" spans="1:20" x14ac:dyDescent="0.25">
      <c r="A22" s="23" t="s">
        <v>5133</v>
      </c>
      <c r="B22" s="23" t="s">
        <v>149</v>
      </c>
      <c r="C22" s="23" t="s">
        <v>5042</v>
      </c>
      <c r="D22" s="23" t="s">
        <v>5134</v>
      </c>
      <c r="E22" s="23" t="s">
        <v>3835</v>
      </c>
      <c r="F22" s="23" t="s">
        <v>40</v>
      </c>
      <c r="G22" s="23" t="s">
        <v>5135</v>
      </c>
      <c r="H22" s="23" t="s">
        <v>5136</v>
      </c>
      <c r="I22" s="23" t="s">
        <v>5137</v>
      </c>
      <c r="J22" s="23" t="s">
        <v>466</v>
      </c>
      <c r="K22" s="27" t="s">
        <v>404</v>
      </c>
      <c r="L22" s="23" t="s">
        <v>490</v>
      </c>
      <c r="M22" s="25" t="s">
        <v>18</v>
      </c>
      <c r="N22" s="23" t="s">
        <v>40</v>
      </c>
      <c r="O22" s="23" t="s">
        <v>387</v>
      </c>
      <c r="P22" s="23" t="s">
        <v>40</v>
      </c>
      <c r="Q22" s="23" t="s">
        <v>40</v>
      </c>
      <c r="R22" s="23" t="s">
        <v>150</v>
      </c>
      <c r="S22" s="23" t="s">
        <v>40</v>
      </c>
      <c r="T22" s="23" t="s">
        <v>5054</v>
      </c>
    </row>
    <row r="23" spans="1:20" x14ac:dyDescent="0.25">
      <c r="A23" s="23" t="s">
        <v>5138</v>
      </c>
      <c r="B23" s="23" t="s">
        <v>149</v>
      </c>
      <c r="C23" s="23" t="s">
        <v>5139</v>
      </c>
      <c r="D23" s="23" t="s">
        <v>5140</v>
      </c>
      <c r="E23" s="23" t="s">
        <v>3835</v>
      </c>
      <c r="F23" s="23" t="s">
        <v>5141</v>
      </c>
      <c r="G23" s="23" t="s">
        <v>5142</v>
      </c>
      <c r="H23" s="23" t="s">
        <v>5143</v>
      </c>
      <c r="I23" s="23" t="s">
        <v>5144</v>
      </c>
      <c r="J23" s="23" t="s">
        <v>15</v>
      </c>
      <c r="K23" s="27" t="s">
        <v>404</v>
      </c>
      <c r="L23" s="23" t="s">
        <v>405</v>
      </c>
      <c r="M23" s="25" t="s">
        <v>18</v>
      </c>
      <c r="N23" s="23" t="s">
        <v>40</v>
      </c>
      <c r="O23" s="23" t="s">
        <v>387</v>
      </c>
      <c r="P23" s="23" t="s">
        <v>40</v>
      </c>
      <c r="Q23" s="23" t="s">
        <v>40</v>
      </c>
      <c r="R23" s="23" t="s">
        <v>150</v>
      </c>
      <c r="S23" s="23" t="s">
        <v>5145</v>
      </c>
      <c r="T23" s="23" t="s">
        <v>40</v>
      </c>
    </row>
    <row r="24" spans="1:20" x14ac:dyDescent="0.25">
      <c r="A24" s="23" t="s">
        <v>5146</v>
      </c>
      <c r="B24" s="23" t="s">
        <v>149</v>
      </c>
      <c r="C24" s="23" t="s">
        <v>5147</v>
      </c>
      <c r="D24" s="23" t="s">
        <v>5148</v>
      </c>
      <c r="E24" s="23" t="s">
        <v>3835</v>
      </c>
      <c r="F24" s="23" t="s">
        <v>40</v>
      </c>
      <c r="G24" s="23" t="s">
        <v>5149</v>
      </c>
      <c r="H24" s="23" t="s">
        <v>5150</v>
      </c>
      <c r="I24" s="23" t="s">
        <v>5151</v>
      </c>
      <c r="J24" s="23" t="s">
        <v>14</v>
      </c>
      <c r="K24" s="26" t="s">
        <v>396</v>
      </c>
      <c r="L24" s="23" t="s">
        <v>13</v>
      </c>
      <c r="M24" s="25" t="s">
        <v>18</v>
      </c>
      <c r="N24" s="23" t="s">
        <v>40</v>
      </c>
      <c r="O24" s="23" t="s">
        <v>387</v>
      </c>
      <c r="P24" s="23" t="s">
        <v>40</v>
      </c>
      <c r="Q24" s="23" t="s">
        <v>40</v>
      </c>
      <c r="R24" s="23" t="s">
        <v>150</v>
      </c>
      <c r="S24" s="23" t="s">
        <v>40</v>
      </c>
      <c r="T24" s="23" t="s">
        <v>5152</v>
      </c>
    </row>
    <row r="25" spans="1:20" x14ac:dyDescent="0.25">
      <c r="A25" s="23" t="s">
        <v>5153</v>
      </c>
      <c r="B25" s="23" t="s">
        <v>149</v>
      </c>
      <c r="C25" s="23" t="s">
        <v>5147</v>
      </c>
      <c r="D25" s="23" t="s">
        <v>5154</v>
      </c>
      <c r="E25" s="23" t="s">
        <v>3835</v>
      </c>
      <c r="F25" s="23" t="s">
        <v>40</v>
      </c>
      <c r="G25" s="23" t="s">
        <v>5155</v>
      </c>
      <c r="H25" s="23" t="s">
        <v>5156</v>
      </c>
      <c r="I25" s="23" t="s">
        <v>5157</v>
      </c>
      <c r="J25" s="23" t="s">
        <v>14</v>
      </c>
      <c r="K25" s="26" t="s">
        <v>396</v>
      </c>
      <c r="L25" s="23" t="s">
        <v>13</v>
      </c>
      <c r="M25" s="25" t="s">
        <v>18</v>
      </c>
      <c r="N25" s="23" t="s">
        <v>40</v>
      </c>
      <c r="O25" s="23" t="s">
        <v>387</v>
      </c>
      <c r="P25" s="23" t="s">
        <v>40</v>
      </c>
      <c r="Q25" s="23" t="s">
        <v>40</v>
      </c>
      <c r="R25" s="23" t="s">
        <v>150</v>
      </c>
      <c r="S25" s="23" t="s">
        <v>40</v>
      </c>
      <c r="T25" s="23" t="s">
        <v>5152</v>
      </c>
    </row>
    <row r="26" spans="1:20" x14ac:dyDescent="0.25">
      <c r="A26" s="23" t="s">
        <v>5158</v>
      </c>
      <c r="B26" s="23" t="s">
        <v>149</v>
      </c>
      <c r="C26" s="23" t="s">
        <v>5147</v>
      </c>
      <c r="D26" s="23" t="s">
        <v>5159</v>
      </c>
      <c r="E26" s="23" t="s">
        <v>3835</v>
      </c>
      <c r="F26" s="23" t="s">
        <v>40</v>
      </c>
      <c r="G26" s="23" t="s">
        <v>5160</v>
      </c>
      <c r="H26" s="23" t="s">
        <v>5161</v>
      </c>
      <c r="I26" s="23" t="s">
        <v>5162</v>
      </c>
      <c r="J26" s="23" t="s">
        <v>14</v>
      </c>
      <c r="K26" s="24" t="s">
        <v>386</v>
      </c>
      <c r="L26" s="23" t="s">
        <v>405</v>
      </c>
      <c r="M26" s="25" t="s">
        <v>18</v>
      </c>
      <c r="N26" s="23" t="s">
        <v>40</v>
      </c>
      <c r="O26" s="23" t="s">
        <v>387</v>
      </c>
      <c r="P26" s="23" t="s">
        <v>40</v>
      </c>
      <c r="Q26" s="23" t="s">
        <v>40</v>
      </c>
      <c r="R26" s="23" t="s">
        <v>150</v>
      </c>
      <c r="S26" s="23" t="s">
        <v>40</v>
      </c>
      <c r="T26" s="23" t="s">
        <v>5152</v>
      </c>
    </row>
    <row r="27" spans="1:20" x14ac:dyDescent="0.25">
      <c r="A27" s="23" t="s">
        <v>5163</v>
      </c>
      <c r="B27" s="23" t="s">
        <v>149</v>
      </c>
      <c r="C27" s="23" t="s">
        <v>5147</v>
      </c>
      <c r="D27" s="23" t="s">
        <v>5164</v>
      </c>
      <c r="E27" s="23" t="s">
        <v>5165</v>
      </c>
      <c r="F27" s="23" t="s">
        <v>40</v>
      </c>
      <c r="G27" s="23" t="s">
        <v>5166</v>
      </c>
      <c r="H27" s="23" t="s">
        <v>5167</v>
      </c>
      <c r="I27" s="23" t="s">
        <v>5168</v>
      </c>
      <c r="J27" s="23" t="s">
        <v>15</v>
      </c>
      <c r="K27" s="24" t="s">
        <v>386</v>
      </c>
      <c r="L27" s="23" t="s">
        <v>13</v>
      </c>
      <c r="M27" s="25" t="s">
        <v>18</v>
      </c>
      <c r="N27" s="23" t="s">
        <v>40</v>
      </c>
      <c r="O27" s="23" t="s">
        <v>387</v>
      </c>
      <c r="P27" s="23" t="s">
        <v>40</v>
      </c>
      <c r="Q27" s="23" t="s">
        <v>40</v>
      </c>
      <c r="R27" s="23" t="s">
        <v>150</v>
      </c>
      <c r="S27" s="23" t="s">
        <v>40</v>
      </c>
      <c r="T27" s="23" t="s">
        <v>5169</v>
      </c>
    </row>
    <row r="28" spans="1:20" x14ac:dyDescent="0.25">
      <c r="A28" s="23" t="s">
        <v>5170</v>
      </c>
      <c r="B28" s="23" t="s">
        <v>149</v>
      </c>
      <c r="C28" s="23" t="s">
        <v>5147</v>
      </c>
      <c r="D28" s="23" t="s">
        <v>5171</v>
      </c>
      <c r="E28" s="23" t="s">
        <v>3835</v>
      </c>
      <c r="F28" s="23" t="s">
        <v>40</v>
      </c>
      <c r="G28" s="23" t="s">
        <v>5172</v>
      </c>
      <c r="H28" s="23" t="s">
        <v>5173</v>
      </c>
      <c r="I28" s="23" t="s">
        <v>5174</v>
      </c>
      <c r="J28" s="23" t="s">
        <v>385</v>
      </c>
      <c r="K28" s="32" t="s">
        <v>747</v>
      </c>
      <c r="L28" s="23" t="s">
        <v>490</v>
      </c>
      <c r="M28" s="25" t="s">
        <v>18</v>
      </c>
      <c r="N28" s="23" t="s">
        <v>40</v>
      </c>
      <c r="O28" s="23" t="s">
        <v>387</v>
      </c>
      <c r="P28" s="23" t="s">
        <v>40</v>
      </c>
      <c r="Q28" s="23" t="s">
        <v>40</v>
      </c>
      <c r="R28" s="23" t="s">
        <v>150</v>
      </c>
      <c r="S28" s="23" t="s">
        <v>5175</v>
      </c>
      <c r="T28" s="23" t="s">
        <v>40</v>
      </c>
    </row>
    <row r="29" spans="1:20" x14ac:dyDescent="0.25">
      <c r="A29" s="23" t="s">
        <v>5176</v>
      </c>
      <c r="B29" s="23" t="s">
        <v>149</v>
      </c>
      <c r="C29" s="23" t="s">
        <v>5147</v>
      </c>
      <c r="D29" s="23" t="s">
        <v>5177</v>
      </c>
      <c r="E29" s="23" t="s">
        <v>3835</v>
      </c>
      <c r="F29" s="23" t="s">
        <v>40</v>
      </c>
      <c r="G29" s="23" t="s">
        <v>5178</v>
      </c>
      <c r="H29" s="23" t="s">
        <v>5179</v>
      </c>
      <c r="I29" s="23" t="s">
        <v>5180</v>
      </c>
      <c r="J29" s="23" t="s">
        <v>14</v>
      </c>
      <c r="K29" s="27" t="s">
        <v>404</v>
      </c>
      <c r="L29" s="23" t="s">
        <v>490</v>
      </c>
      <c r="M29" s="25" t="s">
        <v>18</v>
      </c>
      <c r="N29" s="23" t="s">
        <v>40</v>
      </c>
      <c r="O29" s="23" t="s">
        <v>387</v>
      </c>
      <c r="P29" s="23" t="s">
        <v>40</v>
      </c>
      <c r="Q29" s="23" t="s">
        <v>40</v>
      </c>
      <c r="R29" s="23" t="s">
        <v>150</v>
      </c>
      <c r="S29" s="23" t="s">
        <v>40</v>
      </c>
      <c r="T29" s="23" t="s">
        <v>5021</v>
      </c>
    </row>
    <row r="30" spans="1:20" x14ac:dyDescent="0.25">
      <c r="A30" s="23" t="s">
        <v>5181</v>
      </c>
      <c r="B30" s="23" t="s">
        <v>149</v>
      </c>
      <c r="C30" s="23" t="s">
        <v>5147</v>
      </c>
      <c r="D30" s="23" t="s">
        <v>5182</v>
      </c>
      <c r="E30" s="23" t="s">
        <v>5183</v>
      </c>
      <c r="F30" s="23" t="s">
        <v>40</v>
      </c>
      <c r="G30" s="23" t="s">
        <v>5184</v>
      </c>
      <c r="H30" s="23" t="s">
        <v>5185</v>
      </c>
      <c r="I30" s="23" t="s">
        <v>5186</v>
      </c>
      <c r="J30" s="23" t="s">
        <v>801</v>
      </c>
      <c r="K30" s="24" t="s">
        <v>386</v>
      </c>
      <c r="L30" s="23" t="s">
        <v>405</v>
      </c>
      <c r="M30" s="25" t="s">
        <v>18</v>
      </c>
      <c r="N30" s="23" t="s">
        <v>40</v>
      </c>
      <c r="O30" s="23" t="s">
        <v>387</v>
      </c>
      <c r="P30" s="23" t="s">
        <v>40</v>
      </c>
      <c r="Q30" s="23" t="s">
        <v>40</v>
      </c>
      <c r="R30" s="23" t="s">
        <v>150</v>
      </c>
      <c r="S30" s="23" t="s">
        <v>40</v>
      </c>
      <c r="T30" s="23" t="s">
        <v>5152</v>
      </c>
    </row>
    <row r="31" spans="1:20" x14ac:dyDescent="0.25">
      <c r="A31" s="23" t="s">
        <v>5187</v>
      </c>
      <c r="B31" s="23" t="s">
        <v>149</v>
      </c>
      <c r="C31" s="23" t="s">
        <v>5188</v>
      </c>
      <c r="D31" s="23" t="s">
        <v>5189</v>
      </c>
      <c r="E31" s="23" t="s">
        <v>3835</v>
      </c>
      <c r="F31" s="23" t="s">
        <v>40</v>
      </c>
      <c r="G31" s="23" t="s">
        <v>5190</v>
      </c>
      <c r="H31" s="23" t="s">
        <v>5191</v>
      </c>
      <c r="I31" s="23" t="s">
        <v>5192</v>
      </c>
      <c r="J31" s="23" t="s">
        <v>14</v>
      </c>
      <c r="K31" s="26" t="s">
        <v>396</v>
      </c>
      <c r="L31" s="23" t="s">
        <v>13</v>
      </c>
      <c r="M31" s="25" t="s">
        <v>18</v>
      </c>
      <c r="N31" s="23" t="s">
        <v>40</v>
      </c>
      <c r="O31" s="23" t="s">
        <v>387</v>
      </c>
      <c r="P31" s="23" t="s">
        <v>40</v>
      </c>
      <c r="Q31" s="23" t="s">
        <v>40</v>
      </c>
      <c r="R31" s="23" t="s">
        <v>150</v>
      </c>
      <c r="S31" s="23" t="s">
        <v>40</v>
      </c>
      <c r="T31" s="23" t="s">
        <v>5193</v>
      </c>
    </row>
    <row r="32" spans="1:20" x14ac:dyDescent="0.25">
      <c r="A32" s="23" t="s">
        <v>5194</v>
      </c>
      <c r="B32" s="23" t="s">
        <v>149</v>
      </c>
      <c r="C32" s="23" t="s">
        <v>5188</v>
      </c>
      <c r="D32" s="23" t="s">
        <v>5195</v>
      </c>
      <c r="E32" s="23" t="s">
        <v>5196</v>
      </c>
      <c r="F32" s="23" t="s">
        <v>40</v>
      </c>
      <c r="G32" s="23" t="s">
        <v>5197</v>
      </c>
      <c r="H32" s="23" t="s">
        <v>5198</v>
      </c>
      <c r="I32" s="23" t="s">
        <v>5199</v>
      </c>
      <c r="J32" s="23" t="s">
        <v>14</v>
      </c>
      <c r="K32" s="24" t="s">
        <v>386</v>
      </c>
      <c r="L32" s="23" t="s">
        <v>405</v>
      </c>
      <c r="M32" s="25" t="s">
        <v>18</v>
      </c>
      <c r="N32" s="23" t="s">
        <v>40</v>
      </c>
      <c r="O32" s="23" t="s">
        <v>387</v>
      </c>
      <c r="P32" s="23" t="s">
        <v>40</v>
      </c>
      <c r="Q32" s="23" t="s">
        <v>40</v>
      </c>
      <c r="R32" s="23" t="s">
        <v>150</v>
      </c>
      <c r="S32" s="23" t="s">
        <v>5200</v>
      </c>
      <c r="T32" s="23" t="s">
        <v>40</v>
      </c>
    </row>
    <row r="33" spans="1:20" x14ac:dyDescent="0.25">
      <c r="A33" s="23" t="s">
        <v>5201</v>
      </c>
      <c r="B33" s="23" t="s">
        <v>149</v>
      </c>
      <c r="C33" s="23" t="s">
        <v>5202</v>
      </c>
      <c r="D33" s="23" t="s">
        <v>5203</v>
      </c>
      <c r="E33" s="23" t="s">
        <v>5204</v>
      </c>
      <c r="F33" s="23" t="s">
        <v>40</v>
      </c>
      <c r="G33" s="23" t="s">
        <v>5205</v>
      </c>
      <c r="H33" s="23" t="s">
        <v>5206</v>
      </c>
      <c r="I33" s="23" t="s">
        <v>5207</v>
      </c>
      <c r="J33" s="23" t="s">
        <v>14</v>
      </c>
      <c r="K33" s="24" t="s">
        <v>386</v>
      </c>
      <c r="L33" s="23" t="s">
        <v>405</v>
      </c>
      <c r="M33" s="25" t="s">
        <v>18</v>
      </c>
      <c r="N33" s="23" t="s">
        <v>40</v>
      </c>
      <c r="O33" s="23" t="s">
        <v>387</v>
      </c>
      <c r="P33" s="23" t="s">
        <v>40</v>
      </c>
      <c r="Q33" s="23" t="s">
        <v>40</v>
      </c>
      <c r="R33" s="23" t="s">
        <v>150</v>
      </c>
      <c r="S33" s="23" t="s">
        <v>40</v>
      </c>
      <c r="T33" s="23" t="s">
        <v>5208</v>
      </c>
    </row>
    <row r="34" spans="1:20" x14ac:dyDescent="0.25">
      <c r="A34" s="23" t="s">
        <v>5209</v>
      </c>
      <c r="B34" s="23" t="s">
        <v>149</v>
      </c>
      <c r="C34" s="23" t="s">
        <v>5202</v>
      </c>
      <c r="D34" s="23" t="s">
        <v>5210</v>
      </c>
      <c r="E34" s="23" t="s">
        <v>3835</v>
      </c>
      <c r="F34" s="23" t="s">
        <v>40</v>
      </c>
      <c r="G34" s="23" t="s">
        <v>5211</v>
      </c>
      <c r="H34" s="23" t="s">
        <v>5212</v>
      </c>
      <c r="I34" s="23" t="s">
        <v>5213</v>
      </c>
      <c r="J34" s="23" t="s">
        <v>385</v>
      </c>
      <c r="K34" s="27" t="s">
        <v>404</v>
      </c>
      <c r="L34" s="23" t="s">
        <v>405</v>
      </c>
      <c r="M34" s="25" t="s">
        <v>18</v>
      </c>
      <c r="N34" s="23" t="s">
        <v>40</v>
      </c>
      <c r="O34" s="23" t="s">
        <v>387</v>
      </c>
      <c r="P34" s="23" t="s">
        <v>40</v>
      </c>
      <c r="Q34" s="23" t="s">
        <v>40</v>
      </c>
      <c r="R34" s="23" t="s">
        <v>150</v>
      </c>
      <c r="S34" s="23" t="s">
        <v>5214</v>
      </c>
      <c r="T34" s="23" t="s">
        <v>40</v>
      </c>
    </row>
    <row r="35" spans="1:20" x14ac:dyDescent="0.25">
      <c r="A35" s="23" t="s">
        <v>5215</v>
      </c>
      <c r="B35" s="23" t="s">
        <v>149</v>
      </c>
      <c r="C35" s="23" t="s">
        <v>5202</v>
      </c>
      <c r="D35" s="23" t="s">
        <v>5216</v>
      </c>
      <c r="E35" s="23" t="s">
        <v>5217</v>
      </c>
      <c r="F35" s="23" t="s">
        <v>40</v>
      </c>
      <c r="G35" s="23" t="s">
        <v>5218</v>
      </c>
      <c r="H35" s="23" t="s">
        <v>5219</v>
      </c>
      <c r="I35" s="23" t="s">
        <v>5220</v>
      </c>
      <c r="J35" s="23" t="s">
        <v>15</v>
      </c>
      <c r="K35" s="24" t="s">
        <v>386</v>
      </c>
      <c r="L35" s="23" t="s">
        <v>13</v>
      </c>
      <c r="M35" s="25" t="s">
        <v>18</v>
      </c>
      <c r="N35" s="23" t="s">
        <v>40</v>
      </c>
      <c r="O35" s="23" t="s">
        <v>387</v>
      </c>
      <c r="P35" s="23" t="s">
        <v>40</v>
      </c>
      <c r="Q35" s="23" t="s">
        <v>40</v>
      </c>
      <c r="R35" s="23" t="s">
        <v>150</v>
      </c>
      <c r="S35" s="23" t="s">
        <v>40</v>
      </c>
      <c r="T35" s="23" t="s">
        <v>5221</v>
      </c>
    </row>
    <row r="36" spans="1:20" x14ac:dyDescent="0.25">
      <c r="A36" s="23" t="s">
        <v>5222</v>
      </c>
      <c r="B36" s="23" t="s">
        <v>149</v>
      </c>
      <c r="C36" s="23" t="s">
        <v>5202</v>
      </c>
      <c r="D36" s="23" t="s">
        <v>5223</v>
      </c>
      <c r="E36" s="23" t="s">
        <v>5224</v>
      </c>
      <c r="F36" s="23" t="s">
        <v>40</v>
      </c>
      <c r="G36" s="23" t="s">
        <v>5225</v>
      </c>
      <c r="H36" s="23" t="s">
        <v>5226</v>
      </c>
      <c r="I36" s="23" t="s">
        <v>5227</v>
      </c>
      <c r="J36" s="23" t="s">
        <v>14</v>
      </c>
      <c r="K36" s="27" t="s">
        <v>404</v>
      </c>
      <c r="L36" s="23" t="s">
        <v>490</v>
      </c>
      <c r="M36" s="25" t="s">
        <v>18</v>
      </c>
      <c r="N36" s="23" t="s">
        <v>40</v>
      </c>
      <c r="O36" s="23" t="s">
        <v>387</v>
      </c>
      <c r="P36" s="23" t="s">
        <v>40</v>
      </c>
      <c r="Q36" s="23" t="s">
        <v>40</v>
      </c>
      <c r="R36" s="23" t="s">
        <v>150</v>
      </c>
      <c r="S36" s="23" t="s">
        <v>40</v>
      </c>
      <c r="T36" s="23" t="s">
        <v>5208</v>
      </c>
    </row>
    <row r="37" spans="1:20" x14ac:dyDescent="0.25">
      <c r="A37" s="23" t="s">
        <v>5228</v>
      </c>
      <c r="B37" s="23" t="s">
        <v>149</v>
      </c>
      <c r="C37" s="23" t="s">
        <v>5229</v>
      </c>
      <c r="D37" s="23" t="s">
        <v>5230</v>
      </c>
      <c r="E37" s="23" t="s">
        <v>3835</v>
      </c>
      <c r="F37" s="23" t="s">
        <v>40</v>
      </c>
      <c r="G37" s="23" t="s">
        <v>5231</v>
      </c>
      <c r="H37" s="23" t="s">
        <v>5232</v>
      </c>
      <c r="I37" s="23" t="s">
        <v>5233</v>
      </c>
      <c r="J37" s="23" t="s">
        <v>385</v>
      </c>
      <c r="K37" s="32" t="s">
        <v>747</v>
      </c>
      <c r="L37" s="23" t="s">
        <v>490</v>
      </c>
      <c r="M37" s="25" t="s">
        <v>18</v>
      </c>
      <c r="N37" s="23" t="s">
        <v>40</v>
      </c>
      <c r="O37" s="23" t="s">
        <v>387</v>
      </c>
      <c r="P37" s="23" t="s">
        <v>40</v>
      </c>
      <c r="Q37" s="23" t="s">
        <v>40</v>
      </c>
      <c r="R37" s="23" t="s">
        <v>150</v>
      </c>
      <c r="S37" s="23" t="s">
        <v>40</v>
      </c>
      <c r="T37" s="23" t="s">
        <v>5234</v>
      </c>
    </row>
    <row r="38" spans="1:20" x14ac:dyDescent="0.25">
      <c r="A38" s="23" t="s">
        <v>5235</v>
      </c>
      <c r="B38" s="23" t="s">
        <v>149</v>
      </c>
      <c r="C38" s="23" t="s">
        <v>5229</v>
      </c>
      <c r="D38" s="23" t="s">
        <v>5236</v>
      </c>
      <c r="E38" s="23" t="s">
        <v>3835</v>
      </c>
      <c r="F38" s="23" t="s">
        <v>40</v>
      </c>
      <c r="G38" s="23" t="s">
        <v>5237</v>
      </c>
      <c r="H38" s="23" t="s">
        <v>5238</v>
      </c>
      <c r="I38" s="23" t="s">
        <v>5239</v>
      </c>
      <c r="J38" s="23" t="s">
        <v>403</v>
      </c>
      <c r="K38" s="32" t="s">
        <v>747</v>
      </c>
      <c r="L38" s="23" t="s">
        <v>490</v>
      </c>
      <c r="M38" s="25" t="s">
        <v>18</v>
      </c>
      <c r="N38" s="23" t="s">
        <v>40</v>
      </c>
      <c r="O38" s="23" t="s">
        <v>387</v>
      </c>
      <c r="P38" s="23" t="s">
        <v>40</v>
      </c>
      <c r="Q38" s="23" t="s">
        <v>40</v>
      </c>
      <c r="R38" s="23" t="s">
        <v>150</v>
      </c>
      <c r="S38" s="23" t="s">
        <v>40</v>
      </c>
      <c r="T38" s="23" t="s">
        <v>40</v>
      </c>
    </row>
    <row r="39" spans="1:20" x14ac:dyDescent="0.25">
      <c r="A39" s="23" t="s">
        <v>5240</v>
      </c>
      <c r="B39" s="23" t="s">
        <v>149</v>
      </c>
      <c r="C39" s="23" t="s">
        <v>525</v>
      </c>
      <c r="D39" s="23" t="s">
        <v>5241</v>
      </c>
      <c r="E39" s="23" t="s">
        <v>5242</v>
      </c>
      <c r="F39" s="23" t="s">
        <v>40</v>
      </c>
      <c r="G39" s="23" t="s">
        <v>5243</v>
      </c>
      <c r="H39" s="23" t="s">
        <v>5244</v>
      </c>
      <c r="I39" s="23" t="s">
        <v>5245</v>
      </c>
      <c r="J39" s="23" t="s">
        <v>525</v>
      </c>
      <c r="K39" s="24" t="s">
        <v>386</v>
      </c>
      <c r="L39" s="23" t="s">
        <v>13</v>
      </c>
      <c r="M39" s="25" t="s">
        <v>18</v>
      </c>
      <c r="N39" s="23" t="s">
        <v>40</v>
      </c>
      <c r="O39" s="23" t="s">
        <v>387</v>
      </c>
      <c r="P39" s="23" t="s">
        <v>40</v>
      </c>
      <c r="Q39" s="23" t="s">
        <v>40</v>
      </c>
      <c r="R39" s="23" t="s">
        <v>150</v>
      </c>
      <c r="S39" s="23" t="s">
        <v>40</v>
      </c>
      <c r="T39" s="23" t="s">
        <v>5246</v>
      </c>
    </row>
    <row r="40" spans="1:20" x14ac:dyDescent="0.25">
      <c r="A40" s="23" t="s">
        <v>5247</v>
      </c>
      <c r="B40" s="23" t="s">
        <v>149</v>
      </c>
      <c r="C40" s="23" t="s">
        <v>525</v>
      </c>
      <c r="D40" s="23" t="s">
        <v>5248</v>
      </c>
      <c r="E40" s="23" t="s">
        <v>5249</v>
      </c>
      <c r="F40" s="23" t="s">
        <v>40</v>
      </c>
      <c r="G40" s="23" t="s">
        <v>5250</v>
      </c>
      <c r="H40" s="23" t="s">
        <v>5251</v>
      </c>
      <c r="I40" s="23" t="s">
        <v>5252</v>
      </c>
      <c r="J40" s="23" t="s">
        <v>395</v>
      </c>
      <c r="K40" s="24" t="s">
        <v>386</v>
      </c>
      <c r="L40" s="23" t="s">
        <v>405</v>
      </c>
      <c r="M40" s="25" t="s">
        <v>18</v>
      </c>
      <c r="N40" s="23" t="s">
        <v>40</v>
      </c>
      <c r="O40" s="23" t="s">
        <v>387</v>
      </c>
      <c r="P40" s="23" t="s">
        <v>40</v>
      </c>
      <c r="Q40" s="23" t="s">
        <v>40</v>
      </c>
      <c r="R40" s="23" t="s">
        <v>150</v>
      </c>
      <c r="S40" s="23" t="s">
        <v>40</v>
      </c>
      <c r="T40" s="23" t="s">
        <v>40</v>
      </c>
    </row>
    <row r="41" spans="1:20" x14ac:dyDescent="0.25">
      <c r="A41" s="23" t="s">
        <v>5253</v>
      </c>
      <c r="B41" s="23" t="s">
        <v>152</v>
      </c>
      <c r="C41" s="23" t="s">
        <v>944</v>
      </c>
      <c r="D41" s="23" t="s">
        <v>5254</v>
      </c>
      <c r="E41" s="23" t="s">
        <v>3835</v>
      </c>
      <c r="F41" s="23" t="s">
        <v>40</v>
      </c>
      <c r="G41" s="23" t="s">
        <v>5255</v>
      </c>
      <c r="H41" s="23" t="s">
        <v>5256</v>
      </c>
      <c r="I41" s="23" t="s">
        <v>5257</v>
      </c>
      <c r="J41" s="23" t="s">
        <v>385</v>
      </c>
      <c r="K41" s="24" t="s">
        <v>386</v>
      </c>
      <c r="L41" s="23" t="s">
        <v>13</v>
      </c>
      <c r="M41" s="31" t="s">
        <v>17</v>
      </c>
      <c r="N41" s="23" t="s">
        <v>5258</v>
      </c>
      <c r="O41" s="29" t="s">
        <v>87</v>
      </c>
      <c r="P41" s="23" t="s">
        <v>40</v>
      </c>
      <c r="Q41" s="23" t="s">
        <v>40</v>
      </c>
      <c r="R41" s="23" t="s">
        <v>153</v>
      </c>
      <c r="S41" s="23" t="s">
        <v>40</v>
      </c>
      <c r="T41" s="23" t="s">
        <v>40</v>
      </c>
    </row>
    <row r="42" spans="1:20" x14ac:dyDescent="0.25">
      <c r="A42" s="23" t="s">
        <v>5259</v>
      </c>
      <c r="B42" s="23" t="s">
        <v>152</v>
      </c>
      <c r="C42" s="23" t="s">
        <v>5260</v>
      </c>
      <c r="D42" s="23" t="s">
        <v>5261</v>
      </c>
      <c r="E42" s="23" t="s">
        <v>5262</v>
      </c>
      <c r="F42" s="23" t="s">
        <v>5263</v>
      </c>
      <c r="G42" s="23" t="s">
        <v>5264</v>
      </c>
      <c r="H42" s="23" t="s">
        <v>5265</v>
      </c>
      <c r="I42" s="23" t="s">
        <v>5266</v>
      </c>
      <c r="J42" s="23" t="s">
        <v>14</v>
      </c>
      <c r="K42" s="26" t="s">
        <v>396</v>
      </c>
      <c r="L42" s="23" t="s">
        <v>13</v>
      </c>
      <c r="M42" s="25" t="s">
        <v>18</v>
      </c>
      <c r="N42" s="23" t="s">
        <v>40</v>
      </c>
      <c r="O42" s="23" t="s">
        <v>387</v>
      </c>
      <c r="P42" s="23" t="s">
        <v>40</v>
      </c>
      <c r="Q42" s="23" t="s">
        <v>40</v>
      </c>
      <c r="R42" s="23" t="s">
        <v>153</v>
      </c>
      <c r="S42" s="23" t="s">
        <v>5267</v>
      </c>
      <c r="T42" s="23" t="s">
        <v>5268</v>
      </c>
    </row>
    <row r="43" spans="1:20" x14ac:dyDescent="0.25">
      <c r="A43" s="23" t="s">
        <v>5269</v>
      </c>
      <c r="B43" s="23" t="s">
        <v>152</v>
      </c>
      <c r="C43" s="23" t="s">
        <v>5260</v>
      </c>
      <c r="D43" s="23" t="s">
        <v>5270</v>
      </c>
      <c r="E43" s="23" t="s">
        <v>5271</v>
      </c>
      <c r="F43" s="23" t="s">
        <v>40</v>
      </c>
      <c r="G43" s="23" t="s">
        <v>5272</v>
      </c>
      <c r="H43" s="23" t="s">
        <v>5273</v>
      </c>
      <c r="I43" s="23" t="s">
        <v>5274</v>
      </c>
      <c r="J43" s="23" t="s">
        <v>801</v>
      </c>
      <c r="K43" s="26" t="s">
        <v>396</v>
      </c>
      <c r="L43" s="23" t="s">
        <v>13</v>
      </c>
      <c r="M43" s="25" t="s">
        <v>18</v>
      </c>
      <c r="N43" s="23" t="s">
        <v>40</v>
      </c>
      <c r="O43" s="23" t="s">
        <v>387</v>
      </c>
      <c r="P43" s="23" t="s">
        <v>40</v>
      </c>
      <c r="Q43" s="23" t="s">
        <v>40</v>
      </c>
      <c r="R43" s="23" t="s">
        <v>153</v>
      </c>
      <c r="S43" s="23" t="s">
        <v>40</v>
      </c>
      <c r="T43" s="23" t="s">
        <v>5275</v>
      </c>
    </row>
    <row r="44" spans="1:20" x14ac:dyDescent="0.25">
      <c r="A44" s="23" t="s">
        <v>5276</v>
      </c>
      <c r="B44" s="23" t="s">
        <v>152</v>
      </c>
      <c r="C44" s="23" t="s">
        <v>5260</v>
      </c>
      <c r="D44" s="23" t="s">
        <v>5277</v>
      </c>
      <c r="E44" s="23" t="s">
        <v>5278</v>
      </c>
      <c r="F44" s="23" t="s">
        <v>5279</v>
      </c>
      <c r="G44" s="23" t="s">
        <v>5280</v>
      </c>
      <c r="H44" s="23" t="s">
        <v>5281</v>
      </c>
      <c r="I44" s="23" t="s">
        <v>5282</v>
      </c>
      <c r="J44" s="23" t="s">
        <v>14</v>
      </c>
      <c r="K44" s="26" t="s">
        <v>396</v>
      </c>
      <c r="L44" s="23" t="s">
        <v>13</v>
      </c>
      <c r="M44" s="25" t="s">
        <v>18</v>
      </c>
      <c r="N44" s="23" t="s">
        <v>40</v>
      </c>
      <c r="O44" s="23" t="s">
        <v>387</v>
      </c>
      <c r="P44" s="23" t="s">
        <v>40</v>
      </c>
      <c r="Q44" s="23" t="s">
        <v>40</v>
      </c>
      <c r="R44" s="23" t="s">
        <v>153</v>
      </c>
      <c r="S44" s="23" t="s">
        <v>5283</v>
      </c>
      <c r="T44" s="23" t="s">
        <v>5284</v>
      </c>
    </row>
    <row r="45" spans="1:20" x14ac:dyDescent="0.25">
      <c r="A45" s="23" t="s">
        <v>5285</v>
      </c>
      <c r="B45" s="23" t="s">
        <v>152</v>
      </c>
      <c r="C45" s="23" t="s">
        <v>5260</v>
      </c>
      <c r="D45" s="23" t="s">
        <v>5286</v>
      </c>
      <c r="E45" s="23" t="s">
        <v>5287</v>
      </c>
      <c r="F45" s="23" t="s">
        <v>5288</v>
      </c>
      <c r="G45" s="23" t="s">
        <v>5289</v>
      </c>
      <c r="H45" s="23" t="s">
        <v>5290</v>
      </c>
      <c r="I45" s="23" t="s">
        <v>5291</v>
      </c>
      <c r="J45" s="23" t="s">
        <v>14</v>
      </c>
      <c r="K45" s="26" t="s">
        <v>396</v>
      </c>
      <c r="L45" s="23" t="s">
        <v>13</v>
      </c>
      <c r="M45" s="25" t="s">
        <v>18</v>
      </c>
      <c r="N45" s="23" t="s">
        <v>40</v>
      </c>
      <c r="O45" s="23" t="s">
        <v>387</v>
      </c>
      <c r="P45" s="23" t="s">
        <v>40</v>
      </c>
      <c r="Q45" s="23" t="s">
        <v>40</v>
      </c>
      <c r="R45" s="23" t="s">
        <v>153</v>
      </c>
      <c r="S45" s="23" t="s">
        <v>5267</v>
      </c>
      <c r="T45" s="23" t="s">
        <v>5292</v>
      </c>
    </row>
    <row r="46" spans="1:20" x14ac:dyDescent="0.25">
      <c r="A46" s="23" t="s">
        <v>5293</v>
      </c>
      <c r="B46" s="23" t="s">
        <v>152</v>
      </c>
      <c r="C46" s="23" t="s">
        <v>5260</v>
      </c>
      <c r="D46" s="23" t="s">
        <v>5294</v>
      </c>
      <c r="E46" s="23" t="s">
        <v>5295</v>
      </c>
      <c r="F46" s="23" t="s">
        <v>40</v>
      </c>
      <c r="G46" s="23" t="s">
        <v>5296</v>
      </c>
      <c r="H46" s="23" t="s">
        <v>5297</v>
      </c>
      <c r="I46" s="23" t="s">
        <v>5298</v>
      </c>
      <c r="J46" s="23" t="s">
        <v>801</v>
      </c>
      <c r="K46" s="26" t="s">
        <v>396</v>
      </c>
      <c r="L46" s="23" t="s">
        <v>13</v>
      </c>
      <c r="M46" s="25" t="s">
        <v>18</v>
      </c>
      <c r="N46" s="23" t="s">
        <v>40</v>
      </c>
      <c r="O46" s="23" t="s">
        <v>387</v>
      </c>
      <c r="P46" s="23" t="s">
        <v>40</v>
      </c>
      <c r="Q46" s="23" t="s">
        <v>40</v>
      </c>
      <c r="R46" s="23" t="s">
        <v>153</v>
      </c>
      <c r="S46" s="23" t="s">
        <v>40</v>
      </c>
      <c r="T46" s="23" t="s">
        <v>5299</v>
      </c>
    </row>
    <row r="47" spans="1:20" x14ac:dyDescent="0.25">
      <c r="A47" s="23" t="s">
        <v>5300</v>
      </c>
      <c r="B47" s="23" t="s">
        <v>152</v>
      </c>
      <c r="C47" s="23" t="s">
        <v>5301</v>
      </c>
      <c r="D47" s="23" t="s">
        <v>5302</v>
      </c>
      <c r="E47" s="23" t="s">
        <v>3835</v>
      </c>
      <c r="F47" s="23" t="s">
        <v>40</v>
      </c>
      <c r="G47" s="23" t="s">
        <v>5303</v>
      </c>
      <c r="H47" s="23" t="s">
        <v>5304</v>
      </c>
      <c r="I47" s="23" t="s">
        <v>5305</v>
      </c>
      <c r="J47" s="23" t="s">
        <v>466</v>
      </c>
      <c r="K47" s="24" t="s">
        <v>386</v>
      </c>
      <c r="L47" s="23" t="s">
        <v>13</v>
      </c>
      <c r="M47" s="25" t="s">
        <v>18</v>
      </c>
      <c r="N47" s="23" t="s">
        <v>40</v>
      </c>
      <c r="O47" s="23" t="s">
        <v>387</v>
      </c>
      <c r="P47" s="23" t="s">
        <v>40</v>
      </c>
      <c r="Q47" s="23" t="s">
        <v>40</v>
      </c>
      <c r="R47" s="23" t="s">
        <v>153</v>
      </c>
      <c r="S47" s="23" t="s">
        <v>40</v>
      </c>
      <c r="T47" s="23" t="s">
        <v>5068</v>
      </c>
    </row>
    <row r="48" spans="1:20" x14ac:dyDescent="0.25">
      <c r="A48" s="23" t="s">
        <v>5306</v>
      </c>
      <c r="B48" s="23" t="s">
        <v>152</v>
      </c>
      <c r="C48" s="23" t="s">
        <v>5301</v>
      </c>
      <c r="D48" s="23" t="s">
        <v>5307</v>
      </c>
      <c r="E48" s="23" t="s">
        <v>3835</v>
      </c>
      <c r="F48" s="23" t="s">
        <v>40</v>
      </c>
      <c r="G48" s="23" t="s">
        <v>5308</v>
      </c>
      <c r="H48" s="23" t="s">
        <v>5309</v>
      </c>
      <c r="I48" s="23" t="s">
        <v>5310</v>
      </c>
      <c r="J48" s="23" t="s">
        <v>466</v>
      </c>
      <c r="K48" s="24" t="s">
        <v>386</v>
      </c>
      <c r="L48" s="23" t="s">
        <v>13</v>
      </c>
      <c r="M48" s="25" t="s">
        <v>18</v>
      </c>
      <c r="N48" s="23" t="s">
        <v>40</v>
      </c>
      <c r="O48" s="23" t="s">
        <v>387</v>
      </c>
      <c r="P48" s="23" t="s">
        <v>40</v>
      </c>
      <c r="Q48" s="23" t="s">
        <v>40</v>
      </c>
      <c r="R48" s="23" t="s">
        <v>153</v>
      </c>
      <c r="S48" s="23" t="s">
        <v>40</v>
      </c>
      <c r="T48" s="23" t="s">
        <v>5068</v>
      </c>
    </row>
    <row r="49" spans="1:20" x14ac:dyDescent="0.25">
      <c r="A49" s="23" t="s">
        <v>5311</v>
      </c>
      <c r="B49" s="23" t="s">
        <v>152</v>
      </c>
      <c r="C49" s="23" t="s">
        <v>5301</v>
      </c>
      <c r="D49" s="23" t="s">
        <v>5312</v>
      </c>
      <c r="E49" s="23" t="s">
        <v>3835</v>
      </c>
      <c r="F49" s="23" t="s">
        <v>40</v>
      </c>
      <c r="G49" s="23" t="s">
        <v>5313</v>
      </c>
      <c r="H49" s="23" t="s">
        <v>5314</v>
      </c>
      <c r="I49" s="23" t="s">
        <v>5315</v>
      </c>
      <c r="J49" s="23" t="s">
        <v>466</v>
      </c>
      <c r="K49" s="24" t="s">
        <v>386</v>
      </c>
      <c r="L49" s="23" t="s">
        <v>13</v>
      </c>
      <c r="M49" s="25" t="s">
        <v>18</v>
      </c>
      <c r="N49" s="23" t="s">
        <v>40</v>
      </c>
      <c r="O49" s="23" t="s">
        <v>387</v>
      </c>
      <c r="P49" s="23" t="s">
        <v>40</v>
      </c>
      <c r="Q49" s="23" t="s">
        <v>40</v>
      </c>
      <c r="R49" s="23" t="s">
        <v>153</v>
      </c>
      <c r="S49" s="23" t="s">
        <v>40</v>
      </c>
      <c r="T49" s="23" t="s">
        <v>5068</v>
      </c>
    </row>
    <row r="50" spans="1:20" x14ac:dyDescent="0.25">
      <c r="A50" s="23" t="s">
        <v>5316</v>
      </c>
      <c r="B50" s="23" t="s">
        <v>152</v>
      </c>
      <c r="C50" s="23" t="s">
        <v>5301</v>
      </c>
      <c r="D50" s="23" t="s">
        <v>5317</v>
      </c>
      <c r="E50" s="23" t="s">
        <v>3835</v>
      </c>
      <c r="F50" s="23" t="s">
        <v>40</v>
      </c>
      <c r="G50" s="23" t="s">
        <v>5318</v>
      </c>
      <c r="H50" s="23" t="s">
        <v>5319</v>
      </c>
      <c r="I50" s="23" t="s">
        <v>5320</v>
      </c>
      <c r="J50" s="23" t="s">
        <v>385</v>
      </c>
      <c r="K50" s="32" t="s">
        <v>747</v>
      </c>
      <c r="L50" s="23" t="s">
        <v>490</v>
      </c>
      <c r="M50" s="25" t="s">
        <v>18</v>
      </c>
      <c r="N50" s="23" t="s">
        <v>40</v>
      </c>
      <c r="O50" s="23" t="s">
        <v>387</v>
      </c>
      <c r="P50" s="23" t="s">
        <v>40</v>
      </c>
      <c r="Q50" s="23" t="s">
        <v>40</v>
      </c>
      <c r="R50" s="23" t="s">
        <v>153</v>
      </c>
      <c r="S50" s="23" t="s">
        <v>40</v>
      </c>
      <c r="T50" s="23" t="s">
        <v>40</v>
      </c>
    </row>
    <row r="51" spans="1:20" x14ac:dyDescent="0.25">
      <c r="A51" s="23" t="s">
        <v>5321</v>
      </c>
      <c r="B51" s="23" t="s">
        <v>152</v>
      </c>
      <c r="C51" s="23" t="s">
        <v>5301</v>
      </c>
      <c r="D51" s="23" t="s">
        <v>5322</v>
      </c>
      <c r="E51" s="23" t="s">
        <v>5323</v>
      </c>
      <c r="F51" s="23" t="s">
        <v>40</v>
      </c>
      <c r="G51" s="23" t="s">
        <v>5324</v>
      </c>
      <c r="H51" s="23" t="s">
        <v>5325</v>
      </c>
      <c r="I51" s="23" t="s">
        <v>5326</v>
      </c>
      <c r="J51" s="23" t="s">
        <v>15</v>
      </c>
      <c r="K51" s="24" t="s">
        <v>386</v>
      </c>
      <c r="L51" s="23" t="s">
        <v>13</v>
      </c>
      <c r="M51" s="25" t="s">
        <v>18</v>
      </c>
      <c r="N51" s="23" t="s">
        <v>40</v>
      </c>
      <c r="O51" s="23" t="s">
        <v>387</v>
      </c>
      <c r="P51" s="23" t="s">
        <v>40</v>
      </c>
      <c r="Q51" s="23" t="s">
        <v>40</v>
      </c>
      <c r="R51" s="23" t="s">
        <v>153</v>
      </c>
      <c r="S51" s="23" t="s">
        <v>40</v>
      </c>
      <c r="T51" s="23" t="s">
        <v>5327</v>
      </c>
    </row>
    <row r="52" spans="1:20" x14ac:dyDescent="0.25">
      <c r="A52" s="23" t="s">
        <v>5328</v>
      </c>
      <c r="B52" s="23" t="s">
        <v>152</v>
      </c>
      <c r="C52" s="23" t="s">
        <v>5301</v>
      </c>
      <c r="D52" s="23" t="s">
        <v>5329</v>
      </c>
      <c r="E52" s="23" t="s">
        <v>5330</v>
      </c>
      <c r="F52" s="23" t="s">
        <v>40</v>
      </c>
      <c r="G52" s="23" t="s">
        <v>5331</v>
      </c>
      <c r="H52" s="23" t="s">
        <v>5332</v>
      </c>
      <c r="I52" s="23" t="s">
        <v>5333</v>
      </c>
      <c r="J52" s="23" t="s">
        <v>15</v>
      </c>
      <c r="K52" s="27" t="s">
        <v>404</v>
      </c>
      <c r="L52" s="23" t="s">
        <v>405</v>
      </c>
      <c r="M52" s="25" t="s">
        <v>18</v>
      </c>
      <c r="N52" s="23" t="s">
        <v>40</v>
      </c>
      <c r="O52" s="23" t="s">
        <v>387</v>
      </c>
      <c r="P52" s="23" t="s">
        <v>40</v>
      </c>
      <c r="Q52" s="23" t="s">
        <v>40</v>
      </c>
      <c r="R52" s="23" t="s">
        <v>153</v>
      </c>
      <c r="S52" s="23" t="s">
        <v>40</v>
      </c>
      <c r="T52" s="23" t="s">
        <v>5068</v>
      </c>
    </row>
    <row r="53" spans="1:20" x14ac:dyDescent="0.25">
      <c r="A53" s="23" t="s">
        <v>5334</v>
      </c>
      <c r="B53" s="23" t="s">
        <v>152</v>
      </c>
      <c r="C53" s="23" t="s">
        <v>5335</v>
      </c>
      <c r="D53" s="23" t="s">
        <v>5336</v>
      </c>
      <c r="E53" s="23" t="s">
        <v>5337</v>
      </c>
      <c r="F53" s="23" t="s">
        <v>40</v>
      </c>
      <c r="G53" s="23" t="s">
        <v>5338</v>
      </c>
      <c r="H53" s="23" t="s">
        <v>5339</v>
      </c>
      <c r="I53" s="23" t="s">
        <v>5340</v>
      </c>
      <c r="J53" s="23" t="s">
        <v>14</v>
      </c>
      <c r="K53" s="26" t="s">
        <v>396</v>
      </c>
      <c r="L53" s="23" t="s">
        <v>13</v>
      </c>
      <c r="M53" s="25" t="s">
        <v>18</v>
      </c>
      <c r="N53" s="23" t="s">
        <v>40</v>
      </c>
      <c r="O53" s="23" t="s">
        <v>387</v>
      </c>
      <c r="P53" s="23" t="s">
        <v>40</v>
      </c>
      <c r="Q53" s="23" t="s">
        <v>40</v>
      </c>
      <c r="R53" s="23" t="s">
        <v>153</v>
      </c>
      <c r="S53" s="23" t="s">
        <v>40</v>
      </c>
      <c r="T53" s="23" t="s">
        <v>2178</v>
      </c>
    </row>
    <row r="54" spans="1:20" x14ac:dyDescent="0.25">
      <c r="A54" s="23" t="s">
        <v>5341</v>
      </c>
      <c r="B54" s="23" t="s">
        <v>152</v>
      </c>
      <c r="C54" s="23" t="s">
        <v>5335</v>
      </c>
      <c r="D54" s="23" t="s">
        <v>5342</v>
      </c>
      <c r="E54" s="23" t="s">
        <v>5343</v>
      </c>
      <c r="F54" s="23" t="s">
        <v>40</v>
      </c>
      <c r="G54" s="23" t="s">
        <v>5344</v>
      </c>
      <c r="H54" s="23" t="s">
        <v>5345</v>
      </c>
      <c r="I54" s="23" t="s">
        <v>5346</v>
      </c>
      <c r="J54" s="23" t="s">
        <v>14</v>
      </c>
      <c r="K54" s="24" t="s">
        <v>386</v>
      </c>
      <c r="L54" s="23" t="s">
        <v>405</v>
      </c>
      <c r="M54" s="25" t="s">
        <v>18</v>
      </c>
      <c r="N54" s="23" t="s">
        <v>40</v>
      </c>
      <c r="O54" s="23" t="s">
        <v>387</v>
      </c>
      <c r="P54" s="23" t="s">
        <v>40</v>
      </c>
      <c r="Q54" s="23" t="s">
        <v>40</v>
      </c>
      <c r="R54" s="23" t="s">
        <v>153</v>
      </c>
      <c r="S54" s="23" t="s">
        <v>40</v>
      </c>
      <c r="T54" s="23" t="s">
        <v>40</v>
      </c>
    </row>
    <row r="55" spans="1:20" x14ac:dyDescent="0.25">
      <c r="A55" s="23" t="s">
        <v>5347</v>
      </c>
      <c r="B55" s="23" t="s">
        <v>152</v>
      </c>
      <c r="C55" s="23" t="s">
        <v>5335</v>
      </c>
      <c r="D55" s="23" t="s">
        <v>5348</v>
      </c>
      <c r="E55" s="23" t="s">
        <v>5349</v>
      </c>
      <c r="F55" s="23" t="s">
        <v>40</v>
      </c>
      <c r="G55" s="23" t="s">
        <v>5350</v>
      </c>
      <c r="H55" s="23" t="s">
        <v>5351</v>
      </c>
      <c r="I55" s="23" t="s">
        <v>5352</v>
      </c>
      <c r="J55" s="23" t="s">
        <v>801</v>
      </c>
      <c r="K55" s="24" t="s">
        <v>386</v>
      </c>
      <c r="L55" s="23" t="s">
        <v>405</v>
      </c>
      <c r="M55" s="25" t="s">
        <v>18</v>
      </c>
      <c r="N55" s="23" t="s">
        <v>40</v>
      </c>
      <c r="O55" s="23" t="s">
        <v>387</v>
      </c>
      <c r="P55" s="23" t="s">
        <v>40</v>
      </c>
      <c r="Q55" s="23" t="s">
        <v>40</v>
      </c>
      <c r="R55" s="23" t="s">
        <v>153</v>
      </c>
      <c r="S55" s="23" t="s">
        <v>40</v>
      </c>
      <c r="T55" s="23" t="s">
        <v>5353</v>
      </c>
    </row>
    <row r="56" spans="1:20" x14ac:dyDescent="0.25">
      <c r="A56" s="23" t="s">
        <v>5354</v>
      </c>
      <c r="B56" s="23" t="s">
        <v>152</v>
      </c>
      <c r="C56" s="23" t="s">
        <v>5335</v>
      </c>
      <c r="D56" s="23" t="s">
        <v>5355</v>
      </c>
      <c r="E56" s="23" t="s">
        <v>5356</v>
      </c>
      <c r="F56" s="23" t="s">
        <v>40</v>
      </c>
      <c r="G56" s="23" t="s">
        <v>5357</v>
      </c>
      <c r="H56" s="23" t="s">
        <v>5358</v>
      </c>
      <c r="I56" s="23" t="s">
        <v>5359</v>
      </c>
      <c r="J56" s="23" t="s">
        <v>14</v>
      </c>
      <c r="K56" s="24" t="s">
        <v>386</v>
      </c>
      <c r="L56" s="23" t="s">
        <v>405</v>
      </c>
      <c r="M56" s="25" t="s">
        <v>18</v>
      </c>
      <c r="N56" s="23" t="s">
        <v>40</v>
      </c>
      <c r="O56" s="23" t="s">
        <v>387</v>
      </c>
      <c r="P56" s="23" t="s">
        <v>40</v>
      </c>
      <c r="Q56" s="23" t="s">
        <v>40</v>
      </c>
      <c r="R56" s="23" t="s">
        <v>153</v>
      </c>
      <c r="S56" s="23" t="s">
        <v>40</v>
      </c>
      <c r="T56" s="23" t="s">
        <v>5234</v>
      </c>
    </row>
    <row r="57" spans="1:20" x14ac:dyDescent="0.25">
      <c r="A57" s="23" t="s">
        <v>5360</v>
      </c>
      <c r="B57" s="23" t="s">
        <v>152</v>
      </c>
      <c r="C57" s="23" t="s">
        <v>5361</v>
      </c>
      <c r="D57" s="23" t="s">
        <v>5362</v>
      </c>
      <c r="E57" s="23" t="s">
        <v>5363</v>
      </c>
      <c r="F57" s="23" t="s">
        <v>40</v>
      </c>
      <c r="G57" s="23" t="s">
        <v>5364</v>
      </c>
      <c r="H57" s="23" t="s">
        <v>5365</v>
      </c>
      <c r="I57" s="23" t="s">
        <v>5366</v>
      </c>
      <c r="J57" s="23" t="s">
        <v>14</v>
      </c>
      <c r="K57" s="24" t="s">
        <v>386</v>
      </c>
      <c r="L57" s="23" t="s">
        <v>405</v>
      </c>
      <c r="M57" s="25" t="s">
        <v>18</v>
      </c>
      <c r="N57" s="23" t="s">
        <v>40</v>
      </c>
      <c r="O57" s="23" t="s">
        <v>387</v>
      </c>
      <c r="P57" s="23" t="s">
        <v>40</v>
      </c>
      <c r="Q57" s="23" t="s">
        <v>40</v>
      </c>
      <c r="R57" s="23" t="s">
        <v>153</v>
      </c>
      <c r="S57" s="23" t="s">
        <v>40</v>
      </c>
      <c r="T57" s="23" t="s">
        <v>5367</v>
      </c>
    </row>
    <row r="58" spans="1:20" x14ac:dyDescent="0.25">
      <c r="A58" s="23" t="s">
        <v>5368</v>
      </c>
      <c r="B58" s="23" t="s">
        <v>152</v>
      </c>
      <c r="C58" s="23" t="s">
        <v>5361</v>
      </c>
      <c r="D58" s="23" t="s">
        <v>5369</v>
      </c>
      <c r="E58" s="23" t="s">
        <v>3835</v>
      </c>
      <c r="F58" s="23" t="s">
        <v>5370</v>
      </c>
      <c r="G58" s="23" t="s">
        <v>5371</v>
      </c>
      <c r="H58" s="23" t="s">
        <v>5372</v>
      </c>
      <c r="I58" s="23" t="s">
        <v>5373</v>
      </c>
      <c r="J58" s="23" t="s">
        <v>14</v>
      </c>
      <c r="K58" s="27" t="s">
        <v>404</v>
      </c>
      <c r="L58" s="23" t="s">
        <v>490</v>
      </c>
      <c r="M58" s="25" t="s">
        <v>18</v>
      </c>
      <c r="N58" s="23" t="s">
        <v>40</v>
      </c>
      <c r="O58" s="23" t="s">
        <v>387</v>
      </c>
      <c r="P58" s="23" t="s">
        <v>40</v>
      </c>
      <c r="Q58" s="23" t="s">
        <v>40</v>
      </c>
      <c r="R58" s="23" t="s">
        <v>153</v>
      </c>
      <c r="S58" s="23" t="s">
        <v>40</v>
      </c>
      <c r="T58" s="23" t="s">
        <v>40</v>
      </c>
    </row>
    <row r="59" spans="1:20" x14ac:dyDescent="0.25">
      <c r="A59" s="23" t="s">
        <v>5374</v>
      </c>
      <c r="B59" s="23" t="s">
        <v>152</v>
      </c>
      <c r="C59" s="23" t="s">
        <v>5361</v>
      </c>
      <c r="D59" s="23" t="s">
        <v>5375</v>
      </c>
      <c r="E59" s="23" t="s">
        <v>3835</v>
      </c>
      <c r="F59" s="23" t="s">
        <v>40</v>
      </c>
      <c r="G59" s="23" t="s">
        <v>5376</v>
      </c>
      <c r="H59" s="23" t="s">
        <v>5377</v>
      </c>
      <c r="I59" s="23" t="s">
        <v>5378</v>
      </c>
      <c r="J59" s="23" t="s">
        <v>14</v>
      </c>
      <c r="K59" s="24" t="s">
        <v>386</v>
      </c>
      <c r="L59" s="23" t="s">
        <v>405</v>
      </c>
      <c r="M59" s="25" t="s">
        <v>18</v>
      </c>
      <c r="N59" s="23" t="s">
        <v>40</v>
      </c>
      <c r="O59" s="23" t="s">
        <v>387</v>
      </c>
      <c r="P59" s="23" t="s">
        <v>40</v>
      </c>
      <c r="Q59" s="23" t="s">
        <v>40</v>
      </c>
      <c r="R59" s="23" t="s">
        <v>153</v>
      </c>
      <c r="S59" s="23" t="s">
        <v>40</v>
      </c>
      <c r="T59" s="23" t="s">
        <v>5367</v>
      </c>
    </row>
    <row r="60" spans="1:20" x14ac:dyDescent="0.25">
      <c r="A60" s="23" t="s">
        <v>5379</v>
      </c>
      <c r="B60" s="23" t="s">
        <v>152</v>
      </c>
      <c r="C60" s="23" t="s">
        <v>5361</v>
      </c>
      <c r="D60" s="23" t="s">
        <v>5380</v>
      </c>
      <c r="E60" s="23" t="s">
        <v>5381</v>
      </c>
      <c r="F60" s="23" t="s">
        <v>40</v>
      </c>
      <c r="G60" s="23" t="s">
        <v>5382</v>
      </c>
      <c r="H60" s="23" t="s">
        <v>5383</v>
      </c>
      <c r="I60" s="23" t="s">
        <v>5384</v>
      </c>
      <c r="J60" s="23" t="s">
        <v>385</v>
      </c>
      <c r="K60" s="27" t="s">
        <v>404</v>
      </c>
      <c r="L60" s="23" t="s">
        <v>405</v>
      </c>
      <c r="M60" s="25" t="s">
        <v>18</v>
      </c>
      <c r="N60" s="23" t="s">
        <v>40</v>
      </c>
      <c r="O60" s="23" t="s">
        <v>387</v>
      </c>
      <c r="P60" s="23" t="s">
        <v>40</v>
      </c>
      <c r="Q60" s="23" t="s">
        <v>40</v>
      </c>
      <c r="R60" s="23" t="s">
        <v>153</v>
      </c>
      <c r="S60" s="23" t="s">
        <v>40</v>
      </c>
      <c r="T60" s="23" t="s">
        <v>5367</v>
      </c>
    </row>
    <row r="61" spans="1:20" x14ac:dyDescent="0.25">
      <c r="A61" s="23" t="s">
        <v>5385</v>
      </c>
      <c r="B61" s="23" t="s">
        <v>152</v>
      </c>
      <c r="C61" s="23" t="s">
        <v>5361</v>
      </c>
      <c r="D61" s="23" t="s">
        <v>5386</v>
      </c>
      <c r="E61" s="23" t="s">
        <v>3835</v>
      </c>
      <c r="F61" s="23" t="s">
        <v>5387</v>
      </c>
      <c r="G61" s="23" t="s">
        <v>5388</v>
      </c>
      <c r="H61" s="23" t="s">
        <v>5389</v>
      </c>
      <c r="I61" s="23" t="s">
        <v>5390</v>
      </c>
      <c r="J61" s="23" t="s">
        <v>385</v>
      </c>
      <c r="K61" s="32" t="s">
        <v>747</v>
      </c>
      <c r="L61" s="23" t="s">
        <v>490</v>
      </c>
      <c r="M61" s="25" t="s">
        <v>18</v>
      </c>
      <c r="N61" s="23" t="s">
        <v>40</v>
      </c>
      <c r="O61" s="23" t="s">
        <v>387</v>
      </c>
      <c r="P61" s="23" t="s">
        <v>40</v>
      </c>
      <c r="Q61" s="23" t="s">
        <v>40</v>
      </c>
      <c r="R61" s="23" t="s">
        <v>153</v>
      </c>
      <c r="S61" s="23" t="s">
        <v>40</v>
      </c>
      <c r="T61" s="23" t="s">
        <v>40</v>
      </c>
    </row>
    <row r="62" spans="1:20" x14ac:dyDescent="0.25">
      <c r="A62" s="23" t="s">
        <v>5391</v>
      </c>
      <c r="B62" s="23" t="s">
        <v>152</v>
      </c>
      <c r="C62" s="23" t="s">
        <v>5361</v>
      </c>
      <c r="D62" s="23" t="s">
        <v>5392</v>
      </c>
      <c r="E62" s="23" t="s">
        <v>5393</v>
      </c>
      <c r="F62" s="23" t="s">
        <v>40</v>
      </c>
      <c r="G62" s="23" t="s">
        <v>5394</v>
      </c>
      <c r="H62" s="23" t="s">
        <v>5395</v>
      </c>
      <c r="I62" s="23" t="s">
        <v>5396</v>
      </c>
      <c r="J62" s="23" t="s">
        <v>15</v>
      </c>
      <c r="K62" s="24" t="s">
        <v>386</v>
      </c>
      <c r="L62" s="23" t="s">
        <v>13</v>
      </c>
      <c r="M62" s="25" t="s">
        <v>18</v>
      </c>
      <c r="N62" s="23" t="s">
        <v>40</v>
      </c>
      <c r="O62" s="23" t="s">
        <v>387</v>
      </c>
      <c r="P62" s="23" t="s">
        <v>40</v>
      </c>
      <c r="Q62" s="23" t="s">
        <v>40</v>
      </c>
      <c r="R62" s="23" t="s">
        <v>153</v>
      </c>
      <c r="S62" s="23" t="s">
        <v>5397</v>
      </c>
      <c r="T62" s="23" t="s">
        <v>5398</v>
      </c>
    </row>
    <row r="63" spans="1:20" x14ac:dyDescent="0.25">
      <c r="A63" s="23" t="s">
        <v>5399</v>
      </c>
      <c r="B63" s="23" t="s">
        <v>152</v>
      </c>
      <c r="C63" s="23" t="s">
        <v>5400</v>
      </c>
      <c r="D63" s="23" t="s">
        <v>5401</v>
      </c>
      <c r="E63" s="23" t="s">
        <v>5402</v>
      </c>
      <c r="F63" s="23" t="s">
        <v>5403</v>
      </c>
      <c r="G63" s="23" t="s">
        <v>5404</v>
      </c>
      <c r="H63" s="23" t="s">
        <v>5405</v>
      </c>
      <c r="I63" s="23" t="s">
        <v>5406</v>
      </c>
      <c r="J63" s="23" t="s">
        <v>14</v>
      </c>
      <c r="K63" s="26" t="s">
        <v>396</v>
      </c>
      <c r="L63" s="23" t="s">
        <v>13</v>
      </c>
      <c r="M63" s="25" t="s">
        <v>18</v>
      </c>
      <c r="N63" s="23" t="s">
        <v>40</v>
      </c>
      <c r="O63" s="23" t="s">
        <v>387</v>
      </c>
      <c r="P63" s="23" t="s">
        <v>40</v>
      </c>
      <c r="Q63" s="23" t="s">
        <v>40</v>
      </c>
      <c r="R63" s="23" t="s">
        <v>153</v>
      </c>
      <c r="S63" s="23" t="s">
        <v>40</v>
      </c>
      <c r="T63" s="23" t="s">
        <v>5407</v>
      </c>
    </row>
    <row r="64" spans="1:20" x14ac:dyDescent="0.25">
      <c r="A64" s="23" t="s">
        <v>5408</v>
      </c>
      <c r="B64" s="23" t="s">
        <v>152</v>
      </c>
      <c r="C64" s="23" t="s">
        <v>5400</v>
      </c>
      <c r="D64" s="23" t="s">
        <v>5409</v>
      </c>
      <c r="E64" s="23" t="s">
        <v>5410</v>
      </c>
      <c r="F64" s="23" t="s">
        <v>40</v>
      </c>
      <c r="G64" s="23" t="s">
        <v>5411</v>
      </c>
      <c r="H64" s="23" t="s">
        <v>5412</v>
      </c>
      <c r="I64" s="23" t="s">
        <v>5413</v>
      </c>
      <c r="J64" s="23" t="s">
        <v>466</v>
      </c>
      <c r="K64" s="24" t="s">
        <v>386</v>
      </c>
      <c r="L64" s="23" t="s">
        <v>13</v>
      </c>
      <c r="M64" s="25" t="s">
        <v>18</v>
      </c>
      <c r="N64" s="23" t="s">
        <v>40</v>
      </c>
      <c r="O64" s="23" t="s">
        <v>387</v>
      </c>
      <c r="P64" s="23" t="s">
        <v>40</v>
      </c>
      <c r="Q64" s="23" t="s">
        <v>40</v>
      </c>
      <c r="R64" s="23" t="s">
        <v>153</v>
      </c>
      <c r="S64" s="23" t="s">
        <v>40</v>
      </c>
      <c r="T64" s="23" t="s">
        <v>2390</v>
      </c>
    </row>
    <row r="65" spans="1:20" x14ac:dyDescent="0.25">
      <c r="A65" s="23" t="s">
        <v>5414</v>
      </c>
      <c r="B65" s="23" t="s">
        <v>152</v>
      </c>
      <c r="C65" s="23" t="s">
        <v>5400</v>
      </c>
      <c r="D65" s="23" t="s">
        <v>5415</v>
      </c>
      <c r="E65" s="23" t="s">
        <v>5416</v>
      </c>
      <c r="F65" s="23" t="s">
        <v>40</v>
      </c>
      <c r="G65" s="23" t="s">
        <v>5417</v>
      </c>
      <c r="H65" s="23" t="s">
        <v>5418</v>
      </c>
      <c r="I65" s="23" t="s">
        <v>5419</v>
      </c>
      <c r="J65" s="23" t="s">
        <v>15</v>
      </c>
      <c r="K65" s="24" t="s">
        <v>386</v>
      </c>
      <c r="L65" s="23" t="s">
        <v>13</v>
      </c>
      <c r="M65" s="25" t="s">
        <v>18</v>
      </c>
      <c r="N65" s="23" t="s">
        <v>40</v>
      </c>
      <c r="O65" s="23" t="s">
        <v>387</v>
      </c>
      <c r="P65" s="23" t="s">
        <v>40</v>
      </c>
      <c r="Q65" s="23" t="s">
        <v>40</v>
      </c>
      <c r="R65" s="23" t="s">
        <v>153</v>
      </c>
      <c r="S65" s="23" t="s">
        <v>40</v>
      </c>
      <c r="T65" s="23" t="s">
        <v>5398</v>
      </c>
    </row>
    <row r="66" spans="1:20" x14ac:dyDescent="0.25">
      <c r="A66" s="23" t="s">
        <v>5420</v>
      </c>
      <c r="B66" s="23" t="s">
        <v>152</v>
      </c>
      <c r="C66" s="23" t="s">
        <v>5400</v>
      </c>
      <c r="D66" s="23" t="s">
        <v>5421</v>
      </c>
      <c r="E66" s="23" t="s">
        <v>5422</v>
      </c>
      <c r="F66" s="23" t="s">
        <v>40</v>
      </c>
      <c r="G66" s="23" t="s">
        <v>5423</v>
      </c>
      <c r="H66" s="23" t="s">
        <v>5424</v>
      </c>
      <c r="I66" s="23" t="s">
        <v>5425</v>
      </c>
      <c r="J66" s="23" t="s">
        <v>15</v>
      </c>
      <c r="K66" s="27" t="s">
        <v>404</v>
      </c>
      <c r="L66" s="23" t="s">
        <v>405</v>
      </c>
      <c r="M66" s="25" t="s">
        <v>18</v>
      </c>
      <c r="N66" s="23" t="s">
        <v>40</v>
      </c>
      <c r="O66" s="23" t="s">
        <v>387</v>
      </c>
      <c r="P66" s="23" t="s">
        <v>40</v>
      </c>
      <c r="Q66" s="23" t="s">
        <v>40</v>
      </c>
      <c r="R66" s="23" t="s">
        <v>153</v>
      </c>
      <c r="S66" s="23" t="s">
        <v>40</v>
      </c>
      <c r="T66" s="23" t="s">
        <v>5426</v>
      </c>
    </row>
    <row r="67" spans="1:20" x14ac:dyDescent="0.25">
      <c r="A67" s="23" t="s">
        <v>5427</v>
      </c>
      <c r="B67" s="23" t="s">
        <v>152</v>
      </c>
      <c r="C67" s="23" t="s">
        <v>5400</v>
      </c>
      <c r="D67" s="23" t="s">
        <v>5428</v>
      </c>
      <c r="E67" s="23" t="s">
        <v>5429</v>
      </c>
      <c r="F67" s="23" t="s">
        <v>40</v>
      </c>
      <c r="G67" s="23" t="s">
        <v>5430</v>
      </c>
      <c r="H67" s="23" t="s">
        <v>5431</v>
      </c>
      <c r="I67" s="23" t="s">
        <v>5432</v>
      </c>
      <c r="J67" s="23" t="s">
        <v>15</v>
      </c>
      <c r="K67" s="27" t="s">
        <v>404</v>
      </c>
      <c r="L67" s="23" t="s">
        <v>405</v>
      </c>
      <c r="M67" s="25" t="s">
        <v>18</v>
      </c>
      <c r="N67" s="23" t="s">
        <v>40</v>
      </c>
      <c r="O67" s="23" t="s">
        <v>387</v>
      </c>
      <c r="P67" s="23" t="s">
        <v>40</v>
      </c>
      <c r="Q67" s="23" t="s">
        <v>40</v>
      </c>
      <c r="R67" s="23" t="s">
        <v>153</v>
      </c>
      <c r="S67" s="23" t="s">
        <v>40</v>
      </c>
      <c r="T67" s="23" t="s">
        <v>5068</v>
      </c>
    </row>
    <row r="68" spans="1:20" x14ac:dyDescent="0.25">
      <c r="A68" s="23" t="s">
        <v>5433</v>
      </c>
      <c r="B68" s="23" t="s">
        <v>152</v>
      </c>
      <c r="C68" s="23" t="s">
        <v>5400</v>
      </c>
      <c r="D68" s="23" t="s">
        <v>5434</v>
      </c>
      <c r="E68" s="23" t="s">
        <v>5435</v>
      </c>
      <c r="F68" s="23" t="s">
        <v>40</v>
      </c>
      <c r="G68" s="23" t="s">
        <v>5436</v>
      </c>
      <c r="H68" s="23" t="s">
        <v>5437</v>
      </c>
      <c r="I68" s="23" t="s">
        <v>5438</v>
      </c>
      <c r="J68" s="23" t="s">
        <v>14</v>
      </c>
      <c r="K68" s="26" t="s">
        <v>396</v>
      </c>
      <c r="L68" s="23" t="s">
        <v>13</v>
      </c>
      <c r="M68" s="25" t="s">
        <v>18</v>
      </c>
      <c r="N68" s="23" t="s">
        <v>40</v>
      </c>
      <c r="O68" s="23" t="s">
        <v>387</v>
      </c>
      <c r="P68" s="23" t="s">
        <v>40</v>
      </c>
      <c r="Q68" s="23" t="s">
        <v>40</v>
      </c>
      <c r="R68" s="23" t="s">
        <v>153</v>
      </c>
      <c r="S68" s="23" t="s">
        <v>40</v>
      </c>
      <c r="T68" s="23" t="s">
        <v>5439</v>
      </c>
    </row>
    <row r="69" spans="1:20" x14ac:dyDescent="0.25">
      <c r="A69" s="23" t="s">
        <v>5440</v>
      </c>
      <c r="B69" s="23" t="s">
        <v>152</v>
      </c>
      <c r="C69" s="23" t="s">
        <v>5400</v>
      </c>
      <c r="D69" s="23" t="s">
        <v>5441</v>
      </c>
      <c r="E69" s="23" t="s">
        <v>5442</v>
      </c>
      <c r="F69" s="23" t="s">
        <v>40</v>
      </c>
      <c r="G69" s="23" t="s">
        <v>5443</v>
      </c>
      <c r="H69" s="23" t="s">
        <v>5444</v>
      </c>
      <c r="I69" s="23" t="s">
        <v>5445</v>
      </c>
      <c r="J69" s="23" t="s">
        <v>14</v>
      </c>
      <c r="K69" s="24" t="s">
        <v>386</v>
      </c>
      <c r="L69" s="23" t="s">
        <v>405</v>
      </c>
      <c r="M69" s="25" t="s">
        <v>18</v>
      </c>
      <c r="N69" s="23" t="s">
        <v>40</v>
      </c>
      <c r="O69" s="23" t="s">
        <v>387</v>
      </c>
      <c r="P69" s="23" t="s">
        <v>40</v>
      </c>
      <c r="Q69" s="23" t="s">
        <v>40</v>
      </c>
      <c r="R69" s="23" t="s">
        <v>153</v>
      </c>
      <c r="S69" s="23" t="s">
        <v>40</v>
      </c>
      <c r="T69" s="23" t="s">
        <v>5446</v>
      </c>
    </row>
    <row r="70" spans="1:20" x14ac:dyDescent="0.25">
      <c r="A70" s="23" t="s">
        <v>5447</v>
      </c>
      <c r="B70" s="23" t="s">
        <v>152</v>
      </c>
      <c r="C70" s="23" t="s">
        <v>5448</v>
      </c>
      <c r="D70" s="23" t="s">
        <v>5449</v>
      </c>
      <c r="E70" s="23" t="s">
        <v>5450</v>
      </c>
      <c r="F70" s="23" t="s">
        <v>40</v>
      </c>
      <c r="G70" s="23" t="s">
        <v>5451</v>
      </c>
      <c r="H70" s="23" t="s">
        <v>5452</v>
      </c>
      <c r="I70" s="23" t="s">
        <v>5453</v>
      </c>
      <c r="J70" s="23" t="s">
        <v>14</v>
      </c>
      <c r="K70" s="26" t="s">
        <v>396</v>
      </c>
      <c r="L70" s="23" t="s">
        <v>13</v>
      </c>
      <c r="M70" s="25" t="s">
        <v>18</v>
      </c>
      <c r="N70" s="23" t="s">
        <v>40</v>
      </c>
      <c r="O70" s="23" t="s">
        <v>387</v>
      </c>
      <c r="P70" s="23" t="s">
        <v>40</v>
      </c>
      <c r="Q70" s="23" t="s">
        <v>40</v>
      </c>
      <c r="R70" s="23" t="s">
        <v>153</v>
      </c>
      <c r="S70" s="23" t="s">
        <v>5454</v>
      </c>
      <c r="T70" s="23" t="s">
        <v>5455</v>
      </c>
    </row>
    <row r="71" spans="1:20" x14ac:dyDescent="0.25">
      <c r="A71" s="23" t="s">
        <v>5456</v>
      </c>
      <c r="B71" s="23" t="s">
        <v>152</v>
      </c>
      <c r="C71" s="23" t="s">
        <v>5448</v>
      </c>
      <c r="D71" s="23" t="s">
        <v>5457</v>
      </c>
      <c r="E71" s="23" t="s">
        <v>5458</v>
      </c>
      <c r="F71" s="23" t="s">
        <v>40</v>
      </c>
      <c r="G71" s="23" t="s">
        <v>5459</v>
      </c>
      <c r="H71" s="23" t="s">
        <v>5460</v>
      </c>
      <c r="I71" s="23" t="s">
        <v>5461</v>
      </c>
      <c r="J71" s="23" t="s">
        <v>14</v>
      </c>
      <c r="K71" s="26" t="s">
        <v>396</v>
      </c>
      <c r="L71" s="23" t="s">
        <v>13</v>
      </c>
      <c r="M71" s="25" t="s">
        <v>18</v>
      </c>
      <c r="N71" s="23" t="s">
        <v>40</v>
      </c>
      <c r="O71" s="23" t="s">
        <v>387</v>
      </c>
      <c r="P71" s="23" t="s">
        <v>40</v>
      </c>
      <c r="Q71" s="23" t="s">
        <v>40</v>
      </c>
      <c r="R71" s="23" t="s">
        <v>153</v>
      </c>
      <c r="S71" s="23" t="s">
        <v>40</v>
      </c>
      <c r="T71" s="23" t="s">
        <v>5455</v>
      </c>
    </row>
    <row r="72" spans="1:20" x14ac:dyDescent="0.25">
      <c r="A72" s="23" t="s">
        <v>5462</v>
      </c>
      <c r="B72" s="23" t="s">
        <v>152</v>
      </c>
      <c r="C72" s="23" t="s">
        <v>5448</v>
      </c>
      <c r="D72" s="23" t="s">
        <v>5463</v>
      </c>
      <c r="E72" s="23" t="s">
        <v>5458</v>
      </c>
      <c r="F72" s="23" t="s">
        <v>40</v>
      </c>
      <c r="G72" s="23" t="s">
        <v>5464</v>
      </c>
      <c r="H72" s="23" t="s">
        <v>5465</v>
      </c>
      <c r="I72" s="23" t="s">
        <v>5466</v>
      </c>
      <c r="J72" s="23" t="s">
        <v>15</v>
      </c>
      <c r="K72" s="27" t="s">
        <v>404</v>
      </c>
      <c r="L72" s="23" t="s">
        <v>405</v>
      </c>
      <c r="M72" s="25" t="s">
        <v>18</v>
      </c>
      <c r="N72" s="23" t="s">
        <v>40</v>
      </c>
      <c r="O72" s="23" t="s">
        <v>387</v>
      </c>
      <c r="P72" s="23" t="s">
        <v>40</v>
      </c>
      <c r="Q72" s="23" t="s">
        <v>40</v>
      </c>
      <c r="R72" s="23" t="s">
        <v>153</v>
      </c>
      <c r="S72" s="23" t="s">
        <v>40</v>
      </c>
      <c r="T72" s="23" t="s">
        <v>5467</v>
      </c>
    </row>
    <row r="73" spans="1:20" x14ac:dyDescent="0.25">
      <c r="A73" s="23" t="s">
        <v>5468</v>
      </c>
      <c r="B73" s="23" t="s">
        <v>152</v>
      </c>
      <c r="C73" s="23" t="s">
        <v>5448</v>
      </c>
      <c r="D73" s="23" t="s">
        <v>5469</v>
      </c>
      <c r="E73" s="23" t="s">
        <v>5470</v>
      </c>
      <c r="F73" s="23" t="s">
        <v>40</v>
      </c>
      <c r="G73" s="23" t="s">
        <v>5471</v>
      </c>
      <c r="H73" s="23" t="s">
        <v>5472</v>
      </c>
      <c r="I73" s="23" t="s">
        <v>5473</v>
      </c>
      <c r="J73" s="23" t="s">
        <v>801</v>
      </c>
      <c r="K73" s="27" t="s">
        <v>404</v>
      </c>
      <c r="L73" s="23" t="s">
        <v>490</v>
      </c>
      <c r="M73" s="25" t="s">
        <v>18</v>
      </c>
      <c r="N73" s="23" t="s">
        <v>40</v>
      </c>
      <c r="O73" s="23" t="s">
        <v>387</v>
      </c>
      <c r="P73" s="23" t="s">
        <v>40</v>
      </c>
      <c r="Q73" s="23" t="s">
        <v>40</v>
      </c>
      <c r="R73" s="23" t="s">
        <v>153</v>
      </c>
      <c r="S73" s="23" t="s">
        <v>40</v>
      </c>
      <c r="T73" s="23" t="s">
        <v>5474</v>
      </c>
    </row>
    <row r="74" spans="1:20" x14ac:dyDescent="0.25">
      <c r="A74" s="23" t="s">
        <v>5475</v>
      </c>
      <c r="B74" s="23" t="s">
        <v>152</v>
      </c>
      <c r="C74" s="23" t="s">
        <v>5476</v>
      </c>
      <c r="D74" s="23" t="s">
        <v>5477</v>
      </c>
      <c r="E74" s="23" t="s">
        <v>5478</v>
      </c>
      <c r="F74" s="23" t="s">
        <v>5479</v>
      </c>
      <c r="G74" s="23" t="s">
        <v>5480</v>
      </c>
      <c r="H74" s="23" t="s">
        <v>5481</v>
      </c>
      <c r="I74" s="23" t="s">
        <v>5482</v>
      </c>
      <c r="J74" s="23" t="s">
        <v>14</v>
      </c>
      <c r="K74" s="26" t="s">
        <v>396</v>
      </c>
      <c r="L74" s="23" t="s">
        <v>13</v>
      </c>
      <c r="M74" s="25" t="s">
        <v>18</v>
      </c>
      <c r="N74" s="23" t="s">
        <v>40</v>
      </c>
      <c r="O74" s="23" t="s">
        <v>387</v>
      </c>
      <c r="P74" s="23" t="s">
        <v>40</v>
      </c>
      <c r="Q74" s="23" t="s">
        <v>40</v>
      </c>
      <c r="R74" s="23" t="s">
        <v>153</v>
      </c>
      <c r="S74" s="23" t="s">
        <v>40</v>
      </c>
      <c r="T74" s="23" t="s">
        <v>5483</v>
      </c>
    </row>
    <row r="75" spans="1:20" x14ac:dyDescent="0.25">
      <c r="A75" s="23" t="s">
        <v>5484</v>
      </c>
      <c r="B75" s="23" t="s">
        <v>152</v>
      </c>
      <c r="C75" s="23" t="s">
        <v>5476</v>
      </c>
      <c r="D75" s="23" t="s">
        <v>5485</v>
      </c>
      <c r="E75" s="23" t="s">
        <v>5450</v>
      </c>
      <c r="F75" s="23" t="s">
        <v>40</v>
      </c>
      <c r="G75" s="23" t="s">
        <v>5486</v>
      </c>
      <c r="H75" s="23" t="s">
        <v>5487</v>
      </c>
      <c r="I75" s="23" t="s">
        <v>5488</v>
      </c>
      <c r="J75" s="23" t="s">
        <v>466</v>
      </c>
      <c r="K75" s="24" t="s">
        <v>386</v>
      </c>
      <c r="L75" s="23" t="s">
        <v>13</v>
      </c>
      <c r="M75" s="25" t="s">
        <v>18</v>
      </c>
      <c r="N75" s="23" t="s">
        <v>40</v>
      </c>
      <c r="O75" s="23" t="s">
        <v>387</v>
      </c>
      <c r="P75" s="23" t="s">
        <v>40</v>
      </c>
      <c r="Q75" s="23" t="s">
        <v>40</v>
      </c>
      <c r="R75" s="23" t="s">
        <v>153</v>
      </c>
      <c r="S75" s="23" t="s">
        <v>40</v>
      </c>
      <c r="T75" s="23" t="s">
        <v>5489</v>
      </c>
    </row>
    <row r="76" spans="1:20" x14ac:dyDescent="0.25">
      <c r="A76" s="23" t="s">
        <v>5490</v>
      </c>
      <c r="B76" s="23" t="s">
        <v>152</v>
      </c>
      <c r="C76" s="23" t="s">
        <v>5476</v>
      </c>
      <c r="D76" s="23" t="s">
        <v>5491</v>
      </c>
      <c r="E76" s="23" t="s">
        <v>5450</v>
      </c>
      <c r="F76" s="23" t="s">
        <v>40</v>
      </c>
      <c r="G76" s="23" t="s">
        <v>5492</v>
      </c>
      <c r="H76" s="23" t="s">
        <v>5493</v>
      </c>
      <c r="I76" s="23" t="s">
        <v>5494</v>
      </c>
      <c r="J76" s="23" t="s">
        <v>801</v>
      </c>
      <c r="K76" s="26" t="s">
        <v>396</v>
      </c>
      <c r="L76" s="23" t="s">
        <v>13</v>
      </c>
      <c r="M76" s="25" t="s">
        <v>18</v>
      </c>
      <c r="N76" s="23" t="s">
        <v>40</v>
      </c>
      <c r="O76" s="23" t="s">
        <v>387</v>
      </c>
      <c r="P76" s="23" t="s">
        <v>40</v>
      </c>
      <c r="Q76" s="23" t="s">
        <v>40</v>
      </c>
      <c r="R76" s="23" t="s">
        <v>153</v>
      </c>
      <c r="S76" s="23" t="s">
        <v>40</v>
      </c>
      <c r="T76" s="23" t="s">
        <v>5489</v>
      </c>
    </row>
    <row r="77" spans="1:20" x14ac:dyDescent="0.25">
      <c r="A77" s="23" t="s">
        <v>5495</v>
      </c>
      <c r="B77" s="23" t="s">
        <v>152</v>
      </c>
      <c r="C77" s="23" t="s">
        <v>5476</v>
      </c>
      <c r="D77" s="23" t="s">
        <v>5496</v>
      </c>
      <c r="E77" s="23" t="s">
        <v>5497</v>
      </c>
      <c r="F77" s="23" t="s">
        <v>40</v>
      </c>
      <c r="G77" s="23" t="s">
        <v>5498</v>
      </c>
      <c r="H77" s="23" t="s">
        <v>5499</v>
      </c>
      <c r="I77" s="23" t="s">
        <v>5500</v>
      </c>
      <c r="J77" s="23" t="s">
        <v>15</v>
      </c>
      <c r="K77" s="27" t="s">
        <v>404</v>
      </c>
      <c r="L77" s="23" t="s">
        <v>405</v>
      </c>
      <c r="M77" s="25" t="s">
        <v>18</v>
      </c>
      <c r="N77" s="23" t="s">
        <v>40</v>
      </c>
      <c r="O77" s="23" t="s">
        <v>387</v>
      </c>
      <c r="P77" s="23" t="s">
        <v>40</v>
      </c>
      <c r="Q77" s="23" t="s">
        <v>40</v>
      </c>
      <c r="R77" s="23" t="s">
        <v>153</v>
      </c>
      <c r="S77" s="23" t="s">
        <v>40</v>
      </c>
      <c r="T77" s="23" t="s">
        <v>5467</v>
      </c>
    </row>
    <row r="78" spans="1:20" x14ac:dyDescent="0.25">
      <c r="A78" s="23" t="s">
        <v>5501</v>
      </c>
      <c r="B78" s="23" t="s">
        <v>152</v>
      </c>
      <c r="C78" s="23" t="s">
        <v>5476</v>
      </c>
      <c r="D78" s="23" t="s">
        <v>5502</v>
      </c>
      <c r="E78" s="23" t="s">
        <v>5458</v>
      </c>
      <c r="F78" s="23" t="s">
        <v>40</v>
      </c>
      <c r="G78" s="23" t="s">
        <v>5503</v>
      </c>
      <c r="H78" s="23" t="s">
        <v>5504</v>
      </c>
      <c r="I78" s="23" t="s">
        <v>5505</v>
      </c>
      <c r="J78" s="23" t="s">
        <v>14</v>
      </c>
      <c r="K78" s="27" t="s">
        <v>404</v>
      </c>
      <c r="L78" s="23" t="s">
        <v>490</v>
      </c>
      <c r="M78" s="25" t="s">
        <v>18</v>
      </c>
      <c r="N78" s="23" t="s">
        <v>40</v>
      </c>
      <c r="O78" s="23" t="s">
        <v>387</v>
      </c>
      <c r="P78" s="23" t="s">
        <v>40</v>
      </c>
      <c r="Q78" s="23" t="s">
        <v>40</v>
      </c>
      <c r="R78" s="23" t="s">
        <v>153</v>
      </c>
      <c r="S78" s="23" t="s">
        <v>40</v>
      </c>
      <c r="T78" s="23" t="s">
        <v>5467</v>
      </c>
    </row>
    <row r="79" spans="1:20" x14ac:dyDescent="0.25">
      <c r="A79" s="23" t="s">
        <v>5506</v>
      </c>
      <c r="B79" s="23" t="s">
        <v>152</v>
      </c>
      <c r="C79" s="23" t="s">
        <v>5507</v>
      </c>
      <c r="D79" s="23" t="s">
        <v>5508</v>
      </c>
      <c r="E79" s="23" t="s">
        <v>5509</v>
      </c>
      <c r="F79" s="23" t="s">
        <v>40</v>
      </c>
      <c r="G79" s="23" t="s">
        <v>5510</v>
      </c>
      <c r="H79" s="23" t="s">
        <v>5511</v>
      </c>
      <c r="I79" s="23" t="s">
        <v>5512</v>
      </c>
      <c r="J79" s="23" t="s">
        <v>14</v>
      </c>
      <c r="K79" s="26" t="s">
        <v>396</v>
      </c>
      <c r="L79" s="23" t="s">
        <v>13</v>
      </c>
      <c r="M79" s="25" t="s">
        <v>18</v>
      </c>
      <c r="N79" s="23" t="s">
        <v>40</v>
      </c>
      <c r="O79" s="23" t="s">
        <v>387</v>
      </c>
      <c r="P79" s="23" t="s">
        <v>40</v>
      </c>
      <c r="Q79" s="23" t="s">
        <v>40</v>
      </c>
      <c r="R79" s="23" t="s">
        <v>153</v>
      </c>
      <c r="S79" s="23" t="s">
        <v>40</v>
      </c>
      <c r="T79" s="23" t="s">
        <v>5513</v>
      </c>
    </row>
    <row r="80" spans="1:20" x14ac:dyDescent="0.25">
      <c r="A80" s="23" t="s">
        <v>5514</v>
      </c>
      <c r="B80" s="23" t="s">
        <v>152</v>
      </c>
      <c r="C80" s="23" t="s">
        <v>5507</v>
      </c>
      <c r="D80" s="23" t="s">
        <v>5515</v>
      </c>
      <c r="E80" s="23" t="s">
        <v>5516</v>
      </c>
      <c r="F80" s="23" t="s">
        <v>40</v>
      </c>
      <c r="G80" s="23" t="s">
        <v>5517</v>
      </c>
      <c r="H80" s="23" t="s">
        <v>5518</v>
      </c>
      <c r="I80" s="23" t="s">
        <v>5519</v>
      </c>
      <c r="J80" s="23" t="s">
        <v>15</v>
      </c>
      <c r="K80" s="24" t="s">
        <v>386</v>
      </c>
      <c r="L80" s="23" t="s">
        <v>13</v>
      </c>
      <c r="M80" s="25" t="s">
        <v>18</v>
      </c>
      <c r="N80" s="23" t="s">
        <v>40</v>
      </c>
      <c r="O80" s="23" t="s">
        <v>387</v>
      </c>
      <c r="P80" s="23" t="s">
        <v>40</v>
      </c>
      <c r="Q80" s="23" t="s">
        <v>40</v>
      </c>
      <c r="R80" s="23" t="s">
        <v>153</v>
      </c>
      <c r="S80" s="23" t="s">
        <v>40</v>
      </c>
      <c r="T80" s="23" t="s">
        <v>2258</v>
      </c>
    </row>
    <row r="81" spans="1:20" x14ac:dyDescent="0.25">
      <c r="A81" s="23" t="s">
        <v>5520</v>
      </c>
      <c r="B81" s="23" t="s">
        <v>152</v>
      </c>
      <c r="C81" s="23" t="s">
        <v>5507</v>
      </c>
      <c r="D81" s="23" t="s">
        <v>5521</v>
      </c>
      <c r="E81" s="23" t="s">
        <v>5522</v>
      </c>
      <c r="F81" s="23" t="s">
        <v>40</v>
      </c>
      <c r="G81" s="23" t="s">
        <v>5523</v>
      </c>
      <c r="H81" s="23" t="s">
        <v>5524</v>
      </c>
      <c r="I81" s="23" t="s">
        <v>5525</v>
      </c>
      <c r="J81" s="23" t="s">
        <v>15</v>
      </c>
      <c r="K81" s="24" t="s">
        <v>386</v>
      </c>
      <c r="L81" s="23" t="s">
        <v>13</v>
      </c>
      <c r="M81" s="25" t="s">
        <v>18</v>
      </c>
      <c r="N81" s="23" t="s">
        <v>40</v>
      </c>
      <c r="O81" s="23" t="s">
        <v>387</v>
      </c>
      <c r="P81" s="23" t="s">
        <v>40</v>
      </c>
      <c r="Q81" s="23" t="s">
        <v>40</v>
      </c>
      <c r="R81" s="23" t="s">
        <v>153</v>
      </c>
      <c r="S81" s="23" t="s">
        <v>40</v>
      </c>
      <c r="T81" s="23" t="s">
        <v>2252</v>
      </c>
    </row>
    <row r="82" spans="1:20" x14ac:dyDescent="0.25">
      <c r="A82" s="23" t="s">
        <v>5526</v>
      </c>
      <c r="B82" s="23" t="s">
        <v>152</v>
      </c>
      <c r="C82" s="23" t="s">
        <v>5507</v>
      </c>
      <c r="D82" s="23" t="s">
        <v>5527</v>
      </c>
      <c r="E82" s="23" t="s">
        <v>5528</v>
      </c>
      <c r="F82" s="23" t="s">
        <v>40</v>
      </c>
      <c r="G82" s="23" t="s">
        <v>5529</v>
      </c>
      <c r="H82" s="23" t="s">
        <v>5530</v>
      </c>
      <c r="I82" s="23" t="s">
        <v>5531</v>
      </c>
      <c r="J82" s="23" t="s">
        <v>15</v>
      </c>
      <c r="K82" s="27" t="s">
        <v>404</v>
      </c>
      <c r="L82" s="23" t="s">
        <v>405</v>
      </c>
      <c r="M82" s="25" t="s">
        <v>18</v>
      </c>
      <c r="N82" s="23" t="s">
        <v>40</v>
      </c>
      <c r="O82" s="23" t="s">
        <v>387</v>
      </c>
      <c r="P82" s="23" t="s">
        <v>40</v>
      </c>
      <c r="Q82" s="23" t="s">
        <v>40</v>
      </c>
      <c r="R82" s="23" t="s">
        <v>153</v>
      </c>
      <c r="S82" s="23" t="s">
        <v>40</v>
      </c>
      <c r="T82" s="23" t="s">
        <v>5068</v>
      </c>
    </row>
    <row r="83" spans="1:20" x14ac:dyDescent="0.25">
      <c r="A83" s="23" t="s">
        <v>5532</v>
      </c>
      <c r="B83" s="23" t="s">
        <v>152</v>
      </c>
      <c r="C83" s="23" t="s">
        <v>5507</v>
      </c>
      <c r="D83" s="23" t="s">
        <v>5533</v>
      </c>
      <c r="E83" s="23" t="s">
        <v>5534</v>
      </c>
      <c r="F83" s="23" t="s">
        <v>40</v>
      </c>
      <c r="G83" s="23" t="s">
        <v>5535</v>
      </c>
      <c r="H83" s="23" t="s">
        <v>5536</v>
      </c>
      <c r="I83" s="23" t="s">
        <v>5537</v>
      </c>
      <c r="J83" s="23" t="s">
        <v>801</v>
      </c>
      <c r="K83" s="26" t="s">
        <v>396</v>
      </c>
      <c r="L83" s="23" t="s">
        <v>13</v>
      </c>
      <c r="M83" s="25" t="s">
        <v>18</v>
      </c>
      <c r="N83" s="23" t="s">
        <v>40</v>
      </c>
      <c r="O83" s="23" t="s">
        <v>387</v>
      </c>
      <c r="P83" s="23" t="s">
        <v>40</v>
      </c>
      <c r="Q83" s="23" t="s">
        <v>40</v>
      </c>
      <c r="R83" s="23" t="s">
        <v>153</v>
      </c>
      <c r="S83" s="23" t="s">
        <v>40</v>
      </c>
      <c r="T83" s="23" t="s">
        <v>5538</v>
      </c>
    </row>
    <row r="84" spans="1:20" x14ac:dyDescent="0.25">
      <c r="A84" s="23" t="s">
        <v>5539</v>
      </c>
      <c r="B84" s="23" t="s">
        <v>152</v>
      </c>
      <c r="C84" s="23" t="s">
        <v>315</v>
      </c>
      <c r="D84" s="23" t="s">
        <v>5540</v>
      </c>
      <c r="E84" s="23" t="s">
        <v>5541</v>
      </c>
      <c r="F84" s="23" t="s">
        <v>40</v>
      </c>
      <c r="G84" s="23" t="s">
        <v>5542</v>
      </c>
      <c r="H84" s="23" t="s">
        <v>5543</v>
      </c>
      <c r="I84" s="23" t="s">
        <v>5544</v>
      </c>
      <c r="J84" s="23" t="s">
        <v>14</v>
      </c>
      <c r="K84" s="26" t="s">
        <v>396</v>
      </c>
      <c r="L84" s="23" t="s">
        <v>13</v>
      </c>
      <c r="M84" s="25" t="s">
        <v>18</v>
      </c>
      <c r="N84" s="23" t="s">
        <v>40</v>
      </c>
      <c r="O84" s="23" t="s">
        <v>387</v>
      </c>
      <c r="P84" s="23" t="s">
        <v>40</v>
      </c>
      <c r="Q84" s="23" t="s">
        <v>40</v>
      </c>
      <c r="R84" s="23" t="s">
        <v>153</v>
      </c>
      <c r="S84" s="23" t="s">
        <v>40</v>
      </c>
      <c r="T84" s="23" t="s">
        <v>5545</v>
      </c>
    </row>
    <row r="85" spans="1:20" x14ac:dyDescent="0.25">
      <c r="A85" s="23" t="s">
        <v>5546</v>
      </c>
      <c r="B85" s="23" t="s">
        <v>152</v>
      </c>
      <c r="C85" s="23" t="s">
        <v>315</v>
      </c>
      <c r="D85" s="23" t="s">
        <v>5547</v>
      </c>
      <c r="E85" s="23" t="s">
        <v>5548</v>
      </c>
      <c r="F85" s="23" t="s">
        <v>40</v>
      </c>
      <c r="G85" s="23" t="s">
        <v>5549</v>
      </c>
      <c r="H85" s="23" t="s">
        <v>5550</v>
      </c>
      <c r="I85" s="23" t="s">
        <v>5551</v>
      </c>
      <c r="J85" s="23" t="s">
        <v>385</v>
      </c>
      <c r="K85" s="27" t="s">
        <v>404</v>
      </c>
      <c r="L85" s="23" t="s">
        <v>405</v>
      </c>
      <c r="M85" s="25" t="s">
        <v>18</v>
      </c>
      <c r="N85" s="23" t="s">
        <v>40</v>
      </c>
      <c r="O85" s="23" t="s">
        <v>387</v>
      </c>
      <c r="P85" s="23" t="s">
        <v>40</v>
      </c>
      <c r="Q85" s="23" t="s">
        <v>40</v>
      </c>
      <c r="R85" s="23" t="s">
        <v>153</v>
      </c>
      <c r="S85" s="23" t="s">
        <v>40</v>
      </c>
      <c r="T85" s="23" t="s">
        <v>5545</v>
      </c>
    </row>
    <row r="86" spans="1:20" x14ac:dyDescent="0.25">
      <c r="A86" s="23" t="s">
        <v>5552</v>
      </c>
      <c r="B86" s="23" t="s">
        <v>152</v>
      </c>
      <c r="C86" s="23" t="s">
        <v>315</v>
      </c>
      <c r="D86" s="23" t="s">
        <v>5553</v>
      </c>
      <c r="E86" s="23" t="s">
        <v>5554</v>
      </c>
      <c r="F86" s="23" t="s">
        <v>40</v>
      </c>
      <c r="G86" s="23" t="s">
        <v>5555</v>
      </c>
      <c r="H86" s="23" t="s">
        <v>5556</v>
      </c>
      <c r="I86" s="23" t="s">
        <v>5557</v>
      </c>
      <c r="J86" s="23" t="s">
        <v>14</v>
      </c>
      <c r="K86" s="24" t="s">
        <v>386</v>
      </c>
      <c r="L86" s="23" t="s">
        <v>405</v>
      </c>
      <c r="M86" s="25" t="s">
        <v>18</v>
      </c>
      <c r="N86" s="23" t="s">
        <v>40</v>
      </c>
      <c r="O86" s="23" t="s">
        <v>387</v>
      </c>
      <c r="P86" s="23" t="s">
        <v>40</v>
      </c>
      <c r="Q86" s="23" t="s">
        <v>40</v>
      </c>
      <c r="R86" s="23" t="s">
        <v>153</v>
      </c>
      <c r="S86" s="23" t="s">
        <v>40</v>
      </c>
      <c r="T86" s="23" t="s">
        <v>5558</v>
      </c>
    </row>
    <row r="87" spans="1:20" x14ac:dyDescent="0.25">
      <c r="A87" s="23" t="s">
        <v>5559</v>
      </c>
      <c r="B87" s="23" t="s">
        <v>152</v>
      </c>
      <c r="C87" s="23" t="s">
        <v>315</v>
      </c>
      <c r="D87" s="23" t="s">
        <v>5560</v>
      </c>
      <c r="E87" s="23" t="s">
        <v>5561</v>
      </c>
      <c r="F87" s="23" t="s">
        <v>40</v>
      </c>
      <c r="G87" s="23" t="s">
        <v>5562</v>
      </c>
      <c r="H87" s="23" t="s">
        <v>5563</v>
      </c>
      <c r="I87" s="23" t="s">
        <v>5564</v>
      </c>
      <c r="J87" s="23" t="s">
        <v>385</v>
      </c>
      <c r="K87" s="32" t="s">
        <v>747</v>
      </c>
      <c r="L87" s="23" t="s">
        <v>490</v>
      </c>
      <c r="M87" s="25" t="s">
        <v>18</v>
      </c>
      <c r="N87" s="23" t="s">
        <v>40</v>
      </c>
      <c r="O87" s="23" t="s">
        <v>387</v>
      </c>
      <c r="P87" s="23" t="s">
        <v>40</v>
      </c>
      <c r="Q87" s="23" t="s">
        <v>40</v>
      </c>
      <c r="R87" s="23" t="s">
        <v>153</v>
      </c>
      <c r="S87" s="23" t="s">
        <v>40</v>
      </c>
      <c r="T87" s="23" t="s">
        <v>5565</v>
      </c>
    </row>
    <row r="88" spans="1:20" x14ac:dyDescent="0.25">
      <c r="A88" s="23" t="s">
        <v>5566</v>
      </c>
      <c r="B88" s="23" t="s">
        <v>152</v>
      </c>
      <c r="C88" s="23" t="s">
        <v>315</v>
      </c>
      <c r="D88" s="23" t="s">
        <v>5567</v>
      </c>
      <c r="E88" s="23" t="s">
        <v>5568</v>
      </c>
      <c r="F88" s="23" t="s">
        <v>5569</v>
      </c>
      <c r="G88" s="23" t="s">
        <v>5570</v>
      </c>
      <c r="H88" s="23" t="s">
        <v>5571</v>
      </c>
      <c r="I88" s="23" t="s">
        <v>5572</v>
      </c>
      <c r="J88" s="23" t="s">
        <v>14</v>
      </c>
      <c r="K88" s="24" t="s">
        <v>386</v>
      </c>
      <c r="L88" s="23" t="s">
        <v>405</v>
      </c>
      <c r="M88" s="25" t="s">
        <v>18</v>
      </c>
      <c r="N88" s="23" t="s">
        <v>40</v>
      </c>
      <c r="O88" s="23" t="s">
        <v>387</v>
      </c>
      <c r="P88" s="23" t="s">
        <v>40</v>
      </c>
      <c r="Q88" s="23" t="s">
        <v>40</v>
      </c>
      <c r="R88" s="23" t="s">
        <v>153</v>
      </c>
      <c r="S88" s="23" t="s">
        <v>40</v>
      </c>
      <c r="T88" s="23" t="s">
        <v>5573</v>
      </c>
    </row>
    <row r="89" spans="1:20" x14ac:dyDescent="0.25">
      <c r="A89" s="23" t="s">
        <v>5574</v>
      </c>
      <c r="B89" s="23" t="s">
        <v>152</v>
      </c>
      <c r="C89" s="23" t="s">
        <v>315</v>
      </c>
      <c r="D89" s="23" t="s">
        <v>5575</v>
      </c>
      <c r="E89" s="23" t="s">
        <v>5568</v>
      </c>
      <c r="F89" s="23" t="s">
        <v>40</v>
      </c>
      <c r="G89" s="23" t="s">
        <v>5576</v>
      </c>
      <c r="H89" s="23" t="s">
        <v>5577</v>
      </c>
      <c r="I89" s="23" t="s">
        <v>5578</v>
      </c>
      <c r="J89" s="23" t="s">
        <v>466</v>
      </c>
      <c r="K89" s="27" t="s">
        <v>404</v>
      </c>
      <c r="L89" s="23" t="s">
        <v>490</v>
      </c>
      <c r="M89" s="25" t="s">
        <v>18</v>
      </c>
      <c r="N89" s="23" t="s">
        <v>40</v>
      </c>
      <c r="O89" s="23" t="s">
        <v>387</v>
      </c>
      <c r="P89" s="23" t="s">
        <v>40</v>
      </c>
      <c r="Q89" s="23" t="s">
        <v>40</v>
      </c>
      <c r="R89" s="23" t="s">
        <v>153</v>
      </c>
      <c r="S89" s="23" t="s">
        <v>40</v>
      </c>
      <c r="T89" s="23" t="s">
        <v>5068</v>
      </c>
    </row>
    <row r="90" spans="1:20" x14ac:dyDescent="0.25">
      <c r="A90" s="23" t="s">
        <v>5579</v>
      </c>
      <c r="B90" s="23" t="s">
        <v>152</v>
      </c>
      <c r="C90" s="23" t="s">
        <v>5580</v>
      </c>
      <c r="D90" s="23" t="s">
        <v>5581</v>
      </c>
      <c r="E90" s="23" t="s">
        <v>5582</v>
      </c>
      <c r="F90" s="23" t="s">
        <v>5583</v>
      </c>
      <c r="G90" s="23" t="s">
        <v>5584</v>
      </c>
      <c r="H90" s="23" t="s">
        <v>5585</v>
      </c>
      <c r="I90" s="23" t="s">
        <v>5586</v>
      </c>
      <c r="J90" s="23" t="s">
        <v>14</v>
      </c>
      <c r="K90" s="24" t="s">
        <v>386</v>
      </c>
      <c r="L90" s="23" t="s">
        <v>405</v>
      </c>
      <c r="M90" s="25" t="s">
        <v>18</v>
      </c>
      <c r="N90" s="23" t="s">
        <v>40</v>
      </c>
      <c r="O90" s="23" t="s">
        <v>387</v>
      </c>
      <c r="P90" s="23" t="s">
        <v>40</v>
      </c>
      <c r="Q90" s="23" t="s">
        <v>40</v>
      </c>
      <c r="R90" s="23" t="s">
        <v>153</v>
      </c>
      <c r="S90" s="23" t="s">
        <v>40</v>
      </c>
      <c r="T90" s="23" t="s">
        <v>5587</v>
      </c>
    </row>
    <row r="91" spans="1:20" x14ac:dyDescent="0.25">
      <c r="A91" s="23" t="s">
        <v>5588</v>
      </c>
      <c r="B91" s="23" t="s">
        <v>152</v>
      </c>
      <c r="C91" s="23" t="s">
        <v>5580</v>
      </c>
      <c r="D91" s="23" t="s">
        <v>5589</v>
      </c>
      <c r="E91" s="23" t="s">
        <v>5590</v>
      </c>
      <c r="F91" s="23" t="s">
        <v>40</v>
      </c>
      <c r="G91" s="23" t="s">
        <v>5591</v>
      </c>
      <c r="H91" s="23" t="s">
        <v>5592</v>
      </c>
      <c r="I91" s="23" t="s">
        <v>5593</v>
      </c>
      <c r="J91" s="23" t="s">
        <v>466</v>
      </c>
      <c r="K91" s="27" t="s">
        <v>404</v>
      </c>
      <c r="L91" s="23" t="s">
        <v>405</v>
      </c>
      <c r="M91" s="25" t="s">
        <v>18</v>
      </c>
      <c r="N91" s="23" t="s">
        <v>40</v>
      </c>
      <c r="O91" s="23" t="s">
        <v>387</v>
      </c>
      <c r="P91" s="23" t="s">
        <v>40</v>
      </c>
      <c r="Q91" s="23" t="s">
        <v>40</v>
      </c>
      <c r="R91" s="23" t="s">
        <v>153</v>
      </c>
      <c r="S91" s="23" t="s">
        <v>40</v>
      </c>
      <c r="T91" s="23" t="s">
        <v>5594</v>
      </c>
    </row>
    <row r="92" spans="1:20" x14ac:dyDescent="0.25">
      <c r="A92" s="23" t="s">
        <v>5595</v>
      </c>
      <c r="B92" s="23" t="s">
        <v>152</v>
      </c>
      <c r="C92" s="23" t="s">
        <v>5580</v>
      </c>
      <c r="D92" s="23" t="s">
        <v>5596</v>
      </c>
      <c r="E92" s="23" t="s">
        <v>5597</v>
      </c>
      <c r="F92" s="23" t="s">
        <v>5598</v>
      </c>
      <c r="G92" s="23" t="s">
        <v>5599</v>
      </c>
      <c r="H92" s="23" t="s">
        <v>5600</v>
      </c>
      <c r="I92" s="23" t="s">
        <v>5601</v>
      </c>
      <c r="J92" s="23" t="s">
        <v>14</v>
      </c>
      <c r="K92" s="27" t="s">
        <v>404</v>
      </c>
      <c r="L92" s="23" t="s">
        <v>490</v>
      </c>
      <c r="M92" s="25" t="s">
        <v>18</v>
      </c>
      <c r="N92" s="23" t="s">
        <v>40</v>
      </c>
      <c r="O92" s="23" t="s">
        <v>387</v>
      </c>
      <c r="P92" s="23" t="s">
        <v>40</v>
      </c>
      <c r="Q92" s="23" t="s">
        <v>40</v>
      </c>
      <c r="R92" s="23" t="s">
        <v>153</v>
      </c>
      <c r="S92" s="23" t="s">
        <v>40</v>
      </c>
      <c r="T92" s="23" t="s">
        <v>5602</v>
      </c>
    </row>
    <row r="93" spans="1:20" x14ac:dyDescent="0.25">
      <c r="A93" s="23" t="s">
        <v>5603</v>
      </c>
      <c r="B93" s="23" t="s">
        <v>152</v>
      </c>
      <c r="C93" s="23" t="s">
        <v>5604</v>
      </c>
      <c r="D93" s="23" t="s">
        <v>5605</v>
      </c>
      <c r="E93" s="23" t="s">
        <v>5606</v>
      </c>
      <c r="F93" s="23" t="s">
        <v>5607</v>
      </c>
      <c r="G93" s="23" t="s">
        <v>5608</v>
      </c>
      <c r="H93" s="23" t="s">
        <v>5609</v>
      </c>
      <c r="I93" s="23" t="s">
        <v>5610</v>
      </c>
      <c r="J93" s="23" t="s">
        <v>14</v>
      </c>
      <c r="K93" s="24" t="s">
        <v>386</v>
      </c>
      <c r="L93" s="23" t="s">
        <v>405</v>
      </c>
      <c r="M93" s="25" t="s">
        <v>18</v>
      </c>
      <c r="N93" s="23" t="s">
        <v>40</v>
      </c>
      <c r="O93" s="23" t="s">
        <v>387</v>
      </c>
      <c r="P93" s="23" t="s">
        <v>40</v>
      </c>
      <c r="Q93" s="23" t="s">
        <v>40</v>
      </c>
      <c r="R93" s="23" t="s">
        <v>153</v>
      </c>
      <c r="S93" s="23" t="s">
        <v>5267</v>
      </c>
      <c r="T93" s="23" t="s">
        <v>5611</v>
      </c>
    </row>
    <row r="94" spans="1:20" x14ac:dyDescent="0.25">
      <c r="A94" s="23" t="s">
        <v>5612</v>
      </c>
      <c r="B94" s="23" t="s">
        <v>152</v>
      </c>
      <c r="C94" s="23" t="s">
        <v>5604</v>
      </c>
      <c r="D94" s="23" t="s">
        <v>5613</v>
      </c>
      <c r="E94" s="23" t="s">
        <v>5614</v>
      </c>
      <c r="F94" s="23" t="s">
        <v>40</v>
      </c>
      <c r="G94" s="23" t="s">
        <v>5615</v>
      </c>
      <c r="H94" s="23" t="s">
        <v>5616</v>
      </c>
      <c r="I94" s="23" t="s">
        <v>5617</v>
      </c>
      <c r="J94" s="23" t="s">
        <v>466</v>
      </c>
      <c r="K94" s="27" t="s">
        <v>404</v>
      </c>
      <c r="L94" s="23" t="s">
        <v>490</v>
      </c>
      <c r="M94" s="25" t="s">
        <v>18</v>
      </c>
      <c r="N94" s="23" t="s">
        <v>40</v>
      </c>
      <c r="O94" s="23" t="s">
        <v>387</v>
      </c>
      <c r="P94" s="23" t="s">
        <v>40</v>
      </c>
      <c r="Q94" s="23" t="s">
        <v>40</v>
      </c>
      <c r="R94" s="23" t="s">
        <v>153</v>
      </c>
      <c r="S94" s="23" t="s">
        <v>40</v>
      </c>
      <c r="T94" s="23" t="s">
        <v>5618</v>
      </c>
    </row>
    <row r="95" spans="1:20" x14ac:dyDescent="0.25">
      <c r="A95" s="23" t="s">
        <v>5619</v>
      </c>
      <c r="B95" s="23" t="s">
        <v>152</v>
      </c>
      <c r="C95" s="23" t="s">
        <v>5604</v>
      </c>
      <c r="D95" s="23" t="s">
        <v>5620</v>
      </c>
      <c r="E95" s="23" t="s">
        <v>5621</v>
      </c>
      <c r="F95" s="23" t="s">
        <v>5622</v>
      </c>
      <c r="G95" s="23" t="s">
        <v>5623</v>
      </c>
      <c r="H95" s="23" t="s">
        <v>5624</v>
      </c>
      <c r="I95" s="23" t="s">
        <v>5625</v>
      </c>
      <c r="J95" s="23" t="s">
        <v>14</v>
      </c>
      <c r="K95" s="27" t="s">
        <v>404</v>
      </c>
      <c r="L95" s="23" t="s">
        <v>490</v>
      </c>
      <c r="M95" s="25" t="s">
        <v>18</v>
      </c>
      <c r="N95" s="23" t="s">
        <v>40</v>
      </c>
      <c r="O95" s="23" t="s">
        <v>387</v>
      </c>
      <c r="P95" s="23" t="s">
        <v>40</v>
      </c>
      <c r="Q95" s="23" t="s">
        <v>40</v>
      </c>
      <c r="R95" s="23" t="s">
        <v>153</v>
      </c>
      <c r="S95" s="23" t="s">
        <v>40</v>
      </c>
      <c r="T95" s="23" t="s">
        <v>5626</v>
      </c>
    </row>
    <row r="96" spans="1:20" x14ac:dyDescent="0.25">
      <c r="A96" s="23" t="s">
        <v>5627</v>
      </c>
      <c r="B96" s="23" t="s">
        <v>152</v>
      </c>
      <c r="C96" s="23" t="s">
        <v>5604</v>
      </c>
      <c r="D96" s="23" t="s">
        <v>5628</v>
      </c>
      <c r="E96" s="23" t="s">
        <v>5629</v>
      </c>
      <c r="F96" s="23" t="s">
        <v>5630</v>
      </c>
      <c r="G96" s="23" t="s">
        <v>5631</v>
      </c>
      <c r="H96" s="23" t="s">
        <v>5632</v>
      </c>
      <c r="I96" s="23" t="s">
        <v>5633</v>
      </c>
      <c r="J96" s="23" t="s">
        <v>801</v>
      </c>
      <c r="K96" s="24" t="s">
        <v>386</v>
      </c>
      <c r="L96" s="23" t="s">
        <v>405</v>
      </c>
      <c r="M96" s="25" t="s">
        <v>18</v>
      </c>
      <c r="N96" s="23" t="s">
        <v>40</v>
      </c>
      <c r="O96" s="23" t="s">
        <v>387</v>
      </c>
      <c r="P96" s="23" t="s">
        <v>40</v>
      </c>
      <c r="Q96" s="23" t="s">
        <v>40</v>
      </c>
      <c r="R96" s="23" t="s">
        <v>153</v>
      </c>
      <c r="S96" s="23" t="s">
        <v>40</v>
      </c>
      <c r="T96" s="23" t="s">
        <v>5634</v>
      </c>
    </row>
    <row r="97" spans="1:20" x14ac:dyDescent="0.25">
      <c r="A97" s="23" t="s">
        <v>5635</v>
      </c>
      <c r="B97" s="23" t="s">
        <v>152</v>
      </c>
      <c r="C97" s="23" t="s">
        <v>5604</v>
      </c>
      <c r="D97" s="23" t="s">
        <v>5636</v>
      </c>
      <c r="E97" s="23" t="s">
        <v>5637</v>
      </c>
      <c r="F97" s="23" t="s">
        <v>5638</v>
      </c>
      <c r="G97" s="23" t="s">
        <v>5639</v>
      </c>
      <c r="H97" s="23" t="s">
        <v>5640</v>
      </c>
      <c r="I97" s="23" t="s">
        <v>5641</v>
      </c>
      <c r="J97" s="23" t="s">
        <v>14</v>
      </c>
      <c r="K97" s="24" t="s">
        <v>386</v>
      </c>
      <c r="L97" s="23" t="s">
        <v>405</v>
      </c>
      <c r="M97" s="25" t="s">
        <v>18</v>
      </c>
      <c r="N97" s="23" t="s">
        <v>40</v>
      </c>
      <c r="O97" s="23" t="s">
        <v>387</v>
      </c>
      <c r="P97" s="23" t="s">
        <v>40</v>
      </c>
      <c r="Q97" s="23" t="s">
        <v>40</v>
      </c>
      <c r="R97" s="23" t="s">
        <v>153</v>
      </c>
      <c r="S97" s="23" t="s">
        <v>40</v>
      </c>
      <c r="T97" s="23" t="s">
        <v>5642</v>
      </c>
    </row>
    <row r="98" spans="1:20" x14ac:dyDescent="0.25">
      <c r="A98" s="23" t="s">
        <v>5643</v>
      </c>
      <c r="B98" s="23" t="s">
        <v>152</v>
      </c>
      <c r="C98" s="23" t="s">
        <v>5644</v>
      </c>
      <c r="D98" s="23" t="s">
        <v>5645</v>
      </c>
      <c r="E98" s="23" t="s">
        <v>5646</v>
      </c>
      <c r="F98" s="23" t="s">
        <v>40</v>
      </c>
      <c r="G98" s="23" t="s">
        <v>5647</v>
      </c>
      <c r="H98" s="23" t="s">
        <v>5648</v>
      </c>
      <c r="I98" s="23" t="s">
        <v>5649</v>
      </c>
      <c r="J98" s="23" t="s">
        <v>801</v>
      </c>
      <c r="K98" s="24" t="s">
        <v>386</v>
      </c>
      <c r="L98" s="23" t="s">
        <v>405</v>
      </c>
      <c r="M98" s="25" t="s">
        <v>18</v>
      </c>
      <c r="N98" s="23" t="s">
        <v>40</v>
      </c>
      <c r="O98" s="23" t="s">
        <v>387</v>
      </c>
      <c r="P98" s="23" t="s">
        <v>40</v>
      </c>
      <c r="Q98" s="23" t="s">
        <v>40</v>
      </c>
      <c r="R98" s="23" t="s">
        <v>153</v>
      </c>
      <c r="S98" s="23" t="s">
        <v>40</v>
      </c>
      <c r="T98" s="23" t="s">
        <v>5650</v>
      </c>
    </row>
    <row r="99" spans="1:20" x14ac:dyDescent="0.25">
      <c r="A99" s="23" t="s">
        <v>5651</v>
      </c>
      <c r="B99" s="23" t="s">
        <v>152</v>
      </c>
      <c r="C99" s="23" t="s">
        <v>5652</v>
      </c>
      <c r="D99" s="23" t="s">
        <v>5653</v>
      </c>
      <c r="E99" s="23" t="s">
        <v>5654</v>
      </c>
      <c r="F99" s="23" t="s">
        <v>40</v>
      </c>
      <c r="G99" s="23" t="s">
        <v>5655</v>
      </c>
      <c r="H99" s="23" t="s">
        <v>5656</v>
      </c>
      <c r="I99" s="23" t="s">
        <v>5657</v>
      </c>
      <c r="J99" s="23" t="s">
        <v>385</v>
      </c>
      <c r="K99" s="32" t="s">
        <v>747</v>
      </c>
      <c r="L99" s="23" t="s">
        <v>490</v>
      </c>
      <c r="M99" s="25" t="s">
        <v>18</v>
      </c>
      <c r="N99" s="23" t="s">
        <v>40</v>
      </c>
      <c r="O99" s="23" t="s">
        <v>387</v>
      </c>
      <c r="P99" s="23" t="s">
        <v>40</v>
      </c>
      <c r="Q99" s="23" t="s">
        <v>40</v>
      </c>
      <c r="R99" s="23" t="s">
        <v>153</v>
      </c>
      <c r="S99" s="23" t="s">
        <v>40</v>
      </c>
      <c r="T99" s="23" t="s">
        <v>5658</v>
      </c>
    </row>
    <row r="100" spans="1:20" x14ac:dyDescent="0.25">
      <c r="A100" s="23" t="s">
        <v>5659</v>
      </c>
      <c r="B100" s="23" t="s">
        <v>152</v>
      </c>
      <c r="C100" s="23" t="s">
        <v>525</v>
      </c>
      <c r="D100" s="23" t="s">
        <v>5660</v>
      </c>
      <c r="E100" s="23" t="s">
        <v>5661</v>
      </c>
      <c r="F100" s="23" t="s">
        <v>40</v>
      </c>
      <c r="G100" s="23" t="s">
        <v>5662</v>
      </c>
      <c r="H100" s="23" t="s">
        <v>5663</v>
      </c>
      <c r="I100" s="23" t="s">
        <v>5664</v>
      </c>
      <c r="J100" s="23" t="s">
        <v>525</v>
      </c>
      <c r="K100" s="24" t="s">
        <v>386</v>
      </c>
      <c r="L100" s="23" t="s">
        <v>13</v>
      </c>
      <c r="M100" s="25" t="s">
        <v>18</v>
      </c>
      <c r="N100" s="23" t="s">
        <v>40</v>
      </c>
      <c r="O100" s="23" t="s">
        <v>387</v>
      </c>
      <c r="P100" s="23" t="s">
        <v>40</v>
      </c>
      <c r="Q100" s="23" t="s">
        <v>40</v>
      </c>
      <c r="R100" s="23" t="s">
        <v>153</v>
      </c>
      <c r="S100" s="23" t="s">
        <v>40</v>
      </c>
      <c r="T100" s="23" t="s">
        <v>5246</v>
      </c>
    </row>
    <row r="101" spans="1:20" x14ac:dyDescent="0.25">
      <c r="A101" s="23" t="s">
        <v>5665</v>
      </c>
      <c r="B101" s="23" t="s">
        <v>152</v>
      </c>
      <c r="C101" s="23" t="s">
        <v>525</v>
      </c>
      <c r="D101" s="23" t="s">
        <v>5666</v>
      </c>
      <c r="E101" s="23" t="s">
        <v>5249</v>
      </c>
      <c r="F101" s="23" t="s">
        <v>40</v>
      </c>
      <c r="G101" s="23" t="s">
        <v>5667</v>
      </c>
      <c r="H101" s="23" t="s">
        <v>5668</v>
      </c>
      <c r="I101" s="23" t="s">
        <v>3428</v>
      </c>
      <c r="J101" s="23" t="s">
        <v>395</v>
      </c>
      <c r="K101" s="24" t="s">
        <v>386</v>
      </c>
      <c r="L101" s="23" t="s">
        <v>405</v>
      </c>
      <c r="M101" s="25" t="s">
        <v>18</v>
      </c>
      <c r="N101" s="23" t="s">
        <v>40</v>
      </c>
      <c r="O101" s="23" t="s">
        <v>387</v>
      </c>
      <c r="P101" s="23" t="s">
        <v>40</v>
      </c>
      <c r="Q101" s="23" t="s">
        <v>40</v>
      </c>
      <c r="R101" s="23" t="s">
        <v>153</v>
      </c>
      <c r="S101" s="23" t="s">
        <v>40</v>
      </c>
      <c r="T101" s="23" t="s">
        <v>40</v>
      </c>
    </row>
    <row r="102" spans="1:20" x14ac:dyDescent="0.25">
      <c r="A102" s="23" t="s">
        <v>5669</v>
      </c>
      <c r="B102" s="23" t="s">
        <v>152</v>
      </c>
      <c r="C102" s="23" t="s">
        <v>434</v>
      </c>
      <c r="D102" s="23" t="s">
        <v>5670</v>
      </c>
      <c r="E102" s="23" t="s">
        <v>5671</v>
      </c>
      <c r="F102" s="23" t="s">
        <v>40</v>
      </c>
      <c r="G102" s="23" t="s">
        <v>5672</v>
      </c>
      <c r="H102" s="23" t="s">
        <v>5673</v>
      </c>
      <c r="I102" s="23" t="s">
        <v>5674</v>
      </c>
      <c r="J102" s="23" t="s">
        <v>434</v>
      </c>
      <c r="K102" s="27" t="s">
        <v>404</v>
      </c>
      <c r="L102" s="23" t="s">
        <v>490</v>
      </c>
      <c r="M102" s="25" t="s">
        <v>18</v>
      </c>
      <c r="N102" s="23" t="s">
        <v>40</v>
      </c>
      <c r="O102" s="23" t="s">
        <v>387</v>
      </c>
      <c r="P102" s="23" t="s">
        <v>40</v>
      </c>
      <c r="Q102" s="23" t="s">
        <v>40</v>
      </c>
      <c r="R102" s="23" t="s">
        <v>153</v>
      </c>
      <c r="S102" s="23" t="s">
        <v>40</v>
      </c>
      <c r="T102" s="23" t="s">
        <v>40</v>
      </c>
    </row>
    <row r="103" spans="1:20" x14ac:dyDescent="0.25">
      <c r="A103" s="23" t="s">
        <v>5675</v>
      </c>
      <c r="B103" s="23" t="s">
        <v>154</v>
      </c>
      <c r="C103" s="23" t="s">
        <v>944</v>
      </c>
      <c r="D103" s="23" t="s">
        <v>5676</v>
      </c>
      <c r="E103" s="23" t="s">
        <v>3835</v>
      </c>
      <c r="F103" s="23" t="s">
        <v>40</v>
      </c>
      <c r="G103" s="23" t="s">
        <v>5677</v>
      </c>
      <c r="H103" s="23" t="s">
        <v>5678</v>
      </c>
      <c r="I103" s="23" t="s">
        <v>5679</v>
      </c>
      <c r="J103" s="23" t="s">
        <v>385</v>
      </c>
      <c r="K103" s="24" t="s">
        <v>386</v>
      </c>
      <c r="L103" s="23" t="s">
        <v>13</v>
      </c>
      <c r="M103" s="31" t="s">
        <v>17</v>
      </c>
      <c r="N103" s="23" t="s">
        <v>5680</v>
      </c>
      <c r="O103" s="29" t="s">
        <v>87</v>
      </c>
      <c r="P103" s="23" t="s">
        <v>40</v>
      </c>
      <c r="Q103" s="23" t="s">
        <v>40</v>
      </c>
      <c r="R103" s="23" t="s">
        <v>155</v>
      </c>
      <c r="S103" s="23" t="s">
        <v>40</v>
      </c>
      <c r="T103" s="23" t="s">
        <v>40</v>
      </c>
    </row>
    <row r="104" spans="1:20" x14ac:dyDescent="0.25">
      <c r="A104" s="23" t="s">
        <v>5681</v>
      </c>
      <c r="B104" s="23" t="s">
        <v>154</v>
      </c>
      <c r="C104" s="23" t="s">
        <v>5682</v>
      </c>
      <c r="D104" s="23" t="s">
        <v>5683</v>
      </c>
      <c r="E104" s="23" t="s">
        <v>5684</v>
      </c>
      <c r="F104" s="23" t="s">
        <v>40</v>
      </c>
      <c r="G104" s="23" t="s">
        <v>5685</v>
      </c>
      <c r="H104" s="23" t="s">
        <v>5686</v>
      </c>
      <c r="I104" s="23" t="s">
        <v>5687</v>
      </c>
      <c r="J104" s="23" t="s">
        <v>801</v>
      </c>
      <c r="K104" s="26" t="s">
        <v>396</v>
      </c>
      <c r="L104" s="23" t="s">
        <v>13</v>
      </c>
      <c r="M104" s="28" t="s">
        <v>16</v>
      </c>
      <c r="N104" s="23" t="s">
        <v>4267</v>
      </c>
      <c r="O104" s="29" t="s">
        <v>87</v>
      </c>
      <c r="P104" s="23" t="s">
        <v>40</v>
      </c>
      <c r="Q104" s="23" t="s">
        <v>40</v>
      </c>
      <c r="R104" s="23" t="s">
        <v>132</v>
      </c>
      <c r="S104" s="23" t="s">
        <v>40</v>
      </c>
      <c r="T104" s="23" t="s">
        <v>5688</v>
      </c>
    </row>
    <row r="105" spans="1:20" x14ac:dyDescent="0.25">
      <c r="A105" s="23" t="s">
        <v>5689</v>
      </c>
      <c r="B105" s="23" t="s">
        <v>154</v>
      </c>
      <c r="C105" s="23" t="s">
        <v>5682</v>
      </c>
      <c r="D105" s="23" t="s">
        <v>5690</v>
      </c>
      <c r="E105" s="23" t="s">
        <v>5691</v>
      </c>
      <c r="F105" s="23" t="s">
        <v>40</v>
      </c>
      <c r="G105" s="23" t="s">
        <v>5692</v>
      </c>
      <c r="H105" s="23" t="s">
        <v>5693</v>
      </c>
      <c r="I105" s="23" t="s">
        <v>5694</v>
      </c>
      <c r="J105" s="23" t="s">
        <v>15</v>
      </c>
      <c r="K105" s="27" t="s">
        <v>404</v>
      </c>
      <c r="L105" s="23" t="s">
        <v>405</v>
      </c>
      <c r="M105" s="30" t="s">
        <v>19</v>
      </c>
      <c r="N105" s="23" t="s">
        <v>40</v>
      </c>
      <c r="O105" s="23" t="s">
        <v>387</v>
      </c>
      <c r="P105" s="23" t="s">
        <v>40</v>
      </c>
      <c r="Q105" s="23" t="s">
        <v>40</v>
      </c>
      <c r="R105" s="23" t="s">
        <v>132</v>
      </c>
      <c r="S105" s="23" t="s">
        <v>5695</v>
      </c>
      <c r="T105" s="23" t="s">
        <v>5696</v>
      </c>
    </row>
    <row r="106" spans="1:20" x14ac:dyDescent="0.25">
      <c r="A106" s="23" t="s">
        <v>5697</v>
      </c>
      <c r="B106" s="23" t="s">
        <v>154</v>
      </c>
      <c r="C106" s="23" t="s">
        <v>5682</v>
      </c>
      <c r="D106" s="23" t="s">
        <v>5698</v>
      </c>
      <c r="E106" s="23" t="s">
        <v>5699</v>
      </c>
      <c r="F106" s="23" t="s">
        <v>40</v>
      </c>
      <c r="G106" s="23" t="s">
        <v>5700</v>
      </c>
      <c r="H106" s="23" t="s">
        <v>5701</v>
      </c>
      <c r="I106" s="23" t="s">
        <v>5702</v>
      </c>
      <c r="J106" s="23" t="s">
        <v>15</v>
      </c>
      <c r="K106" s="27" t="s">
        <v>404</v>
      </c>
      <c r="L106" s="23" t="s">
        <v>490</v>
      </c>
      <c r="M106" s="25" t="s">
        <v>18</v>
      </c>
      <c r="N106" s="23" t="s">
        <v>40</v>
      </c>
      <c r="O106" s="23" t="s">
        <v>387</v>
      </c>
      <c r="P106" s="23" t="s">
        <v>40</v>
      </c>
      <c r="Q106" s="23" t="s">
        <v>40</v>
      </c>
      <c r="R106" s="23" t="s">
        <v>132</v>
      </c>
      <c r="S106" s="23" t="s">
        <v>40</v>
      </c>
      <c r="T106" s="23" t="s">
        <v>5703</v>
      </c>
    </row>
    <row r="107" spans="1:20" x14ac:dyDescent="0.25">
      <c r="A107" s="23" t="s">
        <v>5704</v>
      </c>
      <c r="B107" s="23" t="s">
        <v>154</v>
      </c>
      <c r="C107" s="23" t="s">
        <v>5682</v>
      </c>
      <c r="D107" s="23" t="s">
        <v>5705</v>
      </c>
      <c r="E107" s="23" t="s">
        <v>5706</v>
      </c>
      <c r="F107" s="23" t="s">
        <v>40</v>
      </c>
      <c r="G107" s="23" t="s">
        <v>5707</v>
      </c>
      <c r="H107" s="23" t="s">
        <v>5708</v>
      </c>
      <c r="I107" s="23" t="s">
        <v>5709</v>
      </c>
      <c r="J107" s="23" t="s">
        <v>15</v>
      </c>
      <c r="K107" s="27" t="s">
        <v>404</v>
      </c>
      <c r="L107" s="23" t="s">
        <v>405</v>
      </c>
      <c r="M107" s="25" t="s">
        <v>18</v>
      </c>
      <c r="N107" s="23" t="s">
        <v>40</v>
      </c>
      <c r="O107" s="23" t="s">
        <v>387</v>
      </c>
      <c r="P107" s="23" t="s">
        <v>40</v>
      </c>
      <c r="Q107" s="23" t="s">
        <v>40</v>
      </c>
      <c r="R107" s="23" t="s">
        <v>132</v>
      </c>
      <c r="S107" s="23" t="s">
        <v>5710</v>
      </c>
      <c r="T107" s="23" t="s">
        <v>40</v>
      </c>
    </row>
    <row r="108" spans="1:20" x14ac:dyDescent="0.25">
      <c r="A108" s="23" t="s">
        <v>5711</v>
      </c>
      <c r="B108" s="23" t="s">
        <v>5712</v>
      </c>
      <c r="C108" s="23" t="s">
        <v>5713</v>
      </c>
      <c r="D108" s="23" t="s">
        <v>5714</v>
      </c>
      <c r="E108" s="23" t="s">
        <v>5715</v>
      </c>
      <c r="F108" s="23" t="s">
        <v>40</v>
      </c>
      <c r="G108" s="23" t="s">
        <v>5716</v>
      </c>
      <c r="H108" s="23" t="s">
        <v>5717</v>
      </c>
      <c r="I108" s="23" t="s">
        <v>5718</v>
      </c>
      <c r="J108" s="23" t="s">
        <v>14</v>
      </c>
      <c r="K108" s="26" t="s">
        <v>396</v>
      </c>
      <c r="L108" s="23" t="s">
        <v>13</v>
      </c>
      <c r="M108" s="30" t="s">
        <v>19</v>
      </c>
      <c r="N108" s="23" t="s">
        <v>40</v>
      </c>
      <c r="O108" s="23" t="s">
        <v>387</v>
      </c>
      <c r="P108" s="23" t="s">
        <v>40</v>
      </c>
      <c r="Q108" s="23" t="s">
        <v>40</v>
      </c>
      <c r="R108" s="23" t="s">
        <v>5719</v>
      </c>
      <c r="S108" s="23" t="s">
        <v>5695</v>
      </c>
      <c r="T108" s="23" t="s">
        <v>5720</v>
      </c>
    </row>
    <row r="109" spans="1:20" x14ac:dyDescent="0.25">
      <c r="A109" s="23" t="s">
        <v>5721</v>
      </c>
      <c r="B109" s="23" t="s">
        <v>5712</v>
      </c>
      <c r="C109" s="23" t="s">
        <v>5713</v>
      </c>
      <c r="D109" s="23" t="s">
        <v>5722</v>
      </c>
      <c r="E109" s="23" t="s">
        <v>5723</v>
      </c>
      <c r="F109" s="23" t="s">
        <v>5724</v>
      </c>
      <c r="G109" s="23" t="s">
        <v>5725</v>
      </c>
      <c r="H109" s="23" t="s">
        <v>5726</v>
      </c>
      <c r="I109" s="23" t="s">
        <v>5727</v>
      </c>
      <c r="J109" s="23" t="s">
        <v>14</v>
      </c>
      <c r="K109" s="26" t="s">
        <v>396</v>
      </c>
      <c r="L109" s="23" t="s">
        <v>13</v>
      </c>
      <c r="M109" s="30" t="s">
        <v>19</v>
      </c>
      <c r="N109" s="23" t="s">
        <v>40</v>
      </c>
      <c r="O109" s="23" t="s">
        <v>387</v>
      </c>
      <c r="P109" s="23" t="s">
        <v>40</v>
      </c>
      <c r="Q109" s="23" t="s">
        <v>40</v>
      </c>
      <c r="R109" s="23" t="s">
        <v>5719</v>
      </c>
      <c r="S109" s="23" t="s">
        <v>5695</v>
      </c>
      <c r="T109" s="23" t="s">
        <v>5728</v>
      </c>
    </row>
    <row r="110" spans="1:20" x14ac:dyDescent="0.25">
      <c r="A110" s="23" t="s">
        <v>5729</v>
      </c>
      <c r="B110" s="23" t="s">
        <v>5712</v>
      </c>
      <c r="C110" s="23" t="s">
        <v>5713</v>
      </c>
      <c r="D110" s="23" t="s">
        <v>5730</v>
      </c>
      <c r="E110" s="23" t="s">
        <v>5723</v>
      </c>
      <c r="F110" s="23" t="s">
        <v>40</v>
      </c>
      <c r="G110" s="23" t="s">
        <v>5731</v>
      </c>
      <c r="H110" s="23" t="s">
        <v>5732</v>
      </c>
      <c r="I110" s="23" t="s">
        <v>5733</v>
      </c>
      <c r="J110" s="23" t="s">
        <v>385</v>
      </c>
      <c r="K110" s="32" t="s">
        <v>747</v>
      </c>
      <c r="L110" s="23" t="s">
        <v>490</v>
      </c>
      <c r="M110" s="30" t="s">
        <v>19</v>
      </c>
      <c r="N110" s="23" t="s">
        <v>40</v>
      </c>
      <c r="O110" s="23" t="s">
        <v>387</v>
      </c>
      <c r="P110" s="23" t="s">
        <v>40</v>
      </c>
      <c r="Q110" s="23" t="s">
        <v>40</v>
      </c>
      <c r="R110" s="23" t="s">
        <v>5719</v>
      </c>
      <c r="S110" s="23" t="s">
        <v>5695</v>
      </c>
      <c r="T110" s="23" t="s">
        <v>5734</v>
      </c>
    </row>
    <row r="111" spans="1:20" x14ac:dyDescent="0.25">
      <c r="A111" s="23" t="s">
        <v>5735</v>
      </c>
      <c r="B111" s="23" t="s">
        <v>5712</v>
      </c>
      <c r="C111" s="23" t="s">
        <v>5713</v>
      </c>
      <c r="D111" s="23" t="s">
        <v>5736</v>
      </c>
      <c r="E111" s="23" t="s">
        <v>5723</v>
      </c>
      <c r="F111" s="23" t="s">
        <v>40</v>
      </c>
      <c r="G111" s="23" t="s">
        <v>5737</v>
      </c>
      <c r="H111" s="23" t="s">
        <v>5738</v>
      </c>
      <c r="I111" s="23" t="s">
        <v>5739</v>
      </c>
      <c r="J111" s="23" t="s">
        <v>466</v>
      </c>
      <c r="K111" s="24" t="s">
        <v>386</v>
      </c>
      <c r="L111" s="23" t="s">
        <v>13</v>
      </c>
      <c r="M111" s="30" t="s">
        <v>19</v>
      </c>
      <c r="N111" s="23" t="s">
        <v>40</v>
      </c>
      <c r="O111" s="23" t="s">
        <v>387</v>
      </c>
      <c r="P111" s="23" t="s">
        <v>40</v>
      </c>
      <c r="Q111" s="23" t="s">
        <v>40</v>
      </c>
      <c r="R111" s="23" t="s">
        <v>5719</v>
      </c>
      <c r="S111" s="23" t="s">
        <v>5695</v>
      </c>
      <c r="T111" s="23" t="s">
        <v>5728</v>
      </c>
    </row>
    <row r="112" spans="1:20" x14ac:dyDescent="0.25">
      <c r="A112" s="23" t="s">
        <v>5740</v>
      </c>
      <c r="B112" s="23" t="s">
        <v>5712</v>
      </c>
      <c r="C112" s="23" t="s">
        <v>5713</v>
      </c>
      <c r="D112" s="23" t="s">
        <v>5741</v>
      </c>
      <c r="E112" s="23" t="s">
        <v>5723</v>
      </c>
      <c r="F112" s="23" t="s">
        <v>40</v>
      </c>
      <c r="G112" s="23" t="s">
        <v>5742</v>
      </c>
      <c r="H112" s="23" t="s">
        <v>5743</v>
      </c>
      <c r="I112" s="23" t="s">
        <v>5744</v>
      </c>
      <c r="J112" s="23" t="s">
        <v>489</v>
      </c>
      <c r="K112" s="27" t="s">
        <v>404</v>
      </c>
      <c r="L112" s="23" t="s">
        <v>405</v>
      </c>
      <c r="M112" s="30" t="s">
        <v>19</v>
      </c>
      <c r="N112" s="23" t="s">
        <v>40</v>
      </c>
      <c r="O112" s="23" t="s">
        <v>387</v>
      </c>
      <c r="P112" s="23" t="s">
        <v>40</v>
      </c>
      <c r="Q112" s="23" t="s">
        <v>40</v>
      </c>
      <c r="R112" s="23" t="s">
        <v>5719</v>
      </c>
      <c r="S112" s="23" t="s">
        <v>5695</v>
      </c>
      <c r="T112" s="23" t="s">
        <v>5734</v>
      </c>
    </row>
    <row r="113" spans="1:20" x14ac:dyDescent="0.25">
      <c r="A113" s="23" t="s">
        <v>5745</v>
      </c>
      <c r="B113" s="23" t="s">
        <v>5712</v>
      </c>
      <c r="C113" s="23" t="s">
        <v>5713</v>
      </c>
      <c r="D113" s="23" t="s">
        <v>5746</v>
      </c>
      <c r="E113" s="23" t="s">
        <v>5723</v>
      </c>
      <c r="F113" s="23" t="s">
        <v>5747</v>
      </c>
      <c r="G113" s="23" t="s">
        <v>5748</v>
      </c>
      <c r="H113" s="23" t="s">
        <v>5749</v>
      </c>
      <c r="I113" s="23" t="s">
        <v>5750</v>
      </c>
      <c r="J113" s="23" t="s">
        <v>489</v>
      </c>
      <c r="K113" s="27" t="s">
        <v>404</v>
      </c>
      <c r="L113" s="23" t="s">
        <v>405</v>
      </c>
      <c r="M113" s="30" t="s">
        <v>19</v>
      </c>
      <c r="N113" s="23" t="s">
        <v>40</v>
      </c>
      <c r="O113" s="23" t="s">
        <v>387</v>
      </c>
      <c r="P113" s="23" t="s">
        <v>40</v>
      </c>
      <c r="Q113" s="23" t="s">
        <v>40</v>
      </c>
      <c r="R113" s="23" t="s">
        <v>5719</v>
      </c>
      <c r="S113" s="23" t="s">
        <v>5695</v>
      </c>
      <c r="T113" s="23" t="s">
        <v>5734</v>
      </c>
    </row>
    <row r="114" spans="1:20" x14ac:dyDescent="0.25">
      <c r="A114" s="23" t="s">
        <v>5751</v>
      </c>
      <c r="B114" s="23" t="s">
        <v>5712</v>
      </c>
      <c r="C114" s="23" t="s">
        <v>5713</v>
      </c>
      <c r="D114" s="23" t="s">
        <v>5752</v>
      </c>
      <c r="E114" s="23" t="s">
        <v>5723</v>
      </c>
      <c r="F114" s="23" t="s">
        <v>40</v>
      </c>
      <c r="G114" s="23" t="s">
        <v>5753</v>
      </c>
      <c r="H114" s="23" t="s">
        <v>5754</v>
      </c>
      <c r="I114" s="23" t="s">
        <v>5755</v>
      </c>
      <c r="J114" s="23" t="s">
        <v>489</v>
      </c>
      <c r="K114" s="27" t="s">
        <v>404</v>
      </c>
      <c r="L114" s="23" t="s">
        <v>490</v>
      </c>
      <c r="M114" s="30" t="s">
        <v>19</v>
      </c>
      <c r="N114" s="23" t="s">
        <v>40</v>
      </c>
      <c r="O114" s="23" t="s">
        <v>387</v>
      </c>
      <c r="P114" s="23" t="s">
        <v>40</v>
      </c>
      <c r="Q114" s="23" t="s">
        <v>40</v>
      </c>
      <c r="R114" s="23" t="s">
        <v>5719</v>
      </c>
      <c r="S114" s="23" t="s">
        <v>5695</v>
      </c>
      <c r="T114" s="23" t="s">
        <v>5734</v>
      </c>
    </row>
    <row r="115" spans="1:20" x14ac:dyDescent="0.25">
      <c r="A115" s="23" t="s">
        <v>5756</v>
      </c>
      <c r="B115" s="23" t="s">
        <v>5712</v>
      </c>
      <c r="C115" s="23" t="s">
        <v>5713</v>
      </c>
      <c r="D115" s="23" t="s">
        <v>5757</v>
      </c>
      <c r="E115" s="23" t="s">
        <v>5723</v>
      </c>
      <c r="F115" s="23" t="s">
        <v>40</v>
      </c>
      <c r="G115" s="23" t="s">
        <v>5758</v>
      </c>
      <c r="H115" s="23" t="s">
        <v>5759</v>
      </c>
      <c r="I115" s="23" t="s">
        <v>5760</v>
      </c>
      <c r="J115" s="23" t="s">
        <v>489</v>
      </c>
      <c r="K115" s="27" t="s">
        <v>404</v>
      </c>
      <c r="L115" s="23" t="s">
        <v>490</v>
      </c>
      <c r="M115" s="30" t="s">
        <v>19</v>
      </c>
      <c r="N115" s="23" t="s">
        <v>40</v>
      </c>
      <c r="O115" s="23" t="s">
        <v>387</v>
      </c>
      <c r="P115" s="23" t="s">
        <v>40</v>
      </c>
      <c r="Q115" s="23" t="s">
        <v>40</v>
      </c>
      <c r="R115" s="23" t="s">
        <v>5719</v>
      </c>
      <c r="S115" s="23" t="s">
        <v>5695</v>
      </c>
      <c r="T115" s="23" t="s">
        <v>5728</v>
      </c>
    </row>
    <row r="116" spans="1:20" x14ac:dyDescent="0.25">
      <c r="A116" s="23" t="s">
        <v>5761</v>
      </c>
      <c r="B116" s="23" t="s">
        <v>5712</v>
      </c>
      <c r="C116" s="23" t="s">
        <v>5713</v>
      </c>
      <c r="D116" s="23" t="s">
        <v>5762</v>
      </c>
      <c r="E116" s="23" t="s">
        <v>5723</v>
      </c>
      <c r="F116" s="23" t="s">
        <v>40</v>
      </c>
      <c r="G116" s="23" t="s">
        <v>5763</v>
      </c>
      <c r="H116" s="23" t="s">
        <v>5764</v>
      </c>
      <c r="I116" s="23" t="s">
        <v>5765</v>
      </c>
      <c r="J116" s="23" t="s">
        <v>489</v>
      </c>
      <c r="K116" s="27" t="s">
        <v>404</v>
      </c>
      <c r="L116" s="23" t="s">
        <v>405</v>
      </c>
      <c r="M116" s="30" t="s">
        <v>19</v>
      </c>
      <c r="N116" s="23" t="s">
        <v>40</v>
      </c>
      <c r="O116" s="23" t="s">
        <v>387</v>
      </c>
      <c r="P116" s="23" t="s">
        <v>40</v>
      </c>
      <c r="Q116" s="23" t="s">
        <v>40</v>
      </c>
      <c r="R116" s="23" t="s">
        <v>5719</v>
      </c>
      <c r="S116" s="23" t="s">
        <v>5766</v>
      </c>
      <c r="T116" s="23" t="s">
        <v>5767</v>
      </c>
    </row>
    <row r="117" spans="1:20" x14ac:dyDescent="0.25">
      <c r="A117" s="23" t="s">
        <v>5768</v>
      </c>
      <c r="B117" s="23" t="s">
        <v>5712</v>
      </c>
      <c r="C117" s="23" t="s">
        <v>5713</v>
      </c>
      <c r="D117" s="23" t="s">
        <v>5769</v>
      </c>
      <c r="E117" s="23" t="s">
        <v>5770</v>
      </c>
      <c r="F117" s="23" t="s">
        <v>40</v>
      </c>
      <c r="G117" s="23" t="s">
        <v>5771</v>
      </c>
      <c r="H117" s="23" t="s">
        <v>5772</v>
      </c>
      <c r="I117" s="23" t="s">
        <v>5773</v>
      </c>
      <c r="J117" s="23" t="s">
        <v>15</v>
      </c>
      <c r="K117" s="27" t="s">
        <v>404</v>
      </c>
      <c r="L117" s="23" t="s">
        <v>405</v>
      </c>
      <c r="M117" s="30" t="s">
        <v>19</v>
      </c>
      <c r="N117" s="23" t="s">
        <v>40</v>
      </c>
      <c r="O117" s="23" t="s">
        <v>387</v>
      </c>
      <c r="P117" s="23" t="s">
        <v>40</v>
      </c>
      <c r="Q117" s="23" t="s">
        <v>40</v>
      </c>
      <c r="R117" s="23" t="s">
        <v>5719</v>
      </c>
      <c r="S117" s="23" t="s">
        <v>5695</v>
      </c>
      <c r="T117" s="23" t="s">
        <v>5720</v>
      </c>
    </row>
    <row r="118" spans="1:20" x14ac:dyDescent="0.25">
      <c r="A118" s="23" t="s">
        <v>5774</v>
      </c>
      <c r="B118" s="23" t="s">
        <v>5712</v>
      </c>
      <c r="C118" s="23" t="s">
        <v>5713</v>
      </c>
      <c r="D118" s="23" t="s">
        <v>5775</v>
      </c>
      <c r="E118" s="23" t="s">
        <v>5776</v>
      </c>
      <c r="F118" s="23" t="s">
        <v>40</v>
      </c>
      <c r="G118" s="23" t="s">
        <v>5777</v>
      </c>
      <c r="H118" s="23" t="s">
        <v>5778</v>
      </c>
      <c r="I118" s="23" t="s">
        <v>5779</v>
      </c>
      <c r="J118" s="23" t="s">
        <v>15</v>
      </c>
      <c r="K118" s="27" t="s">
        <v>404</v>
      </c>
      <c r="L118" s="23" t="s">
        <v>405</v>
      </c>
      <c r="M118" s="30" t="s">
        <v>19</v>
      </c>
      <c r="N118" s="23" t="s">
        <v>40</v>
      </c>
      <c r="O118" s="23" t="s">
        <v>387</v>
      </c>
      <c r="P118" s="23" t="s">
        <v>40</v>
      </c>
      <c r="Q118" s="23" t="s">
        <v>40</v>
      </c>
      <c r="R118" s="23" t="s">
        <v>5719</v>
      </c>
      <c r="S118" s="23" t="s">
        <v>5695</v>
      </c>
      <c r="T118" s="23" t="s">
        <v>5780</v>
      </c>
    </row>
    <row r="119" spans="1:20" x14ac:dyDescent="0.25">
      <c r="A119" s="23" t="s">
        <v>5781</v>
      </c>
      <c r="B119" s="23" t="s">
        <v>5712</v>
      </c>
      <c r="C119" s="23" t="s">
        <v>5713</v>
      </c>
      <c r="D119" s="23" t="s">
        <v>5782</v>
      </c>
      <c r="E119" s="23" t="s">
        <v>5783</v>
      </c>
      <c r="F119" s="23" t="s">
        <v>40</v>
      </c>
      <c r="G119" s="23" t="s">
        <v>5784</v>
      </c>
      <c r="H119" s="23" t="s">
        <v>5785</v>
      </c>
      <c r="I119" s="23" t="s">
        <v>5786</v>
      </c>
      <c r="J119" s="23" t="s">
        <v>14</v>
      </c>
      <c r="K119" s="27" t="s">
        <v>404</v>
      </c>
      <c r="L119" s="23" t="s">
        <v>490</v>
      </c>
      <c r="M119" s="30" t="s">
        <v>19</v>
      </c>
      <c r="N119" s="23" t="s">
        <v>40</v>
      </c>
      <c r="O119" s="23" t="s">
        <v>387</v>
      </c>
      <c r="P119" s="23" t="s">
        <v>40</v>
      </c>
      <c r="Q119" s="23" t="s">
        <v>40</v>
      </c>
      <c r="R119" s="23" t="s">
        <v>5719</v>
      </c>
      <c r="S119" s="23" t="s">
        <v>5695</v>
      </c>
      <c r="T119" s="23" t="s">
        <v>5728</v>
      </c>
    </row>
    <row r="120" spans="1:20" x14ac:dyDescent="0.25">
      <c r="A120" s="23" t="s">
        <v>5787</v>
      </c>
      <c r="B120" s="23" t="s">
        <v>154</v>
      </c>
      <c r="C120" s="23" t="s">
        <v>5788</v>
      </c>
      <c r="D120" s="23" t="s">
        <v>5789</v>
      </c>
      <c r="E120" s="23" t="s">
        <v>5790</v>
      </c>
      <c r="F120" s="23" t="s">
        <v>40</v>
      </c>
      <c r="G120" s="23" t="s">
        <v>5791</v>
      </c>
      <c r="H120" s="23" t="s">
        <v>5792</v>
      </c>
      <c r="I120" s="23" t="s">
        <v>5793</v>
      </c>
      <c r="J120" s="23" t="s">
        <v>14</v>
      </c>
      <c r="K120" s="24" t="s">
        <v>386</v>
      </c>
      <c r="L120" s="23" t="s">
        <v>405</v>
      </c>
      <c r="M120" s="25" t="s">
        <v>18</v>
      </c>
      <c r="N120" s="23" t="s">
        <v>40</v>
      </c>
      <c r="O120" s="23" t="s">
        <v>387</v>
      </c>
      <c r="P120" s="23" t="s">
        <v>40</v>
      </c>
      <c r="Q120" s="23" t="s">
        <v>40</v>
      </c>
      <c r="R120" s="23" t="s">
        <v>155</v>
      </c>
      <c r="S120" s="23" t="s">
        <v>40</v>
      </c>
      <c r="T120" s="23" t="s">
        <v>5794</v>
      </c>
    </row>
    <row r="121" spans="1:20" x14ac:dyDescent="0.25">
      <c r="A121" s="23" t="s">
        <v>5795</v>
      </c>
      <c r="B121" s="23" t="s">
        <v>154</v>
      </c>
      <c r="C121" s="23" t="s">
        <v>5788</v>
      </c>
      <c r="D121" s="23" t="s">
        <v>5796</v>
      </c>
      <c r="E121" s="23" t="s">
        <v>5797</v>
      </c>
      <c r="F121" s="23" t="s">
        <v>40</v>
      </c>
      <c r="G121" s="23" t="s">
        <v>5798</v>
      </c>
      <c r="H121" s="23" t="s">
        <v>5799</v>
      </c>
      <c r="I121" s="23" t="s">
        <v>5800</v>
      </c>
      <c r="J121" s="23" t="s">
        <v>14</v>
      </c>
      <c r="K121" s="26" t="s">
        <v>396</v>
      </c>
      <c r="L121" s="23" t="s">
        <v>13</v>
      </c>
      <c r="M121" s="25" t="s">
        <v>18</v>
      </c>
      <c r="N121" s="23" t="s">
        <v>40</v>
      </c>
      <c r="O121" s="23" t="s">
        <v>387</v>
      </c>
      <c r="P121" s="23" t="s">
        <v>40</v>
      </c>
      <c r="Q121" s="23" t="s">
        <v>40</v>
      </c>
      <c r="R121" s="23" t="s">
        <v>155</v>
      </c>
      <c r="S121" s="23" t="s">
        <v>5801</v>
      </c>
      <c r="T121" s="23" t="s">
        <v>5794</v>
      </c>
    </row>
    <row r="122" spans="1:20" x14ac:dyDescent="0.25">
      <c r="A122" s="23" t="s">
        <v>5802</v>
      </c>
      <c r="B122" s="23" t="s">
        <v>154</v>
      </c>
      <c r="C122" s="23" t="s">
        <v>5788</v>
      </c>
      <c r="D122" s="23" t="s">
        <v>5803</v>
      </c>
      <c r="E122" s="23" t="s">
        <v>5804</v>
      </c>
      <c r="F122" s="23" t="s">
        <v>40</v>
      </c>
      <c r="G122" s="23" t="s">
        <v>5805</v>
      </c>
      <c r="H122" s="23" t="s">
        <v>5806</v>
      </c>
      <c r="I122" s="23" t="s">
        <v>5807</v>
      </c>
      <c r="J122" s="23" t="s">
        <v>801</v>
      </c>
      <c r="K122" s="26" t="s">
        <v>396</v>
      </c>
      <c r="L122" s="23" t="s">
        <v>13</v>
      </c>
      <c r="M122" s="30" t="s">
        <v>19</v>
      </c>
      <c r="N122" s="23" t="s">
        <v>40</v>
      </c>
      <c r="O122" s="23" t="s">
        <v>387</v>
      </c>
      <c r="P122" s="23" t="s">
        <v>40</v>
      </c>
      <c r="Q122" s="23" t="s">
        <v>40</v>
      </c>
      <c r="R122" s="23" t="s">
        <v>155</v>
      </c>
      <c r="S122" s="23" t="s">
        <v>5808</v>
      </c>
      <c r="T122" s="23" t="s">
        <v>5809</v>
      </c>
    </row>
    <row r="123" spans="1:20" x14ac:dyDescent="0.25">
      <c r="A123" s="23" t="s">
        <v>5810</v>
      </c>
      <c r="B123" s="23" t="s">
        <v>154</v>
      </c>
      <c r="C123" s="23" t="s">
        <v>5788</v>
      </c>
      <c r="D123" s="23" t="s">
        <v>5811</v>
      </c>
      <c r="E123" s="23" t="s">
        <v>5812</v>
      </c>
      <c r="F123" s="23" t="s">
        <v>40</v>
      </c>
      <c r="G123" s="23" t="s">
        <v>5813</v>
      </c>
      <c r="H123" s="23" t="s">
        <v>5814</v>
      </c>
      <c r="I123" s="23" t="s">
        <v>5815</v>
      </c>
      <c r="J123" s="23" t="s">
        <v>15</v>
      </c>
      <c r="K123" s="27" t="s">
        <v>404</v>
      </c>
      <c r="L123" s="23" t="s">
        <v>405</v>
      </c>
      <c r="M123" s="30" t="s">
        <v>19</v>
      </c>
      <c r="N123" s="23" t="s">
        <v>40</v>
      </c>
      <c r="O123" s="23" t="s">
        <v>387</v>
      </c>
      <c r="P123" s="23" t="s">
        <v>40</v>
      </c>
      <c r="Q123" s="23" t="s">
        <v>40</v>
      </c>
      <c r="R123" s="23" t="s">
        <v>155</v>
      </c>
      <c r="S123" s="23" t="s">
        <v>5816</v>
      </c>
      <c r="T123" s="23" t="s">
        <v>5817</v>
      </c>
    </row>
    <row r="124" spans="1:20" x14ac:dyDescent="0.25">
      <c r="A124" s="23" t="s">
        <v>5818</v>
      </c>
      <c r="B124" s="23" t="s">
        <v>154</v>
      </c>
      <c r="C124" s="23" t="s">
        <v>5788</v>
      </c>
      <c r="D124" s="23" t="s">
        <v>5819</v>
      </c>
      <c r="E124" s="23" t="s">
        <v>5820</v>
      </c>
      <c r="F124" s="23" t="s">
        <v>5821</v>
      </c>
      <c r="G124" s="23" t="s">
        <v>5822</v>
      </c>
      <c r="H124" s="23" t="s">
        <v>5823</v>
      </c>
      <c r="I124" s="23" t="s">
        <v>5824</v>
      </c>
      <c r="J124" s="23" t="s">
        <v>14</v>
      </c>
      <c r="K124" s="26" t="s">
        <v>396</v>
      </c>
      <c r="L124" s="23" t="s">
        <v>13</v>
      </c>
      <c r="M124" s="30" t="s">
        <v>19</v>
      </c>
      <c r="N124" s="23" t="s">
        <v>40</v>
      </c>
      <c r="O124" s="23" t="s">
        <v>387</v>
      </c>
      <c r="P124" s="23" t="s">
        <v>40</v>
      </c>
      <c r="Q124" s="23" t="s">
        <v>40</v>
      </c>
      <c r="R124" s="23" t="s">
        <v>155</v>
      </c>
      <c r="S124" s="23" t="s">
        <v>5816</v>
      </c>
      <c r="T124" s="23" t="s">
        <v>5825</v>
      </c>
    </row>
    <row r="125" spans="1:20" x14ac:dyDescent="0.25">
      <c r="A125" s="23" t="s">
        <v>5826</v>
      </c>
      <c r="B125" s="23" t="s">
        <v>154</v>
      </c>
      <c r="C125" s="23" t="s">
        <v>5788</v>
      </c>
      <c r="D125" s="23" t="s">
        <v>5827</v>
      </c>
      <c r="E125" s="23" t="s">
        <v>5820</v>
      </c>
      <c r="F125" s="23" t="s">
        <v>40</v>
      </c>
      <c r="G125" s="23" t="s">
        <v>5828</v>
      </c>
      <c r="H125" s="23" t="s">
        <v>5829</v>
      </c>
      <c r="I125" s="23" t="s">
        <v>5830</v>
      </c>
      <c r="J125" s="23" t="s">
        <v>466</v>
      </c>
      <c r="K125" s="24" t="s">
        <v>386</v>
      </c>
      <c r="L125" s="23" t="s">
        <v>13</v>
      </c>
      <c r="M125" s="30" t="s">
        <v>19</v>
      </c>
      <c r="N125" s="23" t="s">
        <v>40</v>
      </c>
      <c r="O125" s="23" t="s">
        <v>387</v>
      </c>
      <c r="P125" s="23" t="s">
        <v>40</v>
      </c>
      <c r="Q125" s="23" t="s">
        <v>40</v>
      </c>
      <c r="R125" s="23" t="s">
        <v>155</v>
      </c>
      <c r="S125" s="23" t="s">
        <v>5816</v>
      </c>
      <c r="T125" s="23" t="s">
        <v>5068</v>
      </c>
    </row>
    <row r="126" spans="1:20" x14ac:dyDescent="0.25">
      <c r="A126" s="23" t="s">
        <v>5831</v>
      </c>
      <c r="B126" s="23" t="s">
        <v>154</v>
      </c>
      <c r="C126" s="23" t="s">
        <v>5788</v>
      </c>
      <c r="D126" s="23" t="s">
        <v>5832</v>
      </c>
      <c r="E126" s="23" t="s">
        <v>5833</v>
      </c>
      <c r="F126" s="23" t="s">
        <v>40</v>
      </c>
      <c r="G126" s="23" t="s">
        <v>5834</v>
      </c>
      <c r="H126" s="23" t="s">
        <v>5835</v>
      </c>
      <c r="I126" s="23" t="s">
        <v>5836</v>
      </c>
      <c r="J126" s="23" t="s">
        <v>15</v>
      </c>
      <c r="K126" s="27" t="s">
        <v>404</v>
      </c>
      <c r="L126" s="23" t="s">
        <v>405</v>
      </c>
      <c r="M126" s="25" t="s">
        <v>18</v>
      </c>
      <c r="N126" s="23" t="s">
        <v>40</v>
      </c>
      <c r="O126" s="23" t="s">
        <v>387</v>
      </c>
      <c r="P126" s="23" t="s">
        <v>40</v>
      </c>
      <c r="Q126" s="23" t="s">
        <v>40</v>
      </c>
      <c r="R126" s="23" t="s">
        <v>155</v>
      </c>
      <c r="S126" s="23" t="s">
        <v>40</v>
      </c>
      <c r="T126" s="23" t="s">
        <v>5780</v>
      </c>
    </row>
    <row r="127" spans="1:20" x14ac:dyDescent="0.25">
      <c r="A127" s="23" t="s">
        <v>5837</v>
      </c>
      <c r="B127" s="23" t="s">
        <v>154</v>
      </c>
      <c r="C127" s="23" t="s">
        <v>5788</v>
      </c>
      <c r="D127" s="23" t="s">
        <v>5838</v>
      </c>
      <c r="E127" s="23" t="s">
        <v>5839</v>
      </c>
      <c r="F127" s="23" t="s">
        <v>40</v>
      </c>
      <c r="G127" s="23" t="s">
        <v>5840</v>
      </c>
      <c r="H127" s="23" t="s">
        <v>5841</v>
      </c>
      <c r="I127" s="23" t="s">
        <v>5842</v>
      </c>
      <c r="J127" s="23" t="s">
        <v>14</v>
      </c>
      <c r="K127" s="24" t="s">
        <v>386</v>
      </c>
      <c r="L127" s="23" t="s">
        <v>405</v>
      </c>
      <c r="M127" s="25" t="s">
        <v>18</v>
      </c>
      <c r="N127" s="23" t="s">
        <v>40</v>
      </c>
      <c r="O127" s="23" t="s">
        <v>387</v>
      </c>
      <c r="P127" s="23" t="s">
        <v>40</v>
      </c>
      <c r="Q127" s="23" t="s">
        <v>40</v>
      </c>
      <c r="R127" s="23" t="s">
        <v>155</v>
      </c>
      <c r="S127" s="23" t="s">
        <v>40</v>
      </c>
      <c r="T127" s="23" t="s">
        <v>40</v>
      </c>
    </row>
    <row r="128" spans="1:20" x14ac:dyDescent="0.25">
      <c r="A128" s="23" t="s">
        <v>5843</v>
      </c>
      <c r="B128" s="23" t="s">
        <v>154</v>
      </c>
      <c r="C128" s="23" t="s">
        <v>5788</v>
      </c>
      <c r="D128" s="23" t="s">
        <v>5844</v>
      </c>
      <c r="E128" s="23" t="s">
        <v>3835</v>
      </c>
      <c r="F128" s="23" t="s">
        <v>40</v>
      </c>
      <c r="G128" s="23" t="s">
        <v>5845</v>
      </c>
      <c r="H128" s="23" t="s">
        <v>5846</v>
      </c>
      <c r="I128" s="23" t="s">
        <v>5847</v>
      </c>
      <c r="J128" s="23" t="s">
        <v>385</v>
      </c>
      <c r="K128" s="32" t="s">
        <v>747</v>
      </c>
      <c r="L128" s="23" t="s">
        <v>490</v>
      </c>
      <c r="M128" s="25" t="s">
        <v>18</v>
      </c>
      <c r="N128" s="23" t="s">
        <v>40</v>
      </c>
      <c r="O128" s="23" t="s">
        <v>387</v>
      </c>
      <c r="P128" s="23" t="s">
        <v>40</v>
      </c>
      <c r="Q128" s="23" t="s">
        <v>40</v>
      </c>
      <c r="R128" s="23" t="s">
        <v>155</v>
      </c>
      <c r="S128" s="23" t="s">
        <v>40</v>
      </c>
      <c r="T128" s="23" t="s">
        <v>40</v>
      </c>
    </row>
    <row r="129" spans="1:20" x14ac:dyDescent="0.25">
      <c r="A129" s="23" t="s">
        <v>5848</v>
      </c>
      <c r="B129" s="23" t="s">
        <v>154</v>
      </c>
      <c r="C129" s="23" t="s">
        <v>5788</v>
      </c>
      <c r="D129" s="23" t="s">
        <v>5849</v>
      </c>
      <c r="E129" s="23" t="s">
        <v>5850</v>
      </c>
      <c r="F129" s="23" t="s">
        <v>40</v>
      </c>
      <c r="G129" s="23" t="s">
        <v>5851</v>
      </c>
      <c r="H129" s="23" t="s">
        <v>5852</v>
      </c>
      <c r="I129" s="23" t="s">
        <v>5853</v>
      </c>
      <c r="J129" s="23" t="s">
        <v>15</v>
      </c>
      <c r="K129" s="27" t="s">
        <v>404</v>
      </c>
      <c r="L129" s="23" t="s">
        <v>490</v>
      </c>
      <c r="M129" s="25" t="s">
        <v>18</v>
      </c>
      <c r="N129" s="23" t="s">
        <v>40</v>
      </c>
      <c r="O129" s="23" t="s">
        <v>387</v>
      </c>
      <c r="P129" s="23" t="s">
        <v>40</v>
      </c>
      <c r="Q129" s="23" t="s">
        <v>40</v>
      </c>
      <c r="R129" s="23" t="s">
        <v>155</v>
      </c>
      <c r="S129" s="23" t="s">
        <v>40</v>
      </c>
      <c r="T129" s="23" t="s">
        <v>5794</v>
      </c>
    </row>
    <row r="130" spans="1:20" x14ac:dyDescent="0.25">
      <c r="A130" s="23" t="s">
        <v>5854</v>
      </c>
      <c r="B130" s="23" t="s">
        <v>154</v>
      </c>
      <c r="C130" s="23" t="s">
        <v>525</v>
      </c>
      <c r="D130" s="23" t="s">
        <v>5855</v>
      </c>
      <c r="E130" s="23" t="s">
        <v>5856</v>
      </c>
      <c r="F130" s="23" t="s">
        <v>40</v>
      </c>
      <c r="G130" s="23" t="s">
        <v>5857</v>
      </c>
      <c r="H130" s="23" t="s">
        <v>5858</v>
      </c>
      <c r="I130" s="23" t="s">
        <v>5859</v>
      </c>
      <c r="J130" s="23" t="s">
        <v>525</v>
      </c>
      <c r="K130" s="24" t="s">
        <v>386</v>
      </c>
      <c r="L130" s="23" t="s">
        <v>405</v>
      </c>
      <c r="M130" s="25" t="s">
        <v>18</v>
      </c>
      <c r="N130" s="23" t="s">
        <v>40</v>
      </c>
      <c r="O130" s="23" t="s">
        <v>387</v>
      </c>
      <c r="P130" s="23" t="s">
        <v>40</v>
      </c>
      <c r="Q130" s="23" t="s">
        <v>40</v>
      </c>
      <c r="R130" s="23" t="s">
        <v>155</v>
      </c>
      <c r="S130" s="23" t="s">
        <v>40</v>
      </c>
      <c r="T130" s="23" t="s">
        <v>5246</v>
      </c>
    </row>
    <row r="131" spans="1:20" x14ac:dyDescent="0.25">
      <c r="A131" s="23" t="s">
        <v>5860</v>
      </c>
      <c r="B131" s="23" t="s">
        <v>156</v>
      </c>
      <c r="C131" s="23" t="s">
        <v>944</v>
      </c>
      <c r="D131" s="23" t="s">
        <v>5861</v>
      </c>
      <c r="E131" s="23" t="s">
        <v>3835</v>
      </c>
      <c r="F131" s="23" t="s">
        <v>40</v>
      </c>
      <c r="G131" s="23" t="s">
        <v>5862</v>
      </c>
      <c r="H131" s="23" t="s">
        <v>5863</v>
      </c>
      <c r="I131" s="23" t="s">
        <v>5864</v>
      </c>
      <c r="J131" s="23" t="s">
        <v>385</v>
      </c>
      <c r="K131" s="24" t="s">
        <v>386</v>
      </c>
      <c r="L131" s="23" t="s">
        <v>13</v>
      </c>
      <c r="M131" s="31" t="s">
        <v>17</v>
      </c>
      <c r="N131" s="23" t="s">
        <v>5865</v>
      </c>
      <c r="O131" s="29" t="s">
        <v>87</v>
      </c>
      <c r="P131" s="23" t="s">
        <v>40</v>
      </c>
      <c r="Q131" s="23" t="s">
        <v>40</v>
      </c>
      <c r="R131" s="23" t="s">
        <v>157</v>
      </c>
      <c r="S131" s="23" t="s">
        <v>40</v>
      </c>
      <c r="T131" s="23" t="s">
        <v>40</v>
      </c>
    </row>
    <row r="132" spans="1:20" x14ac:dyDescent="0.25">
      <c r="A132" s="23" t="s">
        <v>5866</v>
      </c>
      <c r="B132" s="23" t="s">
        <v>156</v>
      </c>
      <c r="C132" s="23" t="s">
        <v>1741</v>
      </c>
      <c r="D132" s="23" t="s">
        <v>5867</v>
      </c>
      <c r="E132" s="23" t="s">
        <v>5868</v>
      </c>
      <c r="F132" s="23" t="s">
        <v>40</v>
      </c>
      <c r="G132" s="23" t="s">
        <v>5869</v>
      </c>
      <c r="H132" s="23" t="s">
        <v>5870</v>
      </c>
      <c r="I132" s="23" t="s">
        <v>5871</v>
      </c>
      <c r="J132" s="23" t="s">
        <v>14</v>
      </c>
      <c r="K132" s="24" t="s">
        <v>386</v>
      </c>
      <c r="L132" s="23" t="s">
        <v>405</v>
      </c>
      <c r="M132" s="25" t="s">
        <v>18</v>
      </c>
      <c r="N132" s="23" t="s">
        <v>40</v>
      </c>
      <c r="O132" s="23" t="s">
        <v>387</v>
      </c>
      <c r="P132" s="23" t="s">
        <v>40</v>
      </c>
      <c r="Q132" s="23" t="s">
        <v>40</v>
      </c>
      <c r="R132" s="23" t="s">
        <v>157</v>
      </c>
      <c r="S132" s="23" t="s">
        <v>40</v>
      </c>
      <c r="T132" s="23" t="s">
        <v>40</v>
      </c>
    </row>
    <row r="133" spans="1:20" x14ac:dyDescent="0.25">
      <c r="A133" s="23" t="s">
        <v>5872</v>
      </c>
      <c r="B133" s="23" t="s">
        <v>156</v>
      </c>
      <c r="C133" s="23" t="s">
        <v>1741</v>
      </c>
      <c r="D133" s="23" t="s">
        <v>5873</v>
      </c>
      <c r="E133" s="23" t="s">
        <v>3835</v>
      </c>
      <c r="F133" s="23" t="s">
        <v>40</v>
      </c>
      <c r="G133" s="23" t="s">
        <v>5874</v>
      </c>
      <c r="H133" s="23" t="s">
        <v>5875</v>
      </c>
      <c r="I133" s="23" t="s">
        <v>5876</v>
      </c>
      <c r="J133" s="23" t="s">
        <v>385</v>
      </c>
      <c r="K133" s="27" t="s">
        <v>404</v>
      </c>
      <c r="L133" s="23" t="s">
        <v>405</v>
      </c>
      <c r="M133" s="25" t="s">
        <v>18</v>
      </c>
      <c r="N133" s="23" t="s">
        <v>40</v>
      </c>
      <c r="O133" s="23" t="s">
        <v>387</v>
      </c>
      <c r="P133" s="23" t="s">
        <v>40</v>
      </c>
      <c r="Q133" s="23" t="s">
        <v>40</v>
      </c>
      <c r="R133" s="23" t="s">
        <v>157</v>
      </c>
      <c r="S133" s="23" t="s">
        <v>40</v>
      </c>
      <c r="T133" s="23" t="s">
        <v>40</v>
      </c>
    </row>
    <row r="134" spans="1:20" x14ac:dyDescent="0.25">
      <c r="A134" s="23" t="s">
        <v>5877</v>
      </c>
      <c r="B134" s="23" t="s">
        <v>156</v>
      </c>
      <c r="C134" s="23" t="s">
        <v>1741</v>
      </c>
      <c r="D134" s="23" t="s">
        <v>5878</v>
      </c>
      <c r="E134" s="23" t="s">
        <v>3835</v>
      </c>
      <c r="F134" s="23" t="s">
        <v>40</v>
      </c>
      <c r="G134" s="23" t="s">
        <v>5879</v>
      </c>
      <c r="H134" s="23" t="s">
        <v>5880</v>
      </c>
      <c r="I134" s="23" t="s">
        <v>5881</v>
      </c>
      <c r="J134" s="23" t="s">
        <v>14</v>
      </c>
      <c r="K134" s="24" t="s">
        <v>386</v>
      </c>
      <c r="L134" s="23" t="s">
        <v>405</v>
      </c>
      <c r="M134" s="25" t="s">
        <v>18</v>
      </c>
      <c r="N134" s="23" t="s">
        <v>40</v>
      </c>
      <c r="O134" s="23" t="s">
        <v>387</v>
      </c>
      <c r="P134" s="23" t="s">
        <v>40</v>
      </c>
      <c r="Q134" s="23" t="s">
        <v>40</v>
      </c>
      <c r="R134" s="23" t="s">
        <v>157</v>
      </c>
      <c r="S134" s="23" t="s">
        <v>40</v>
      </c>
      <c r="T134" s="23" t="s">
        <v>40</v>
      </c>
    </row>
    <row r="135" spans="1:20" x14ac:dyDescent="0.25">
      <c r="A135" s="23" t="s">
        <v>5882</v>
      </c>
      <c r="B135" s="23" t="s">
        <v>156</v>
      </c>
      <c r="C135" s="23" t="s">
        <v>1741</v>
      </c>
      <c r="D135" s="23" t="s">
        <v>5883</v>
      </c>
      <c r="E135" s="23" t="s">
        <v>3835</v>
      </c>
      <c r="F135" s="23" t="s">
        <v>40</v>
      </c>
      <c r="G135" s="23" t="s">
        <v>5884</v>
      </c>
      <c r="H135" s="23" t="s">
        <v>5885</v>
      </c>
      <c r="I135" s="23" t="s">
        <v>5886</v>
      </c>
      <c r="J135" s="23" t="s">
        <v>14</v>
      </c>
      <c r="K135" s="24" t="s">
        <v>386</v>
      </c>
      <c r="L135" s="23" t="s">
        <v>405</v>
      </c>
      <c r="M135" s="25" t="s">
        <v>18</v>
      </c>
      <c r="N135" s="23" t="s">
        <v>40</v>
      </c>
      <c r="O135" s="23" t="s">
        <v>387</v>
      </c>
      <c r="P135" s="23" t="s">
        <v>40</v>
      </c>
      <c r="Q135" s="23" t="s">
        <v>40</v>
      </c>
      <c r="R135" s="23" t="s">
        <v>157</v>
      </c>
      <c r="S135" s="23" t="s">
        <v>5887</v>
      </c>
      <c r="T135" s="23" t="s">
        <v>40</v>
      </c>
    </row>
    <row r="136" spans="1:20" x14ac:dyDescent="0.25">
      <c r="A136" s="23" t="s">
        <v>5888</v>
      </c>
      <c r="B136" s="23" t="s">
        <v>156</v>
      </c>
      <c r="C136" s="23" t="s">
        <v>1741</v>
      </c>
      <c r="D136" s="23" t="s">
        <v>5889</v>
      </c>
      <c r="E136" s="23" t="s">
        <v>5890</v>
      </c>
      <c r="F136" s="23" t="s">
        <v>40</v>
      </c>
      <c r="G136" s="23" t="s">
        <v>5891</v>
      </c>
      <c r="H136" s="23" t="s">
        <v>5892</v>
      </c>
      <c r="I136" s="23" t="s">
        <v>5893</v>
      </c>
      <c r="J136" s="23" t="s">
        <v>385</v>
      </c>
      <c r="K136" s="32" t="s">
        <v>747</v>
      </c>
      <c r="L136" s="23" t="s">
        <v>490</v>
      </c>
      <c r="M136" s="25" t="s">
        <v>18</v>
      </c>
      <c r="N136" s="23" t="s">
        <v>40</v>
      </c>
      <c r="O136" s="23" t="s">
        <v>387</v>
      </c>
      <c r="P136" s="23" t="s">
        <v>40</v>
      </c>
      <c r="Q136" s="23" t="s">
        <v>40</v>
      </c>
      <c r="R136" s="23" t="s">
        <v>157</v>
      </c>
      <c r="S136" s="23" t="s">
        <v>40</v>
      </c>
      <c r="T136" s="23" t="s">
        <v>40</v>
      </c>
    </row>
    <row r="137" spans="1:20" x14ac:dyDescent="0.25">
      <c r="A137" s="23" t="s">
        <v>5894</v>
      </c>
      <c r="B137" s="23" t="s">
        <v>156</v>
      </c>
      <c r="C137" s="23" t="s">
        <v>1753</v>
      </c>
      <c r="D137" s="23" t="s">
        <v>5895</v>
      </c>
      <c r="E137" s="23" t="s">
        <v>3835</v>
      </c>
      <c r="F137" s="23" t="s">
        <v>40</v>
      </c>
      <c r="G137" s="23" t="s">
        <v>5896</v>
      </c>
      <c r="H137" s="23" t="s">
        <v>5897</v>
      </c>
      <c r="I137" s="23" t="s">
        <v>5898</v>
      </c>
      <c r="J137" s="23" t="s">
        <v>385</v>
      </c>
      <c r="K137" s="27" t="s">
        <v>404</v>
      </c>
      <c r="L137" s="23" t="s">
        <v>405</v>
      </c>
      <c r="M137" s="25" t="s">
        <v>18</v>
      </c>
      <c r="N137" s="23" t="s">
        <v>40</v>
      </c>
      <c r="O137" s="23" t="s">
        <v>387</v>
      </c>
      <c r="P137" s="23" t="s">
        <v>40</v>
      </c>
      <c r="Q137" s="23" t="s">
        <v>40</v>
      </c>
      <c r="R137" s="23" t="s">
        <v>157</v>
      </c>
      <c r="S137" s="23" t="s">
        <v>40</v>
      </c>
      <c r="T137" s="23" t="s">
        <v>40</v>
      </c>
    </row>
    <row r="138" spans="1:20" x14ac:dyDescent="0.25">
      <c r="A138" s="23" t="s">
        <v>5899</v>
      </c>
      <c r="B138" s="23" t="s">
        <v>156</v>
      </c>
      <c r="C138" s="23" t="s">
        <v>5900</v>
      </c>
      <c r="D138" s="23" t="s">
        <v>5901</v>
      </c>
      <c r="E138" s="23" t="s">
        <v>3835</v>
      </c>
      <c r="F138" s="23" t="s">
        <v>40</v>
      </c>
      <c r="G138" s="23" t="s">
        <v>5902</v>
      </c>
      <c r="H138" s="23" t="s">
        <v>5903</v>
      </c>
      <c r="I138" s="23" t="s">
        <v>5904</v>
      </c>
      <c r="J138" s="23" t="s">
        <v>14</v>
      </c>
      <c r="K138" s="24" t="s">
        <v>386</v>
      </c>
      <c r="L138" s="23" t="s">
        <v>405</v>
      </c>
      <c r="M138" s="25" t="s">
        <v>18</v>
      </c>
      <c r="N138" s="23" t="s">
        <v>40</v>
      </c>
      <c r="O138" s="23" t="s">
        <v>387</v>
      </c>
      <c r="P138" s="23" t="s">
        <v>40</v>
      </c>
      <c r="Q138" s="23" t="s">
        <v>40</v>
      </c>
      <c r="R138" s="23" t="s">
        <v>157</v>
      </c>
      <c r="S138" s="23" t="s">
        <v>40</v>
      </c>
      <c r="T138" s="23" t="s">
        <v>40</v>
      </c>
    </row>
    <row r="139" spans="1:20" x14ac:dyDescent="0.25">
      <c r="A139" s="23" t="s">
        <v>5905</v>
      </c>
      <c r="B139" s="23" t="s">
        <v>156</v>
      </c>
      <c r="C139" s="23" t="s">
        <v>55</v>
      </c>
      <c r="D139" s="23" t="s">
        <v>5906</v>
      </c>
      <c r="E139" s="23" t="s">
        <v>5907</v>
      </c>
      <c r="F139" s="23" t="s">
        <v>40</v>
      </c>
      <c r="G139" s="23" t="s">
        <v>5908</v>
      </c>
      <c r="H139" s="23" t="s">
        <v>5909</v>
      </c>
      <c r="I139" s="23" t="s">
        <v>5910</v>
      </c>
      <c r="J139" s="23" t="s">
        <v>14</v>
      </c>
      <c r="K139" s="27" t="s">
        <v>404</v>
      </c>
      <c r="L139" s="23" t="s">
        <v>490</v>
      </c>
      <c r="M139" s="25" t="s">
        <v>18</v>
      </c>
      <c r="N139" s="23" t="s">
        <v>40</v>
      </c>
      <c r="O139" s="23" t="s">
        <v>387</v>
      </c>
      <c r="P139" s="23" t="s">
        <v>40</v>
      </c>
      <c r="Q139" s="23" t="s">
        <v>40</v>
      </c>
      <c r="R139" s="23" t="s">
        <v>157</v>
      </c>
      <c r="S139" s="23" t="s">
        <v>40</v>
      </c>
      <c r="T139" s="23" t="s">
        <v>5911</v>
      </c>
    </row>
    <row r="140" spans="1:20" x14ac:dyDescent="0.25">
      <c r="A140" s="23" t="s">
        <v>5912</v>
      </c>
      <c r="B140" s="23" t="s">
        <v>156</v>
      </c>
      <c r="C140" s="23" t="s">
        <v>5913</v>
      </c>
      <c r="D140" s="23" t="s">
        <v>5914</v>
      </c>
      <c r="E140" s="23" t="s">
        <v>5915</v>
      </c>
      <c r="F140" s="23" t="s">
        <v>40</v>
      </c>
      <c r="G140" s="23" t="s">
        <v>5916</v>
      </c>
      <c r="H140" s="23" t="s">
        <v>5917</v>
      </c>
      <c r="I140" s="23" t="s">
        <v>5918</v>
      </c>
      <c r="J140" s="23" t="s">
        <v>385</v>
      </c>
      <c r="K140" s="27" t="s">
        <v>404</v>
      </c>
      <c r="L140" s="23" t="s">
        <v>405</v>
      </c>
      <c r="M140" s="25" t="s">
        <v>18</v>
      </c>
      <c r="N140" s="23" t="s">
        <v>40</v>
      </c>
      <c r="O140" s="23" t="s">
        <v>387</v>
      </c>
      <c r="P140" s="23" t="s">
        <v>40</v>
      </c>
      <c r="Q140" s="23" t="s">
        <v>40</v>
      </c>
      <c r="R140" s="23" t="s">
        <v>157</v>
      </c>
      <c r="S140" s="23" t="s">
        <v>40</v>
      </c>
      <c r="T140" s="23" t="s">
        <v>40</v>
      </c>
    </row>
    <row r="141" spans="1:20" x14ac:dyDescent="0.25">
      <c r="A141" s="23" t="s">
        <v>5919</v>
      </c>
      <c r="B141" s="23" t="s">
        <v>156</v>
      </c>
      <c r="C141" s="23" t="s">
        <v>3</v>
      </c>
      <c r="D141" s="23" t="s">
        <v>5920</v>
      </c>
      <c r="E141" s="23" t="s">
        <v>5921</v>
      </c>
      <c r="F141" s="23" t="s">
        <v>40</v>
      </c>
      <c r="G141" s="23" t="s">
        <v>5922</v>
      </c>
      <c r="H141" s="23" t="s">
        <v>5923</v>
      </c>
      <c r="I141" s="23" t="s">
        <v>5924</v>
      </c>
      <c r="J141" s="23" t="s">
        <v>14</v>
      </c>
      <c r="K141" s="24" t="s">
        <v>386</v>
      </c>
      <c r="L141" s="23" t="s">
        <v>405</v>
      </c>
      <c r="M141" s="25" t="s">
        <v>18</v>
      </c>
      <c r="N141" s="23" t="s">
        <v>40</v>
      </c>
      <c r="O141" s="23" t="s">
        <v>387</v>
      </c>
      <c r="P141" s="23" t="s">
        <v>40</v>
      </c>
      <c r="Q141" s="23" t="s">
        <v>40</v>
      </c>
      <c r="R141" s="23" t="s">
        <v>157</v>
      </c>
      <c r="S141" s="23" t="s">
        <v>40</v>
      </c>
      <c r="T141" s="23" t="s">
        <v>5925</v>
      </c>
    </row>
    <row r="142" spans="1:20" x14ac:dyDescent="0.25">
      <c r="A142" s="23" t="s">
        <v>5926</v>
      </c>
      <c r="B142" s="23" t="s">
        <v>156</v>
      </c>
      <c r="C142" s="23" t="s">
        <v>3</v>
      </c>
      <c r="D142" s="23" t="s">
        <v>5927</v>
      </c>
      <c r="E142" s="23" t="s">
        <v>5928</v>
      </c>
      <c r="F142" s="23" t="s">
        <v>40</v>
      </c>
      <c r="G142" s="23" t="s">
        <v>5929</v>
      </c>
      <c r="H142" s="23" t="s">
        <v>5930</v>
      </c>
      <c r="I142" s="23" t="s">
        <v>5931</v>
      </c>
      <c r="J142" s="23" t="s">
        <v>15</v>
      </c>
      <c r="K142" s="27" t="s">
        <v>404</v>
      </c>
      <c r="L142" s="23" t="s">
        <v>405</v>
      </c>
      <c r="M142" s="25" t="s">
        <v>18</v>
      </c>
      <c r="N142" s="23" t="s">
        <v>40</v>
      </c>
      <c r="O142" s="23" t="s">
        <v>387</v>
      </c>
      <c r="P142" s="23" t="s">
        <v>40</v>
      </c>
      <c r="Q142" s="23" t="s">
        <v>40</v>
      </c>
      <c r="R142" s="23" t="s">
        <v>157</v>
      </c>
      <c r="S142" s="23" t="s">
        <v>40</v>
      </c>
      <c r="T142" s="23" t="s">
        <v>5932</v>
      </c>
    </row>
    <row r="143" spans="1:20" x14ac:dyDescent="0.25">
      <c r="A143" s="23" t="s">
        <v>5933</v>
      </c>
      <c r="B143" s="23" t="s">
        <v>156</v>
      </c>
      <c r="C143" s="23" t="s">
        <v>3</v>
      </c>
      <c r="D143" s="23" t="s">
        <v>5934</v>
      </c>
      <c r="E143" s="23" t="s">
        <v>5935</v>
      </c>
      <c r="F143" s="23" t="s">
        <v>40</v>
      </c>
      <c r="G143" s="23" t="s">
        <v>5936</v>
      </c>
      <c r="H143" s="23" t="s">
        <v>5937</v>
      </c>
      <c r="I143" s="23" t="s">
        <v>5938</v>
      </c>
      <c r="J143" s="23" t="s">
        <v>525</v>
      </c>
      <c r="K143" s="24" t="s">
        <v>386</v>
      </c>
      <c r="L143" s="23" t="s">
        <v>405</v>
      </c>
      <c r="M143" s="25" t="s">
        <v>18</v>
      </c>
      <c r="N143" s="23" t="s">
        <v>40</v>
      </c>
      <c r="O143" s="23" t="s">
        <v>387</v>
      </c>
      <c r="P143" s="23" t="s">
        <v>40</v>
      </c>
      <c r="Q143" s="23" t="s">
        <v>40</v>
      </c>
      <c r="R143" s="23" t="s">
        <v>157</v>
      </c>
      <c r="S143" s="23" t="s">
        <v>40</v>
      </c>
      <c r="T143" s="23" t="s">
        <v>5932</v>
      </c>
    </row>
    <row r="144" spans="1:20" x14ac:dyDescent="0.25">
      <c r="A144" s="23" t="s">
        <v>5939</v>
      </c>
      <c r="B144" s="23" t="s">
        <v>156</v>
      </c>
      <c r="C144" s="23" t="s">
        <v>5940</v>
      </c>
      <c r="D144" s="23" t="s">
        <v>5941</v>
      </c>
      <c r="E144" s="23" t="s">
        <v>5942</v>
      </c>
      <c r="F144" s="23" t="s">
        <v>40</v>
      </c>
      <c r="G144" s="23" t="s">
        <v>5943</v>
      </c>
      <c r="H144" s="23" t="s">
        <v>5944</v>
      </c>
      <c r="I144" s="23" t="s">
        <v>5945</v>
      </c>
      <c r="J144" s="23" t="s">
        <v>14</v>
      </c>
      <c r="K144" s="26" t="s">
        <v>396</v>
      </c>
      <c r="L144" s="23" t="s">
        <v>13</v>
      </c>
      <c r="M144" s="25" t="s">
        <v>18</v>
      </c>
      <c r="N144" s="23" t="s">
        <v>40</v>
      </c>
      <c r="O144" s="23" t="s">
        <v>387</v>
      </c>
      <c r="P144" s="23" t="s">
        <v>40</v>
      </c>
      <c r="Q144" s="23" t="s">
        <v>40</v>
      </c>
      <c r="R144" s="23" t="s">
        <v>330</v>
      </c>
      <c r="S144" s="23" t="s">
        <v>40</v>
      </c>
      <c r="T144" s="23" t="s">
        <v>5946</v>
      </c>
    </row>
    <row r="145" spans="1:20" x14ac:dyDescent="0.25">
      <c r="A145" s="23" t="s">
        <v>5947</v>
      </c>
      <c r="B145" s="23" t="s">
        <v>156</v>
      </c>
      <c r="C145" s="23" t="s">
        <v>5940</v>
      </c>
      <c r="D145" s="23" t="s">
        <v>5948</v>
      </c>
      <c r="E145" s="23" t="s">
        <v>5949</v>
      </c>
      <c r="F145" s="23" t="s">
        <v>40</v>
      </c>
      <c r="G145" s="23" t="s">
        <v>5950</v>
      </c>
      <c r="H145" s="23" t="s">
        <v>5951</v>
      </c>
      <c r="I145" s="23" t="s">
        <v>5952</v>
      </c>
      <c r="J145" s="23" t="s">
        <v>15</v>
      </c>
      <c r="K145" s="24" t="s">
        <v>386</v>
      </c>
      <c r="L145" s="23" t="s">
        <v>13</v>
      </c>
      <c r="M145" s="25" t="s">
        <v>18</v>
      </c>
      <c r="N145" s="23" t="s">
        <v>40</v>
      </c>
      <c r="O145" s="23" t="s">
        <v>387</v>
      </c>
      <c r="P145" s="23" t="s">
        <v>40</v>
      </c>
      <c r="Q145" s="23" t="s">
        <v>40</v>
      </c>
      <c r="R145" s="23" t="s">
        <v>157</v>
      </c>
      <c r="S145" s="23" t="s">
        <v>40</v>
      </c>
      <c r="T145" s="23" t="s">
        <v>5953</v>
      </c>
    </row>
    <row r="146" spans="1:20" x14ac:dyDescent="0.25">
      <c r="A146" s="23" t="s">
        <v>5954</v>
      </c>
      <c r="B146" s="23" t="s">
        <v>156</v>
      </c>
      <c r="C146" s="23" t="s">
        <v>5940</v>
      </c>
      <c r="D146" s="23" t="s">
        <v>5955</v>
      </c>
      <c r="E146" s="23" t="s">
        <v>5956</v>
      </c>
      <c r="F146" s="23" t="s">
        <v>40</v>
      </c>
      <c r="G146" s="23" t="s">
        <v>5957</v>
      </c>
      <c r="H146" s="23" t="s">
        <v>5958</v>
      </c>
      <c r="I146" s="23" t="s">
        <v>5959</v>
      </c>
      <c r="J146" s="23" t="s">
        <v>14</v>
      </c>
      <c r="K146" s="27" t="s">
        <v>404</v>
      </c>
      <c r="L146" s="23" t="s">
        <v>490</v>
      </c>
      <c r="M146" s="25" t="s">
        <v>18</v>
      </c>
      <c r="N146" s="23" t="s">
        <v>40</v>
      </c>
      <c r="O146" s="23" t="s">
        <v>387</v>
      </c>
      <c r="P146" s="23" t="s">
        <v>40</v>
      </c>
      <c r="Q146" s="23" t="s">
        <v>40</v>
      </c>
      <c r="R146" s="23" t="s">
        <v>157</v>
      </c>
      <c r="S146" s="23" t="s">
        <v>40</v>
      </c>
      <c r="T146" s="23" t="s">
        <v>5960</v>
      </c>
    </row>
    <row r="147" spans="1:20" x14ac:dyDescent="0.25">
      <c r="A147" s="23" t="s">
        <v>5961</v>
      </c>
      <c r="B147" s="23" t="s">
        <v>156</v>
      </c>
      <c r="C147" s="23" t="s">
        <v>5940</v>
      </c>
      <c r="D147" s="23" t="s">
        <v>5962</v>
      </c>
      <c r="E147" s="23" t="s">
        <v>5963</v>
      </c>
      <c r="F147" s="23" t="s">
        <v>40</v>
      </c>
      <c r="G147" s="23" t="s">
        <v>5964</v>
      </c>
      <c r="H147" s="23" t="s">
        <v>5965</v>
      </c>
      <c r="I147" s="23" t="s">
        <v>5966</v>
      </c>
      <c r="J147" s="23" t="s">
        <v>14</v>
      </c>
      <c r="K147" s="24" t="s">
        <v>386</v>
      </c>
      <c r="L147" s="23" t="s">
        <v>405</v>
      </c>
      <c r="M147" s="25" t="s">
        <v>18</v>
      </c>
      <c r="N147" s="23" t="s">
        <v>40</v>
      </c>
      <c r="O147" s="23" t="s">
        <v>387</v>
      </c>
      <c r="P147" s="23" t="s">
        <v>40</v>
      </c>
      <c r="Q147" s="23" t="s">
        <v>40</v>
      </c>
      <c r="R147" s="23" t="s">
        <v>330</v>
      </c>
      <c r="S147" s="23" t="s">
        <v>40</v>
      </c>
      <c r="T147" s="23" t="s">
        <v>5967</v>
      </c>
    </row>
    <row r="148" spans="1:20" x14ac:dyDescent="0.25">
      <c r="A148" s="23" t="s">
        <v>5968</v>
      </c>
      <c r="B148" s="23" t="s">
        <v>158</v>
      </c>
      <c r="C148" s="23" t="s">
        <v>944</v>
      </c>
      <c r="D148" s="23" t="s">
        <v>5969</v>
      </c>
      <c r="E148" s="23" t="s">
        <v>3835</v>
      </c>
      <c r="F148" s="23" t="s">
        <v>40</v>
      </c>
      <c r="G148" s="23" t="s">
        <v>5970</v>
      </c>
      <c r="H148" s="23" t="s">
        <v>5971</v>
      </c>
      <c r="I148" s="23" t="s">
        <v>5972</v>
      </c>
      <c r="J148" s="23" t="s">
        <v>385</v>
      </c>
      <c r="K148" s="24" t="s">
        <v>386</v>
      </c>
      <c r="L148" s="23" t="s">
        <v>13</v>
      </c>
      <c r="M148" s="31" t="s">
        <v>17</v>
      </c>
      <c r="N148" s="23" t="s">
        <v>5973</v>
      </c>
      <c r="O148" s="29" t="s">
        <v>87</v>
      </c>
      <c r="P148" s="23" t="s">
        <v>40</v>
      </c>
      <c r="Q148" s="23" t="s">
        <v>40</v>
      </c>
      <c r="R148" s="23" t="s">
        <v>159</v>
      </c>
      <c r="S148" s="23" t="s">
        <v>40</v>
      </c>
      <c r="T148" s="23" t="s">
        <v>40</v>
      </c>
    </row>
    <row r="149" spans="1:20" x14ac:dyDescent="0.25">
      <c r="A149" s="23" t="s">
        <v>5974</v>
      </c>
      <c r="B149" s="23" t="s">
        <v>158</v>
      </c>
      <c r="C149" s="23" t="s">
        <v>951</v>
      </c>
      <c r="D149" s="23" t="s">
        <v>5975</v>
      </c>
      <c r="E149" s="23" t="s">
        <v>5976</v>
      </c>
      <c r="F149" s="23" t="s">
        <v>40</v>
      </c>
      <c r="G149" s="23" t="s">
        <v>5977</v>
      </c>
      <c r="H149" s="23" t="s">
        <v>5978</v>
      </c>
      <c r="I149" s="23" t="s">
        <v>5979</v>
      </c>
      <c r="J149" s="23" t="s">
        <v>801</v>
      </c>
      <c r="K149" s="26" t="s">
        <v>396</v>
      </c>
      <c r="L149" s="23" t="s">
        <v>13</v>
      </c>
      <c r="M149" s="25" t="s">
        <v>18</v>
      </c>
      <c r="N149" s="23" t="s">
        <v>40</v>
      </c>
      <c r="O149" s="23" t="s">
        <v>387</v>
      </c>
      <c r="P149" s="23" t="s">
        <v>40</v>
      </c>
      <c r="Q149" s="23" t="s">
        <v>40</v>
      </c>
      <c r="R149" s="23" t="s">
        <v>159</v>
      </c>
      <c r="S149" s="23" t="s">
        <v>40</v>
      </c>
      <c r="T149" s="23" t="s">
        <v>5980</v>
      </c>
    </row>
    <row r="150" spans="1:20" x14ac:dyDescent="0.25">
      <c r="A150" s="23" t="s">
        <v>5981</v>
      </c>
      <c r="B150" s="23" t="s">
        <v>158</v>
      </c>
      <c r="C150" s="23" t="s">
        <v>963</v>
      </c>
      <c r="D150" s="23" t="s">
        <v>5982</v>
      </c>
      <c r="E150" s="23" t="s">
        <v>3835</v>
      </c>
      <c r="F150" s="23" t="s">
        <v>5983</v>
      </c>
      <c r="G150" s="23" t="s">
        <v>5984</v>
      </c>
      <c r="H150" s="23" t="s">
        <v>5985</v>
      </c>
      <c r="I150" s="23" t="s">
        <v>5986</v>
      </c>
      <c r="J150" s="23" t="s">
        <v>14</v>
      </c>
      <c r="K150" s="24" t="s">
        <v>386</v>
      </c>
      <c r="L150" s="23" t="s">
        <v>405</v>
      </c>
      <c r="M150" s="25" t="s">
        <v>18</v>
      </c>
      <c r="N150" s="23" t="s">
        <v>40</v>
      </c>
      <c r="O150" s="23" t="s">
        <v>387</v>
      </c>
      <c r="P150" s="23" t="s">
        <v>40</v>
      </c>
      <c r="Q150" s="23" t="s">
        <v>40</v>
      </c>
      <c r="R150" s="23" t="s">
        <v>159</v>
      </c>
      <c r="S150" s="23" t="s">
        <v>40</v>
      </c>
      <c r="T150" s="23" t="s">
        <v>40</v>
      </c>
    </row>
    <row r="151" spans="1:20" x14ac:dyDescent="0.25">
      <c r="A151" s="23" t="s">
        <v>5987</v>
      </c>
      <c r="B151" s="23" t="s">
        <v>158</v>
      </c>
      <c r="C151" s="23" t="s">
        <v>963</v>
      </c>
      <c r="D151" s="23" t="s">
        <v>5988</v>
      </c>
      <c r="E151" s="23" t="s">
        <v>3835</v>
      </c>
      <c r="F151" s="23" t="s">
        <v>40</v>
      </c>
      <c r="G151" s="23" t="s">
        <v>5989</v>
      </c>
      <c r="H151" s="23" t="s">
        <v>5990</v>
      </c>
      <c r="I151" s="23" t="s">
        <v>5991</v>
      </c>
      <c r="J151" s="23" t="s">
        <v>14</v>
      </c>
      <c r="K151" s="27" t="s">
        <v>404</v>
      </c>
      <c r="L151" s="23" t="s">
        <v>490</v>
      </c>
      <c r="M151" s="25" t="s">
        <v>18</v>
      </c>
      <c r="N151" s="23" t="s">
        <v>40</v>
      </c>
      <c r="O151" s="23" t="s">
        <v>387</v>
      </c>
      <c r="P151" s="23" t="s">
        <v>40</v>
      </c>
      <c r="Q151" s="23" t="s">
        <v>40</v>
      </c>
      <c r="R151" s="23" t="s">
        <v>159</v>
      </c>
      <c r="S151" s="23" t="s">
        <v>40</v>
      </c>
      <c r="T151" s="23" t="s">
        <v>40</v>
      </c>
    </row>
    <row r="152" spans="1:20" x14ac:dyDescent="0.25">
      <c r="A152" s="23" t="s">
        <v>5992</v>
      </c>
      <c r="B152" s="23" t="s">
        <v>158</v>
      </c>
      <c r="C152" s="23" t="s">
        <v>1741</v>
      </c>
      <c r="D152" s="23" t="s">
        <v>5993</v>
      </c>
      <c r="E152" s="23" t="s">
        <v>3835</v>
      </c>
      <c r="F152" s="23" t="s">
        <v>40</v>
      </c>
      <c r="G152" s="23" t="s">
        <v>5994</v>
      </c>
      <c r="H152" s="23" t="s">
        <v>5995</v>
      </c>
      <c r="I152" s="23" t="s">
        <v>5996</v>
      </c>
      <c r="J152" s="23" t="s">
        <v>14</v>
      </c>
      <c r="K152" s="24" t="s">
        <v>386</v>
      </c>
      <c r="L152" s="23" t="s">
        <v>405</v>
      </c>
      <c r="M152" s="25" t="s">
        <v>18</v>
      </c>
      <c r="N152" s="23" t="s">
        <v>40</v>
      </c>
      <c r="O152" s="23" t="s">
        <v>387</v>
      </c>
      <c r="P152" s="23" t="s">
        <v>40</v>
      </c>
      <c r="Q152" s="23" t="s">
        <v>40</v>
      </c>
      <c r="R152" s="23" t="s">
        <v>159</v>
      </c>
      <c r="S152" s="23" t="s">
        <v>40</v>
      </c>
      <c r="T152" s="23" t="s">
        <v>5980</v>
      </c>
    </row>
    <row r="153" spans="1:20" x14ac:dyDescent="0.25">
      <c r="A153" s="23" t="s">
        <v>5997</v>
      </c>
      <c r="B153" s="23" t="s">
        <v>158</v>
      </c>
      <c r="C153" s="23" t="s">
        <v>1741</v>
      </c>
      <c r="D153" s="23" t="s">
        <v>5998</v>
      </c>
      <c r="E153" s="23" t="s">
        <v>3835</v>
      </c>
      <c r="F153" s="23" t="s">
        <v>40</v>
      </c>
      <c r="G153" s="23" t="s">
        <v>5999</v>
      </c>
      <c r="H153" s="23" t="s">
        <v>6000</v>
      </c>
      <c r="I153" s="23" t="s">
        <v>6001</v>
      </c>
      <c r="J153" s="23" t="s">
        <v>14</v>
      </c>
      <c r="K153" s="27" t="s">
        <v>404</v>
      </c>
      <c r="L153" s="23" t="s">
        <v>490</v>
      </c>
      <c r="M153" s="25" t="s">
        <v>18</v>
      </c>
      <c r="N153" s="23" t="s">
        <v>40</v>
      </c>
      <c r="O153" s="23" t="s">
        <v>387</v>
      </c>
      <c r="P153" s="23" t="s">
        <v>40</v>
      </c>
      <c r="Q153" s="23" t="s">
        <v>40</v>
      </c>
      <c r="R153" s="23" t="s">
        <v>159</v>
      </c>
      <c r="S153" s="23" t="s">
        <v>40</v>
      </c>
      <c r="T153" s="23" t="s">
        <v>5980</v>
      </c>
    </row>
    <row r="154" spans="1:20" x14ac:dyDescent="0.25">
      <c r="A154" s="23" t="s">
        <v>6002</v>
      </c>
      <c r="B154" s="23" t="s">
        <v>158</v>
      </c>
      <c r="C154" s="23" t="s">
        <v>1741</v>
      </c>
      <c r="D154" s="23" t="s">
        <v>6003</v>
      </c>
      <c r="E154" s="23" t="s">
        <v>6004</v>
      </c>
      <c r="F154" s="23" t="s">
        <v>40</v>
      </c>
      <c r="G154" s="23" t="s">
        <v>6005</v>
      </c>
      <c r="H154" s="23" t="s">
        <v>6006</v>
      </c>
      <c r="I154" s="23" t="s">
        <v>6007</v>
      </c>
      <c r="J154" s="23" t="s">
        <v>489</v>
      </c>
      <c r="K154" s="27" t="s">
        <v>404</v>
      </c>
      <c r="L154" s="23" t="s">
        <v>405</v>
      </c>
      <c r="M154" s="25" t="s">
        <v>18</v>
      </c>
      <c r="N154" s="23" t="s">
        <v>40</v>
      </c>
      <c r="O154" s="23" t="s">
        <v>387</v>
      </c>
      <c r="P154" s="23" t="s">
        <v>40</v>
      </c>
      <c r="Q154" s="23" t="s">
        <v>40</v>
      </c>
      <c r="R154" s="23" t="s">
        <v>159</v>
      </c>
      <c r="S154" s="23" t="s">
        <v>5267</v>
      </c>
      <c r="T154" s="23" t="s">
        <v>5980</v>
      </c>
    </row>
    <row r="155" spans="1:20" x14ac:dyDescent="0.25">
      <c r="A155" s="23" t="s">
        <v>6008</v>
      </c>
      <c r="B155" s="23" t="s">
        <v>158</v>
      </c>
      <c r="C155" s="23" t="s">
        <v>951</v>
      </c>
      <c r="D155" s="23" t="s">
        <v>6009</v>
      </c>
      <c r="E155" s="23" t="s">
        <v>6010</v>
      </c>
      <c r="F155" s="23" t="s">
        <v>40</v>
      </c>
      <c r="G155" s="23" t="s">
        <v>6011</v>
      </c>
      <c r="H155" s="23" t="s">
        <v>6012</v>
      </c>
      <c r="I155" s="23" t="s">
        <v>6013</v>
      </c>
      <c r="J155" s="23" t="s">
        <v>14</v>
      </c>
      <c r="K155" s="27" t="s">
        <v>404</v>
      </c>
      <c r="L155" s="23" t="s">
        <v>490</v>
      </c>
      <c r="M155" s="25" t="s">
        <v>18</v>
      </c>
      <c r="N155" s="23" t="s">
        <v>40</v>
      </c>
      <c r="O155" s="23" t="s">
        <v>387</v>
      </c>
      <c r="P155" s="23" t="s">
        <v>40</v>
      </c>
      <c r="Q155" s="23" t="s">
        <v>40</v>
      </c>
      <c r="R155" s="23" t="s">
        <v>159</v>
      </c>
      <c r="S155" s="23" t="s">
        <v>40</v>
      </c>
      <c r="T155" s="23" t="s">
        <v>6014</v>
      </c>
    </row>
    <row r="156" spans="1:20" x14ac:dyDescent="0.25">
      <c r="A156" s="23" t="s">
        <v>6015</v>
      </c>
      <c r="B156" s="23" t="s">
        <v>158</v>
      </c>
      <c r="C156" s="23" t="s">
        <v>951</v>
      </c>
      <c r="D156" s="23" t="s">
        <v>6016</v>
      </c>
      <c r="E156" s="23" t="s">
        <v>6017</v>
      </c>
      <c r="F156" s="23" t="s">
        <v>40</v>
      </c>
      <c r="G156" s="23" t="s">
        <v>6011</v>
      </c>
      <c r="H156" s="23" t="s">
        <v>6018</v>
      </c>
      <c r="I156" s="23" t="s">
        <v>6019</v>
      </c>
      <c r="J156" s="23" t="s">
        <v>15</v>
      </c>
      <c r="K156" s="27" t="s">
        <v>404</v>
      </c>
      <c r="L156" s="23" t="s">
        <v>490</v>
      </c>
      <c r="M156" s="25" t="s">
        <v>18</v>
      </c>
      <c r="N156" s="23" t="s">
        <v>40</v>
      </c>
      <c r="O156" s="23" t="s">
        <v>387</v>
      </c>
      <c r="P156" s="23" t="s">
        <v>40</v>
      </c>
      <c r="Q156" s="23" t="s">
        <v>40</v>
      </c>
      <c r="R156" s="23" t="s">
        <v>159</v>
      </c>
      <c r="S156" s="23" t="s">
        <v>40</v>
      </c>
      <c r="T156" s="23" t="s">
        <v>5980</v>
      </c>
    </row>
    <row r="157" spans="1:20" x14ac:dyDescent="0.25">
      <c r="A157" s="23" t="s">
        <v>6020</v>
      </c>
      <c r="B157" s="23" t="s">
        <v>158</v>
      </c>
      <c r="C157" s="23" t="s">
        <v>951</v>
      </c>
      <c r="D157" s="23" t="s">
        <v>6021</v>
      </c>
      <c r="E157" s="23" t="s">
        <v>3835</v>
      </c>
      <c r="F157" s="23" t="s">
        <v>40</v>
      </c>
      <c r="G157" s="23" t="s">
        <v>6022</v>
      </c>
      <c r="H157" s="23" t="s">
        <v>6023</v>
      </c>
      <c r="I157" s="23" t="s">
        <v>6024</v>
      </c>
      <c r="J157" s="23" t="s">
        <v>385</v>
      </c>
      <c r="K157" s="32" t="s">
        <v>747</v>
      </c>
      <c r="L157" s="23" t="s">
        <v>490</v>
      </c>
      <c r="M157" s="25" t="s">
        <v>18</v>
      </c>
      <c r="N157" s="23" t="s">
        <v>40</v>
      </c>
      <c r="O157" s="23" t="s">
        <v>387</v>
      </c>
      <c r="P157" s="23" t="s">
        <v>40</v>
      </c>
      <c r="Q157" s="23" t="s">
        <v>40</v>
      </c>
      <c r="R157" s="23" t="s">
        <v>159</v>
      </c>
      <c r="S157" s="23" t="s">
        <v>40</v>
      </c>
      <c r="T157" s="23" t="s">
        <v>40</v>
      </c>
    </row>
    <row r="158" spans="1:20" x14ac:dyDescent="0.25">
      <c r="A158" s="23" t="s">
        <v>6025</v>
      </c>
      <c r="B158" s="23" t="s">
        <v>158</v>
      </c>
      <c r="C158" s="23" t="s">
        <v>951</v>
      </c>
      <c r="D158" s="23" t="s">
        <v>6026</v>
      </c>
      <c r="E158" s="23" t="s">
        <v>6027</v>
      </c>
      <c r="F158" s="23" t="s">
        <v>40</v>
      </c>
      <c r="G158" s="23" t="s">
        <v>6028</v>
      </c>
      <c r="H158" s="23" t="s">
        <v>6029</v>
      </c>
      <c r="I158" s="23" t="s">
        <v>6030</v>
      </c>
      <c r="J158" s="23" t="s">
        <v>385</v>
      </c>
      <c r="K158" s="32" t="s">
        <v>747</v>
      </c>
      <c r="L158" s="23" t="s">
        <v>490</v>
      </c>
      <c r="M158" s="25" t="s">
        <v>18</v>
      </c>
      <c r="N158" s="23" t="s">
        <v>40</v>
      </c>
      <c r="O158" s="23" t="s">
        <v>387</v>
      </c>
      <c r="P158" s="23" t="s">
        <v>40</v>
      </c>
      <c r="Q158" s="23" t="s">
        <v>40</v>
      </c>
      <c r="R158" s="23" t="s">
        <v>159</v>
      </c>
      <c r="S158" s="23" t="s">
        <v>40</v>
      </c>
      <c r="T158" s="23" t="s">
        <v>5980</v>
      </c>
    </row>
    <row r="159" spans="1:20" x14ac:dyDescent="0.25">
      <c r="A159" s="23" t="s">
        <v>6031</v>
      </c>
      <c r="B159" s="23" t="s">
        <v>160</v>
      </c>
      <c r="C159" s="23" t="s">
        <v>944</v>
      </c>
      <c r="D159" s="23" t="s">
        <v>6032</v>
      </c>
      <c r="E159" s="23" t="s">
        <v>3835</v>
      </c>
      <c r="F159" s="23" t="s">
        <v>40</v>
      </c>
      <c r="G159" s="23" t="s">
        <v>6033</v>
      </c>
      <c r="H159" s="23" t="s">
        <v>6034</v>
      </c>
      <c r="I159" s="23" t="s">
        <v>6035</v>
      </c>
      <c r="J159" s="23" t="s">
        <v>385</v>
      </c>
      <c r="K159" s="24" t="s">
        <v>386</v>
      </c>
      <c r="L159" s="23" t="s">
        <v>13</v>
      </c>
      <c r="M159" s="31" t="s">
        <v>17</v>
      </c>
      <c r="N159" s="23" t="s">
        <v>6036</v>
      </c>
      <c r="O159" s="29" t="s">
        <v>87</v>
      </c>
      <c r="P159" s="23" t="s">
        <v>40</v>
      </c>
      <c r="Q159" s="23" t="s">
        <v>40</v>
      </c>
      <c r="R159" s="23" t="s">
        <v>161</v>
      </c>
      <c r="S159" s="23" t="s">
        <v>40</v>
      </c>
      <c r="T159" s="23" t="s">
        <v>40</v>
      </c>
    </row>
    <row r="160" spans="1:20" x14ac:dyDescent="0.25">
      <c r="A160" s="23" t="s">
        <v>6037</v>
      </c>
      <c r="B160" s="23" t="s">
        <v>160</v>
      </c>
      <c r="C160" s="23" t="s">
        <v>6038</v>
      </c>
      <c r="D160" s="23" t="s">
        <v>6039</v>
      </c>
      <c r="E160" s="23" t="s">
        <v>6040</v>
      </c>
      <c r="F160" s="23" t="s">
        <v>40</v>
      </c>
      <c r="G160" s="23" t="s">
        <v>6041</v>
      </c>
      <c r="H160" s="23" t="s">
        <v>6042</v>
      </c>
      <c r="I160" s="23" t="s">
        <v>6043</v>
      </c>
      <c r="J160" s="23" t="s">
        <v>801</v>
      </c>
      <c r="K160" s="26" t="s">
        <v>396</v>
      </c>
      <c r="L160" s="23" t="s">
        <v>13</v>
      </c>
      <c r="M160" s="25" t="s">
        <v>18</v>
      </c>
      <c r="N160" s="23" t="s">
        <v>40</v>
      </c>
      <c r="O160" s="23" t="s">
        <v>387</v>
      </c>
      <c r="P160" s="23" t="s">
        <v>40</v>
      </c>
      <c r="Q160" s="23" t="s">
        <v>40</v>
      </c>
      <c r="R160" s="23" t="s">
        <v>161</v>
      </c>
      <c r="S160" s="23" t="s">
        <v>40</v>
      </c>
      <c r="T160" s="23" t="s">
        <v>5489</v>
      </c>
    </row>
    <row r="161" spans="1:20" x14ac:dyDescent="0.25">
      <c r="A161" s="23" t="s">
        <v>6044</v>
      </c>
      <c r="B161" s="23" t="s">
        <v>160</v>
      </c>
      <c r="C161" s="23" t="s">
        <v>6038</v>
      </c>
      <c r="D161" s="23" t="s">
        <v>6045</v>
      </c>
      <c r="E161" s="23" t="s">
        <v>6046</v>
      </c>
      <c r="F161" s="23" t="s">
        <v>40</v>
      </c>
      <c r="G161" s="23" t="s">
        <v>6047</v>
      </c>
      <c r="H161" s="23" t="s">
        <v>6048</v>
      </c>
      <c r="I161" s="23" t="s">
        <v>6019</v>
      </c>
      <c r="J161" s="23" t="s">
        <v>15</v>
      </c>
      <c r="K161" s="27" t="s">
        <v>404</v>
      </c>
      <c r="L161" s="23" t="s">
        <v>405</v>
      </c>
      <c r="M161" s="25" t="s">
        <v>18</v>
      </c>
      <c r="N161" s="23" t="s">
        <v>40</v>
      </c>
      <c r="O161" s="23" t="s">
        <v>387</v>
      </c>
      <c r="P161" s="23" t="s">
        <v>40</v>
      </c>
      <c r="Q161" s="23" t="s">
        <v>40</v>
      </c>
      <c r="R161" s="23" t="s">
        <v>161</v>
      </c>
      <c r="S161" s="23" t="s">
        <v>40</v>
      </c>
      <c r="T161" s="23" t="s">
        <v>5483</v>
      </c>
    </row>
    <row r="162" spans="1:20" x14ac:dyDescent="0.25">
      <c r="A162" s="23" t="s">
        <v>6049</v>
      </c>
      <c r="B162" s="23" t="s">
        <v>160</v>
      </c>
      <c r="C162" s="23" t="s">
        <v>6038</v>
      </c>
      <c r="D162" s="23" t="s">
        <v>6050</v>
      </c>
      <c r="E162" s="23" t="s">
        <v>6051</v>
      </c>
      <c r="F162" s="23" t="s">
        <v>40</v>
      </c>
      <c r="G162" s="23" t="s">
        <v>6052</v>
      </c>
      <c r="H162" s="23" t="s">
        <v>6053</v>
      </c>
      <c r="I162" s="23" t="s">
        <v>6054</v>
      </c>
      <c r="J162" s="23" t="s">
        <v>14</v>
      </c>
      <c r="K162" s="27" t="s">
        <v>404</v>
      </c>
      <c r="L162" s="23" t="s">
        <v>490</v>
      </c>
      <c r="M162" s="25" t="s">
        <v>18</v>
      </c>
      <c r="N162" s="23" t="s">
        <v>40</v>
      </c>
      <c r="O162" s="23" t="s">
        <v>387</v>
      </c>
      <c r="P162" s="23" t="s">
        <v>40</v>
      </c>
      <c r="Q162" s="23" t="s">
        <v>40</v>
      </c>
      <c r="R162" s="23" t="s">
        <v>161</v>
      </c>
      <c r="S162" s="23" t="s">
        <v>40</v>
      </c>
      <c r="T162" s="23" t="s">
        <v>40</v>
      </c>
    </row>
    <row r="163" spans="1:20" x14ac:dyDescent="0.25">
      <c r="A163" s="23" t="s">
        <v>6055</v>
      </c>
      <c r="B163" s="23" t="s">
        <v>160</v>
      </c>
      <c r="C163" s="23" t="s">
        <v>525</v>
      </c>
      <c r="D163" s="23" t="s">
        <v>6056</v>
      </c>
      <c r="E163" s="23" t="s">
        <v>6057</v>
      </c>
      <c r="F163" s="23" t="s">
        <v>40</v>
      </c>
      <c r="G163" s="23" t="s">
        <v>6058</v>
      </c>
      <c r="H163" s="23" t="s">
        <v>6059</v>
      </c>
      <c r="I163" s="23" t="s">
        <v>6060</v>
      </c>
      <c r="J163" s="23" t="s">
        <v>525</v>
      </c>
      <c r="K163" s="24" t="s">
        <v>386</v>
      </c>
      <c r="L163" s="23" t="s">
        <v>405</v>
      </c>
      <c r="M163" s="25" t="s">
        <v>18</v>
      </c>
      <c r="N163" s="23" t="s">
        <v>40</v>
      </c>
      <c r="O163" s="23" t="s">
        <v>387</v>
      </c>
      <c r="P163" s="23" t="s">
        <v>40</v>
      </c>
      <c r="Q163" s="23" t="s">
        <v>40</v>
      </c>
      <c r="R163" s="23" t="s">
        <v>161</v>
      </c>
      <c r="S163" s="23" t="s">
        <v>40</v>
      </c>
      <c r="T163" s="23" t="s">
        <v>6061</v>
      </c>
    </row>
    <row r="164" spans="1:20" x14ac:dyDescent="0.25">
      <c r="A164" s="23" t="s">
        <v>6062</v>
      </c>
      <c r="B164" s="23" t="s">
        <v>162</v>
      </c>
      <c r="C164" s="23" t="s">
        <v>944</v>
      </c>
      <c r="D164" s="23" t="s">
        <v>6063</v>
      </c>
      <c r="E164" s="23" t="s">
        <v>3835</v>
      </c>
      <c r="F164" s="23" t="s">
        <v>40</v>
      </c>
      <c r="G164" s="23" t="s">
        <v>6064</v>
      </c>
      <c r="H164" s="23" t="s">
        <v>6065</v>
      </c>
      <c r="I164" s="23" t="s">
        <v>6066</v>
      </c>
      <c r="J164" s="23" t="s">
        <v>385</v>
      </c>
      <c r="K164" s="24" t="s">
        <v>386</v>
      </c>
      <c r="L164" s="23" t="s">
        <v>13</v>
      </c>
      <c r="M164" s="31" t="s">
        <v>17</v>
      </c>
      <c r="N164" s="23" t="s">
        <v>6067</v>
      </c>
      <c r="O164" s="29" t="s">
        <v>87</v>
      </c>
      <c r="P164" s="23" t="s">
        <v>40</v>
      </c>
      <c r="Q164" s="23" t="s">
        <v>40</v>
      </c>
      <c r="R164" s="23" t="s">
        <v>163</v>
      </c>
      <c r="S164" s="23" t="s">
        <v>40</v>
      </c>
      <c r="T164" s="23" t="s">
        <v>40</v>
      </c>
    </row>
    <row r="165" spans="1:20" x14ac:dyDescent="0.25">
      <c r="A165" s="23" t="s">
        <v>6068</v>
      </c>
      <c r="B165" s="23" t="s">
        <v>162</v>
      </c>
      <c r="C165" s="23" t="s">
        <v>6069</v>
      </c>
      <c r="D165" s="23" t="s">
        <v>6070</v>
      </c>
      <c r="E165" s="23" t="s">
        <v>3835</v>
      </c>
      <c r="F165" s="23" t="s">
        <v>6071</v>
      </c>
      <c r="G165" s="23" t="s">
        <v>6072</v>
      </c>
      <c r="H165" s="23" t="s">
        <v>6073</v>
      </c>
      <c r="I165" s="23" t="s">
        <v>6074</v>
      </c>
      <c r="J165" s="23" t="s">
        <v>14</v>
      </c>
      <c r="K165" s="26" t="s">
        <v>396</v>
      </c>
      <c r="L165" s="23" t="s">
        <v>13</v>
      </c>
      <c r="M165" s="28" t="s">
        <v>16</v>
      </c>
      <c r="N165" s="23" t="s">
        <v>6075</v>
      </c>
      <c r="O165" s="29" t="s">
        <v>87</v>
      </c>
      <c r="P165" s="23" t="s">
        <v>40</v>
      </c>
      <c r="Q165" s="23" t="s">
        <v>40</v>
      </c>
      <c r="R165" s="23" t="s">
        <v>163</v>
      </c>
      <c r="S165" s="23" t="s">
        <v>40</v>
      </c>
      <c r="T165" s="23" t="s">
        <v>6076</v>
      </c>
    </row>
    <row r="166" spans="1:20" x14ac:dyDescent="0.25">
      <c r="A166" s="23" t="s">
        <v>6077</v>
      </c>
      <c r="B166" s="23" t="s">
        <v>162</v>
      </c>
      <c r="C166" s="23" t="s">
        <v>6069</v>
      </c>
      <c r="D166" s="23" t="s">
        <v>6078</v>
      </c>
      <c r="E166" s="23" t="s">
        <v>3835</v>
      </c>
      <c r="F166" s="23" t="s">
        <v>6079</v>
      </c>
      <c r="G166" s="23" t="s">
        <v>6080</v>
      </c>
      <c r="H166" s="23" t="s">
        <v>6081</v>
      </c>
      <c r="I166" s="23" t="s">
        <v>6082</v>
      </c>
      <c r="J166" s="23" t="s">
        <v>14</v>
      </c>
      <c r="K166" s="26" t="s">
        <v>396</v>
      </c>
      <c r="L166" s="23" t="s">
        <v>13</v>
      </c>
      <c r="M166" s="25" t="s">
        <v>18</v>
      </c>
      <c r="N166" s="23" t="s">
        <v>40</v>
      </c>
      <c r="O166" s="23" t="s">
        <v>387</v>
      </c>
      <c r="P166" s="23" t="s">
        <v>40</v>
      </c>
      <c r="Q166" s="23" t="s">
        <v>40</v>
      </c>
      <c r="R166" s="23" t="s">
        <v>163</v>
      </c>
      <c r="S166" s="23" t="s">
        <v>40</v>
      </c>
      <c r="T166" s="23" t="s">
        <v>6076</v>
      </c>
    </row>
    <row r="167" spans="1:20" x14ac:dyDescent="0.25">
      <c r="A167" s="23" t="s">
        <v>6083</v>
      </c>
      <c r="B167" s="23" t="s">
        <v>162</v>
      </c>
      <c r="C167" s="23" t="s">
        <v>6069</v>
      </c>
      <c r="D167" s="23" t="s">
        <v>6084</v>
      </c>
      <c r="E167" s="23" t="s">
        <v>3835</v>
      </c>
      <c r="F167" s="23" t="s">
        <v>40</v>
      </c>
      <c r="G167" s="23" t="s">
        <v>6085</v>
      </c>
      <c r="H167" s="23" t="s">
        <v>6086</v>
      </c>
      <c r="I167" s="23" t="s">
        <v>6087</v>
      </c>
      <c r="J167" s="23" t="s">
        <v>466</v>
      </c>
      <c r="K167" s="27" t="s">
        <v>404</v>
      </c>
      <c r="L167" s="23" t="s">
        <v>405</v>
      </c>
      <c r="M167" s="25" t="s">
        <v>18</v>
      </c>
      <c r="N167" s="23" t="s">
        <v>40</v>
      </c>
      <c r="O167" s="23" t="s">
        <v>387</v>
      </c>
      <c r="P167" s="23" t="s">
        <v>40</v>
      </c>
      <c r="Q167" s="23" t="s">
        <v>40</v>
      </c>
      <c r="R167" s="23" t="s">
        <v>163</v>
      </c>
      <c r="S167" s="23" t="s">
        <v>40</v>
      </c>
      <c r="T167" s="23" t="s">
        <v>40</v>
      </c>
    </row>
    <row r="168" spans="1:20" x14ac:dyDescent="0.25">
      <c r="A168" s="23" t="s">
        <v>6088</v>
      </c>
      <c r="B168" s="23" t="s">
        <v>162</v>
      </c>
      <c r="C168" s="23" t="s">
        <v>6089</v>
      </c>
      <c r="D168" s="23" t="s">
        <v>6090</v>
      </c>
      <c r="E168" s="23" t="s">
        <v>3835</v>
      </c>
      <c r="F168" s="23" t="s">
        <v>40</v>
      </c>
      <c r="G168" s="23" t="s">
        <v>6091</v>
      </c>
      <c r="H168" s="23" t="s">
        <v>6092</v>
      </c>
      <c r="I168" s="23" t="s">
        <v>6093</v>
      </c>
      <c r="J168" s="23" t="s">
        <v>466</v>
      </c>
      <c r="K168" s="24" t="s">
        <v>386</v>
      </c>
      <c r="L168" s="23" t="s">
        <v>13</v>
      </c>
      <c r="M168" s="25" t="s">
        <v>18</v>
      </c>
      <c r="N168" s="23" t="s">
        <v>40</v>
      </c>
      <c r="O168" s="23" t="s">
        <v>387</v>
      </c>
      <c r="P168" s="23" t="s">
        <v>40</v>
      </c>
      <c r="Q168" s="23" t="s">
        <v>40</v>
      </c>
      <c r="R168" s="23" t="s">
        <v>163</v>
      </c>
      <c r="S168" s="23" t="s">
        <v>40</v>
      </c>
      <c r="T168" s="23" t="s">
        <v>6076</v>
      </c>
    </row>
    <row r="169" spans="1:20" x14ac:dyDescent="0.25">
      <c r="A169" s="23" t="s">
        <v>6094</v>
      </c>
      <c r="B169" s="23" t="s">
        <v>162</v>
      </c>
      <c r="C169" s="23" t="s">
        <v>6089</v>
      </c>
      <c r="D169" s="23" t="s">
        <v>6095</v>
      </c>
      <c r="E169" s="23" t="s">
        <v>3835</v>
      </c>
      <c r="F169" s="23" t="s">
        <v>40</v>
      </c>
      <c r="G169" s="23" t="s">
        <v>6096</v>
      </c>
      <c r="H169" s="23" t="s">
        <v>6097</v>
      </c>
      <c r="I169" s="23" t="s">
        <v>6098</v>
      </c>
      <c r="J169" s="23" t="s">
        <v>466</v>
      </c>
      <c r="K169" s="24" t="s">
        <v>386</v>
      </c>
      <c r="L169" s="23" t="s">
        <v>13</v>
      </c>
      <c r="M169" s="25" t="s">
        <v>18</v>
      </c>
      <c r="N169" s="23" t="s">
        <v>40</v>
      </c>
      <c r="O169" s="23" t="s">
        <v>387</v>
      </c>
      <c r="P169" s="23" t="s">
        <v>40</v>
      </c>
      <c r="Q169" s="23" t="s">
        <v>40</v>
      </c>
      <c r="R169" s="23" t="s">
        <v>163</v>
      </c>
      <c r="S169" s="23" t="s">
        <v>40</v>
      </c>
      <c r="T169" s="23" t="s">
        <v>40</v>
      </c>
    </row>
    <row r="170" spans="1:20" x14ac:dyDescent="0.25">
      <c r="A170" s="23" t="s">
        <v>6099</v>
      </c>
      <c r="B170" s="23" t="s">
        <v>162</v>
      </c>
      <c r="C170" s="23" t="s">
        <v>6089</v>
      </c>
      <c r="D170" s="23" t="s">
        <v>6100</v>
      </c>
      <c r="E170" s="23" t="s">
        <v>3835</v>
      </c>
      <c r="F170" s="23" t="s">
        <v>40</v>
      </c>
      <c r="G170" s="23" t="s">
        <v>6101</v>
      </c>
      <c r="H170" s="23" t="s">
        <v>6102</v>
      </c>
      <c r="I170" s="23" t="s">
        <v>6103</v>
      </c>
      <c r="J170" s="23" t="s">
        <v>466</v>
      </c>
      <c r="K170" s="27" t="s">
        <v>404</v>
      </c>
      <c r="L170" s="23" t="s">
        <v>490</v>
      </c>
      <c r="M170" s="25" t="s">
        <v>18</v>
      </c>
      <c r="N170" s="23" t="s">
        <v>40</v>
      </c>
      <c r="O170" s="23" t="s">
        <v>387</v>
      </c>
      <c r="P170" s="23" t="s">
        <v>40</v>
      </c>
      <c r="Q170" s="23" t="s">
        <v>40</v>
      </c>
      <c r="R170" s="23" t="s">
        <v>163</v>
      </c>
      <c r="S170" s="23" t="s">
        <v>6104</v>
      </c>
      <c r="T170" s="23" t="s">
        <v>40</v>
      </c>
    </row>
    <row r="171" spans="1:20" x14ac:dyDescent="0.25">
      <c r="A171" s="23" t="s">
        <v>6105</v>
      </c>
      <c r="B171" s="23" t="s">
        <v>162</v>
      </c>
      <c r="C171" s="23" t="s">
        <v>6089</v>
      </c>
      <c r="D171" s="23" t="s">
        <v>6106</v>
      </c>
      <c r="E171" s="23" t="s">
        <v>3835</v>
      </c>
      <c r="F171" s="23" t="s">
        <v>40</v>
      </c>
      <c r="G171" s="23" t="s">
        <v>6107</v>
      </c>
      <c r="H171" s="23" t="s">
        <v>6108</v>
      </c>
      <c r="I171" s="23" t="s">
        <v>6109</v>
      </c>
      <c r="J171" s="23" t="s">
        <v>489</v>
      </c>
      <c r="K171" s="27" t="s">
        <v>404</v>
      </c>
      <c r="L171" s="23" t="s">
        <v>405</v>
      </c>
      <c r="M171" s="25" t="s">
        <v>18</v>
      </c>
      <c r="N171" s="23" t="s">
        <v>40</v>
      </c>
      <c r="O171" s="23" t="s">
        <v>387</v>
      </c>
      <c r="P171" s="23" t="s">
        <v>40</v>
      </c>
      <c r="Q171" s="23" t="s">
        <v>40</v>
      </c>
      <c r="R171" s="23" t="s">
        <v>163</v>
      </c>
      <c r="S171" s="23" t="s">
        <v>40</v>
      </c>
      <c r="T171" s="23" t="s">
        <v>6110</v>
      </c>
    </row>
    <row r="172" spans="1:20" x14ac:dyDescent="0.25">
      <c r="A172" s="23" t="s">
        <v>6111</v>
      </c>
      <c r="B172" s="23" t="s">
        <v>162</v>
      </c>
      <c r="C172" s="23" t="s">
        <v>6089</v>
      </c>
      <c r="D172" s="23" t="s">
        <v>6112</v>
      </c>
      <c r="E172" s="23" t="s">
        <v>3835</v>
      </c>
      <c r="F172" s="23" t="s">
        <v>40</v>
      </c>
      <c r="G172" s="23" t="s">
        <v>6113</v>
      </c>
      <c r="H172" s="23" t="s">
        <v>6114</v>
      </c>
      <c r="I172" s="23" t="s">
        <v>6115</v>
      </c>
      <c r="J172" s="23" t="s">
        <v>489</v>
      </c>
      <c r="K172" s="27" t="s">
        <v>404</v>
      </c>
      <c r="L172" s="23" t="s">
        <v>490</v>
      </c>
      <c r="M172" s="25" t="s">
        <v>18</v>
      </c>
      <c r="N172" s="23" t="s">
        <v>40</v>
      </c>
      <c r="O172" s="23" t="s">
        <v>387</v>
      </c>
      <c r="P172" s="23" t="s">
        <v>40</v>
      </c>
      <c r="Q172" s="23" t="s">
        <v>40</v>
      </c>
      <c r="R172" s="23" t="s">
        <v>163</v>
      </c>
      <c r="S172" s="23" t="s">
        <v>40</v>
      </c>
      <c r="T172" s="23" t="s">
        <v>6110</v>
      </c>
    </row>
    <row r="173" spans="1:20" x14ac:dyDescent="0.25">
      <c r="A173" s="23" t="s">
        <v>6116</v>
      </c>
      <c r="B173" s="23" t="s">
        <v>162</v>
      </c>
      <c r="C173" s="23" t="s">
        <v>6089</v>
      </c>
      <c r="D173" s="23" t="s">
        <v>6117</v>
      </c>
      <c r="E173" s="23" t="s">
        <v>3835</v>
      </c>
      <c r="F173" s="23" t="s">
        <v>40</v>
      </c>
      <c r="G173" s="23" t="s">
        <v>6118</v>
      </c>
      <c r="H173" s="23" t="s">
        <v>6119</v>
      </c>
      <c r="I173" s="23" t="s">
        <v>6120</v>
      </c>
      <c r="J173" s="23" t="s">
        <v>489</v>
      </c>
      <c r="K173" s="27" t="s">
        <v>404</v>
      </c>
      <c r="L173" s="23" t="s">
        <v>490</v>
      </c>
      <c r="M173" s="25" t="s">
        <v>18</v>
      </c>
      <c r="N173" s="23" t="s">
        <v>40</v>
      </c>
      <c r="O173" s="23" t="s">
        <v>387</v>
      </c>
      <c r="P173" s="23" t="s">
        <v>40</v>
      </c>
      <c r="Q173" s="23" t="s">
        <v>40</v>
      </c>
      <c r="R173" s="23" t="s">
        <v>163</v>
      </c>
      <c r="S173" s="23" t="s">
        <v>40</v>
      </c>
      <c r="T173" s="23" t="s">
        <v>40</v>
      </c>
    </row>
    <row r="174" spans="1:20" x14ac:dyDescent="0.25">
      <c r="A174" s="23" t="s">
        <v>6121</v>
      </c>
      <c r="B174" s="23" t="s">
        <v>162</v>
      </c>
      <c r="C174" s="23" t="s">
        <v>6089</v>
      </c>
      <c r="D174" s="23" t="s">
        <v>6122</v>
      </c>
      <c r="E174" s="23" t="s">
        <v>3835</v>
      </c>
      <c r="F174" s="23" t="s">
        <v>40</v>
      </c>
      <c r="G174" s="23" t="s">
        <v>6123</v>
      </c>
      <c r="H174" s="23" t="s">
        <v>6124</v>
      </c>
      <c r="I174" s="23" t="s">
        <v>6125</v>
      </c>
      <c r="J174" s="23" t="s">
        <v>466</v>
      </c>
      <c r="K174" s="27" t="s">
        <v>404</v>
      </c>
      <c r="L174" s="23" t="s">
        <v>490</v>
      </c>
      <c r="M174" s="25" t="s">
        <v>18</v>
      </c>
      <c r="N174" s="23" t="s">
        <v>40</v>
      </c>
      <c r="O174" s="23" t="s">
        <v>387</v>
      </c>
      <c r="P174" s="23" t="s">
        <v>40</v>
      </c>
      <c r="Q174" s="23" t="s">
        <v>40</v>
      </c>
      <c r="R174" s="23" t="s">
        <v>163</v>
      </c>
      <c r="S174" s="23" t="s">
        <v>40</v>
      </c>
      <c r="T174" s="23" t="s">
        <v>6110</v>
      </c>
    </row>
    <row r="175" spans="1:20" x14ac:dyDescent="0.25">
      <c r="A175" s="23" t="s">
        <v>6126</v>
      </c>
      <c r="B175" s="23" t="s">
        <v>162</v>
      </c>
      <c r="C175" s="23" t="s">
        <v>6089</v>
      </c>
      <c r="D175" s="23" t="s">
        <v>6127</v>
      </c>
      <c r="E175" s="23" t="s">
        <v>3835</v>
      </c>
      <c r="F175" s="23" t="s">
        <v>40</v>
      </c>
      <c r="G175" s="23" t="s">
        <v>6128</v>
      </c>
      <c r="H175" s="23" t="s">
        <v>6129</v>
      </c>
      <c r="I175" s="23" t="s">
        <v>6130</v>
      </c>
      <c r="J175" s="23" t="s">
        <v>489</v>
      </c>
      <c r="K175" s="27" t="s">
        <v>404</v>
      </c>
      <c r="L175" s="23" t="s">
        <v>490</v>
      </c>
      <c r="M175" s="25" t="s">
        <v>18</v>
      </c>
      <c r="N175" s="23" t="s">
        <v>40</v>
      </c>
      <c r="O175" s="23" t="s">
        <v>387</v>
      </c>
      <c r="P175" s="23" t="s">
        <v>40</v>
      </c>
      <c r="Q175" s="23" t="s">
        <v>40</v>
      </c>
      <c r="R175" s="23" t="s">
        <v>163</v>
      </c>
      <c r="S175" s="23" t="s">
        <v>40</v>
      </c>
      <c r="T175" s="23" t="s">
        <v>6076</v>
      </c>
    </row>
    <row r="176" spans="1:20" x14ac:dyDescent="0.25">
      <c r="A176" s="23" t="s">
        <v>6131</v>
      </c>
      <c r="B176" s="23" t="s">
        <v>162</v>
      </c>
      <c r="C176" s="23" t="s">
        <v>6089</v>
      </c>
      <c r="D176" s="23" t="s">
        <v>6132</v>
      </c>
      <c r="E176" s="23" t="s">
        <v>6133</v>
      </c>
      <c r="F176" s="23" t="s">
        <v>40</v>
      </c>
      <c r="G176" s="23" t="s">
        <v>6134</v>
      </c>
      <c r="H176" s="23" t="s">
        <v>6135</v>
      </c>
      <c r="I176" s="23" t="s">
        <v>6136</v>
      </c>
      <c r="J176" s="23" t="s">
        <v>15</v>
      </c>
      <c r="K176" s="27" t="s">
        <v>404</v>
      </c>
      <c r="L176" s="23" t="s">
        <v>490</v>
      </c>
      <c r="M176" s="25" t="s">
        <v>18</v>
      </c>
      <c r="N176" s="23" t="s">
        <v>40</v>
      </c>
      <c r="O176" s="23" t="s">
        <v>387</v>
      </c>
      <c r="P176" s="23" t="s">
        <v>40</v>
      </c>
      <c r="Q176" s="23" t="s">
        <v>40</v>
      </c>
      <c r="R176" s="23" t="s">
        <v>163</v>
      </c>
      <c r="S176" s="23" t="s">
        <v>40</v>
      </c>
      <c r="T176" s="23" t="s">
        <v>40</v>
      </c>
    </row>
    <row r="177" spans="1:20" x14ac:dyDescent="0.25">
      <c r="A177" s="23" t="s">
        <v>6137</v>
      </c>
      <c r="B177" s="23" t="s">
        <v>162</v>
      </c>
      <c r="C177" s="23" t="s">
        <v>6138</v>
      </c>
      <c r="D177" s="23" t="s">
        <v>6139</v>
      </c>
      <c r="E177" s="23" t="s">
        <v>6140</v>
      </c>
      <c r="F177" s="23" t="s">
        <v>40</v>
      </c>
      <c r="G177" s="23" t="s">
        <v>6141</v>
      </c>
      <c r="H177" s="23" t="s">
        <v>6142</v>
      </c>
      <c r="I177" s="23" t="s">
        <v>6143</v>
      </c>
      <c r="J177" s="23" t="s">
        <v>14</v>
      </c>
      <c r="K177" s="24" t="s">
        <v>386</v>
      </c>
      <c r="L177" s="23" t="s">
        <v>405</v>
      </c>
      <c r="M177" s="25" t="s">
        <v>18</v>
      </c>
      <c r="N177" s="23" t="s">
        <v>40</v>
      </c>
      <c r="O177" s="23" t="s">
        <v>387</v>
      </c>
      <c r="P177" s="23" t="s">
        <v>40</v>
      </c>
      <c r="Q177" s="23" t="s">
        <v>40</v>
      </c>
      <c r="R177" s="23" t="s">
        <v>163</v>
      </c>
      <c r="S177" s="23" t="s">
        <v>40</v>
      </c>
      <c r="T177" s="23" t="s">
        <v>6076</v>
      </c>
    </row>
    <row r="178" spans="1:20" x14ac:dyDescent="0.25">
      <c r="A178" s="23" t="s">
        <v>6144</v>
      </c>
      <c r="B178" s="23" t="s">
        <v>162</v>
      </c>
      <c r="C178" s="23" t="s">
        <v>6138</v>
      </c>
      <c r="D178" s="23" t="s">
        <v>6145</v>
      </c>
      <c r="E178" s="23" t="s">
        <v>6146</v>
      </c>
      <c r="F178" s="23" t="s">
        <v>40</v>
      </c>
      <c r="G178" s="23" t="s">
        <v>6147</v>
      </c>
      <c r="H178" s="23" t="s">
        <v>6148</v>
      </c>
      <c r="I178" s="23" t="s">
        <v>6149</v>
      </c>
      <c r="J178" s="23" t="s">
        <v>14</v>
      </c>
      <c r="K178" s="24" t="s">
        <v>386</v>
      </c>
      <c r="L178" s="23" t="s">
        <v>405</v>
      </c>
      <c r="M178" s="25" t="s">
        <v>18</v>
      </c>
      <c r="N178" s="23" t="s">
        <v>40</v>
      </c>
      <c r="O178" s="23" t="s">
        <v>387</v>
      </c>
      <c r="P178" s="23" t="s">
        <v>40</v>
      </c>
      <c r="Q178" s="23" t="s">
        <v>40</v>
      </c>
      <c r="R178" s="23" t="s">
        <v>163</v>
      </c>
      <c r="S178" s="23" t="s">
        <v>40</v>
      </c>
      <c r="T178" s="23" t="s">
        <v>40</v>
      </c>
    </row>
    <row r="179" spans="1:20" x14ac:dyDescent="0.25">
      <c r="A179" s="23" t="s">
        <v>6150</v>
      </c>
      <c r="B179" s="23" t="s">
        <v>162</v>
      </c>
      <c r="C179" s="23" t="s">
        <v>951</v>
      </c>
      <c r="D179" s="23" t="s">
        <v>6151</v>
      </c>
      <c r="E179" s="23" t="s">
        <v>3835</v>
      </c>
      <c r="F179" s="23" t="s">
        <v>40</v>
      </c>
      <c r="G179" s="23" t="s">
        <v>6152</v>
      </c>
      <c r="H179" s="23" t="s">
        <v>6153</v>
      </c>
      <c r="I179" s="23" t="s">
        <v>6154</v>
      </c>
      <c r="J179" s="23" t="s">
        <v>14</v>
      </c>
      <c r="K179" s="24" t="s">
        <v>386</v>
      </c>
      <c r="L179" s="23" t="s">
        <v>405</v>
      </c>
      <c r="M179" s="25" t="s">
        <v>18</v>
      </c>
      <c r="N179" s="23" t="s">
        <v>40</v>
      </c>
      <c r="O179" s="23" t="s">
        <v>387</v>
      </c>
      <c r="P179" s="23" t="s">
        <v>40</v>
      </c>
      <c r="Q179" s="23" t="s">
        <v>40</v>
      </c>
      <c r="R179" s="23" t="s">
        <v>163</v>
      </c>
      <c r="S179" s="23" t="s">
        <v>40</v>
      </c>
      <c r="T179" s="23" t="s">
        <v>40</v>
      </c>
    </row>
    <row r="180" spans="1:20" x14ac:dyDescent="0.25">
      <c r="A180" s="23" t="s">
        <v>6155</v>
      </c>
      <c r="B180" s="23" t="s">
        <v>162</v>
      </c>
      <c r="C180" s="23" t="s">
        <v>951</v>
      </c>
      <c r="D180" s="23" t="s">
        <v>6156</v>
      </c>
      <c r="E180" s="23" t="s">
        <v>3835</v>
      </c>
      <c r="F180" s="23" t="s">
        <v>40</v>
      </c>
      <c r="G180" s="23" t="s">
        <v>6157</v>
      </c>
      <c r="H180" s="23" t="s">
        <v>6158</v>
      </c>
      <c r="I180" s="23" t="s">
        <v>6159</v>
      </c>
      <c r="J180" s="23" t="s">
        <v>14</v>
      </c>
      <c r="K180" s="27" t="s">
        <v>404</v>
      </c>
      <c r="L180" s="23" t="s">
        <v>490</v>
      </c>
      <c r="M180" s="25" t="s">
        <v>18</v>
      </c>
      <c r="N180" s="23" t="s">
        <v>40</v>
      </c>
      <c r="O180" s="23" t="s">
        <v>387</v>
      </c>
      <c r="P180" s="23" t="s">
        <v>40</v>
      </c>
      <c r="Q180" s="23" t="s">
        <v>40</v>
      </c>
      <c r="R180" s="23" t="s">
        <v>163</v>
      </c>
      <c r="S180" s="23" t="s">
        <v>40</v>
      </c>
      <c r="T180" s="23" t="s">
        <v>40</v>
      </c>
    </row>
    <row r="181" spans="1:20" x14ac:dyDescent="0.25">
      <c r="A181" s="23" t="s">
        <v>6160</v>
      </c>
      <c r="B181" s="23" t="s">
        <v>162</v>
      </c>
      <c r="C181" s="23" t="s">
        <v>951</v>
      </c>
      <c r="D181" s="23" t="s">
        <v>6161</v>
      </c>
      <c r="E181" s="23" t="s">
        <v>3835</v>
      </c>
      <c r="F181" s="23" t="s">
        <v>40</v>
      </c>
      <c r="G181" s="23" t="s">
        <v>6162</v>
      </c>
      <c r="H181" s="23" t="s">
        <v>6163</v>
      </c>
      <c r="I181" s="23" t="s">
        <v>6164</v>
      </c>
      <c r="J181" s="23" t="s">
        <v>385</v>
      </c>
      <c r="K181" s="32" t="s">
        <v>747</v>
      </c>
      <c r="L181" s="23" t="s">
        <v>490</v>
      </c>
      <c r="M181" s="25" t="s">
        <v>18</v>
      </c>
      <c r="N181" s="23" t="s">
        <v>40</v>
      </c>
      <c r="O181" s="23" t="s">
        <v>387</v>
      </c>
      <c r="P181" s="23" t="s">
        <v>40</v>
      </c>
      <c r="Q181" s="23" t="s">
        <v>40</v>
      </c>
      <c r="R181" s="23" t="s">
        <v>163</v>
      </c>
      <c r="S181" s="23" t="s">
        <v>40</v>
      </c>
      <c r="T181" s="23" t="s">
        <v>40</v>
      </c>
    </row>
    <row r="182" spans="1:20" x14ac:dyDescent="0.25">
      <c r="A182" s="23" t="s">
        <v>6165</v>
      </c>
      <c r="B182" s="23" t="s">
        <v>162</v>
      </c>
      <c r="C182" s="23" t="s">
        <v>6166</v>
      </c>
      <c r="D182" s="23" t="s">
        <v>6167</v>
      </c>
      <c r="E182" s="23" t="s">
        <v>6168</v>
      </c>
      <c r="F182" s="23" t="s">
        <v>40</v>
      </c>
      <c r="G182" s="23" t="s">
        <v>6169</v>
      </c>
      <c r="H182" s="23" t="s">
        <v>6170</v>
      </c>
      <c r="I182" s="23" t="s">
        <v>6171</v>
      </c>
      <c r="J182" s="23" t="s">
        <v>14</v>
      </c>
      <c r="K182" s="24" t="s">
        <v>386</v>
      </c>
      <c r="L182" s="23" t="s">
        <v>405</v>
      </c>
      <c r="M182" s="25" t="s">
        <v>18</v>
      </c>
      <c r="N182" s="23" t="s">
        <v>40</v>
      </c>
      <c r="O182" s="23" t="s">
        <v>387</v>
      </c>
      <c r="P182" s="23" t="s">
        <v>40</v>
      </c>
      <c r="Q182" s="23" t="s">
        <v>40</v>
      </c>
      <c r="R182" s="23" t="s">
        <v>163</v>
      </c>
      <c r="S182" s="23" t="s">
        <v>40</v>
      </c>
      <c r="T182" s="23" t="s">
        <v>6076</v>
      </c>
    </row>
    <row r="183" spans="1:20" x14ac:dyDescent="0.25">
      <c r="A183" s="23" t="s">
        <v>6172</v>
      </c>
      <c r="B183" s="23" t="s">
        <v>162</v>
      </c>
      <c r="C183" s="23" t="s">
        <v>6166</v>
      </c>
      <c r="D183" s="23" t="s">
        <v>6173</v>
      </c>
      <c r="E183" s="23" t="s">
        <v>6174</v>
      </c>
      <c r="F183" s="23" t="s">
        <v>40</v>
      </c>
      <c r="G183" s="23" t="s">
        <v>6175</v>
      </c>
      <c r="H183" s="23" t="s">
        <v>6176</v>
      </c>
      <c r="I183" s="23" t="s">
        <v>6177</v>
      </c>
      <c r="J183" s="23" t="s">
        <v>801</v>
      </c>
      <c r="K183" s="27" t="s">
        <v>404</v>
      </c>
      <c r="L183" s="23" t="s">
        <v>490</v>
      </c>
      <c r="M183" s="25" t="s">
        <v>18</v>
      </c>
      <c r="N183" s="23" t="s">
        <v>40</v>
      </c>
      <c r="O183" s="23" t="s">
        <v>387</v>
      </c>
      <c r="P183" s="23" t="s">
        <v>40</v>
      </c>
      <c r="Q183" s="23" t="s">
        <v>40</v>
      </c>
      <c r="R183" s="23" t="s">
        <v>163</v>
      </c>
      <c r="S183" s="23" t="s">
        <v>40</v>
      </c>
      <c r="T183" s="23" t="s">
        <v>6076</v>
      </c>
    </row>
    <row r="184" spans="1:20" x14ac:dyDescent="0.25">
      <c r="A184" s="23" t="s">
        <v>6178</v>
      </c>
      <c r="B184" s="23" t="s">
        <v>162</v>
      </c>
      <c r="C184" s="23" t="s">
        <v>6166</v>
      </c>
      <c r="D184" s="23" t="s">
        <v>6179</v>
      </c>
      <c r="E184" s="23" t="s">
        <v>6180</v>
      </c>
      <c r="F184" s="23" t="s">
        <v>40</v>
      </c>
      <c r="G184" s="23" t="s">
        <v>6181</v>
      </c>
      <c r="H184" s="23" t="s">
        <v>6182</v>
      </c>
      <c r="I184" s="23" t="s">
        <v>6183</v>
      </c>
      <c r="J184" s="23" t="s">
        <v>801</v>
      </c>
      <c r="K184" s="24" t="s">
        <v>386</v>
      </c>
      <c r="L184" s="23" t="s">
        <v>405</v>
      </c>
      <c r="M184" s="25" t="s">
        <v>18</v>
      </c>
      <c r="N184" s="23" t="s">
        <v>40</v>
      </c>
      <c r="O184" s="23" t="s">
        <v>387</v>
      </c>
      <c r="P184" s="23" t="s">
        <v>40</v>
      </c>
      <c r="Q184" s="23" t="s">
        <v>40</v>
      </c>
      <c r="R184" s="23" t="s">
        <v>332</v>
      </c>
      <c r="S184" s="23" t="s">
        <v>40</v>
      </c>
      <c r="T184" s="23" t="s">
        <v>5634</v>
      </c>
    </row>
    <row r="185" spans="1:20" x14ac:dyDescent="0.25">
      <c r="A185" s="23" t="s">
        <v>6184</v>
      </c>
      <c r="B185" s="23" t="s">
        <v>162</v>
      </c>
      <c r="C185" s="23" t="s">
        <v>6166</v>
      </c>
      <c r="D185" s="23" t="s">
        <v>6185</v>
      </c>
      <c r="E185" s="23" t="s">
        <v>6186</v>
      </c>
      <c r="F185" s="23" t="s">
        <v>40</v>
      </c>
      <c r="G185" s="23" t="s">
        <v>6187</v>
      </c>
      <c r="H185" s="23" t="s">
        <v>6188</v>
      </c>
      <c r="I185" s="23" t="s">
        <v>6189</v>
      </c>
      <c r="J185" s="23" t="s">
        <v>15</v>
      </c>
      <c r="K185" s="27" t="s">
        <v>404</v>
      </c>
      <c r="L185" s="23" t="s">
        <v>490</v>
      </c>
      <c r="M185" s="25" t="s">
        <v>18</v>
      </c>
      <c r="N185" s="23" t="s">
        <v>40</v>
      </c>
      <c r="O185" s="23" t="s">
        <v>387</v>
      </c>
      <c r="P185" s="23" t="s">
        <v>40</v>
      </c>
      <c r="Q185" s="23" t="s">
        <v>40</v>
      </c>
      <c r="R185" s="23" t="s">
        <v>163</v>
      </c>
      <c r="S185" s="23" t="s">
        <v>40</v>
      </c>
      <c r="T185" s="23" t="s">
        <v>6190</v>
      </c>
    </row>
    <row r="186" spans="1:20" x14ac:dyDescent="0.25">
      <c r="A186" s="23" t="s">
        <v>6191</v>
      </c>
      <c r="B186" s="23" t="s">
        <v>162</v>
      </c>
      <c r="C186" s="23" t="s">
        <v>525</v>
      </c>
      <c r="D186" s="23" t="s">
        <v>6192</v>
      </c>
      <c r="E186" s="23" t="s">
        <v>5856</v>
      </c>
      <c r="F186" s="23" t="s">
        <v>40</v>
      </c>
      <c r="G186" s="23" t="s">
        <v>6193</v>
      </c>
      <c r="H186" s="23" t="s">
        <v>6194</v>
      </c>
      <c r="I186" s="23" t="s">
        <v>6195</v>
      </c>
      <c r="J186" s="23" t="s">
        <v>525</v>
      </c>
      <c r="K186" s="24" t="s">
        <v>386</v>
      </c>
      <c r="L186" s="23" t="s">
        <v>405</v>
      </c>
      <c r="M186" s="25" t="s">
        <v>18</v>
      </c>
      <c r="N186" s="23" t="s">
        <v>40</v>
      </c>
      <c r="O186" s="23" t="s">
        <v>387</v>
      </c>
      <c r="P186" s="23" t="s">
        <v>40</v>
      </c>
      <c r="Q186" s="23" t="s">
        <v>40</v>
      </c>
      <c r="R186" s="23" t="s">
        <v>163</v>
      </c>
      <c r="S186" s="23" t="s">
        <v>40</v>
      </c>
      <c r="T186" s="23" t="s">
        <v>5246</v>
      </c>
    </row>
    <row r="187" spans="1:20" x14ac:dyDescent="0.25">
      <c r="A187" s="23" t="s">
        <v>6196</v>
      </c>
      <c r="B187" s="23" t="s">
        <v>177</v>
      </c>
      <c r="C187" s="23" t="s">
        <v>944</v>
      </c>
      <c r="D187" s="23" t="s">
        <v>6197</v>
      </c>
      <c r="E187" s="23" t="s">
        <v>3835</v>
      </c>
      <c r="F187" s="23" t="s">
        <v>40</v>
      </c>
      <c r="G187" s="23" t="s">
        <v>6198</v>
      </c>
      <c r="H187" s="23" t="s">
        <v>6199</v>
      </c>
      <c r="I187" s="23" t="s">
        <v>6200</v>
      </c>
      <c r="J187" s="23" t="s">
        <v>385</v>
      </c>
      <c r="K187" s="24" t="s">
        <v>386</v>
      </c>
      <c r="L187" s="23" t="s">
        <v>13</v>
      </c>
      <c r="M187" s="31" t="s">
        <v>17</v>
      </c>
      <c r="N187" s="23" t="s">
        <v>6201</v>
      </c>
      <c r="O187" s="29" t="s">
        <v>87</v>
      </c>
      <c r="P187" s="23" t="s">
        <v>40</v>
      </c>
      <c r="Q187" s="23" t="s">
        <v>40</v>
      </c>
      <c r="R187" s="23" t="s">
        <v>178</v>
      </c>
      <c r="S187" s="23" t="s">
        <v>40</v>
      </c>
      <c r="T187" s="23" t="s">
        <v>40</v>
      </c>
    </row>
    <row r="188" spans="1:20" x14ac:dyDescent="0.25">
      <c r="A188" s="23" t="s">
        <v>6202</v>
      </c>
      <c r="B188" s="23" t="s">
        <v>177</v>
      </c>
      <c r="C188" s="23" t="s">
        <v>6203</v>
      </c>
      <c r="D188" s="23" t="s">
        <v>6204</v>
      </c>
      <c r="E188" s="23" t="s">
        <v>6205</v>
      </c>
      <c r="F188" s="23" t="s">
        <v>40</v>
      </c>
      <c r="G188" s="23" t="s">
        <v>6206</v>
      </c>
      <c r="H188" s="23" t="s">
        <v>6207</v>
      </c>
      <c r="I188" s="23" t="s">
        <v>6208</v>
      </c>
      <c r="J188" s="23" t="s">
        <v>801</v>
      </c>
      <c r="K188" s="24" t="s">
        <v>386</v>
      </c>
      <c r="L188" s="23" t="s">
        <v>405</v>
      </c>
      <c r="M188" s="25" t="s">
        <v>18</v>
      </c>
      <c r="N188" s="23" t="s">
        <v>40</v>
      </c>
      <c r="O188" s="23" t="s">
        <v>387</v>
      </c>
      <c r="P188" s="23" t="s">
        <v>40</v>
      </c>
      <c r="Q188" s="23" t="s">
        <v>40</v>
      </c>
      <c r="R188" s="23" t="s">
        <v>178</v>
      </c>
      <c r="S188" s="23" t="s">
        <v>40</v>
      </c>
      <c r="T188" s="23" t="s">
        <v>5642</v>
      </c>
    </row>
    <row r="189" spans="1:20" x14ac:dyDescent="0.25">
      <c r="A189" s="23" t="s">
        <v>6209</v>
      </c>
      <c r="B189" s="23" t="s">
        <v>177</v>
      </c>
      <c r="C189" s="23" t="s">
        <v>6203</v>
      </c>
      <c r="D189" s="23" t="s">
        <v>6210</v>
      </c>
      <c r="E189" s="23" t="s">
        <v>3835</v>
      </c>
      <c r="F189" s="23" t="s">
        <v>40</v>
      </c>
      <c r="G189" s="23" t="s">
        <v>6211</v>
      </c>
      <c r="H189" s="23" t="s">
        <v>6212</v>
      </c>
      <c r="I189" s="23" t="s">
        <v>6213</v>
      </c>
      <c r="J189" s="23" t="s">
        <v>14</v>
      </c>
      <c r="K189" s="27" t="s">
        <v>404</v>
      </c>
      <c r="L189" s="23" t="s">
        <v>490</v>
      </c>
      <c r="M189" s="25" t="s">
        <v>18</v>
      </c>
      <c r="N189" s="23" t="s">
        <v>40</v>
      </c>
      <c r="O189" s="23" t="s">
        <v>387</v>
      </c>
      <c r="P189" s="23" t="s">
        <v>40</v>
      </c>
      <c r="Q189" s="23" t="s">
        <v>40</v>
      </c>
      <c r="R189" s="23" t="s">
        <v>178</v>
      </c>
      <c r="S189" s="23" t="s">
        <v>40</v>
      </c>
      <c r="T189" s="23" t="s">
        <v>40</v>
      </c>
    </row>
    <row r="190" spans="1:20" x14ac:dyDescent="0.25">
      <c r="A190" s="23" t="s">
        <v>6214</v>
      </c>
      <c r="B190" s="23" t="s">
        <v>177</v>
      </c>
      <c r="C190" s="23" t="s">
        <v>6203</v>
      </c>
      <c r="D190" s="23" t="s">
        <v>6215</v>
      </c>
      <c r="E190" s="23" t="s">
        <v>3835</v>
      </c>
      <c r="F190" s="23" t="s">
        <v>40</v>
      </c>
      <c r="G190" s="23" t="s">
        <v>6216</v>
      </c>
      <c r="H190" s="23" t="s">
        <v>6217</v>
      </c>
      <c r="I190" s="23" t="s">
        <v>6218</v>
      </c>
      <c r="J190" s="23" t="s">
        <v>801</v>
      </c>
      <c r="K190" s="27" t="s">
        <v>404</v>
      </c>
      <c r="L190" s="23" t="s">
        <v>490</v>
      </c>
      <c r="M190" s="25" t="s">
        <v>18</v>
      </c>
      <c r="N190" s="23" t="s">
        <v>40</v>
      </c>
      <c r="O190" s="23" t="s">
        <v>387</v>
      </c>
      <c r="P190" s="23" t="s">
        <v>40</v>
      </c>
      <c r="Q190" s="23" t="s">
        <v>40</v>
      </c>
      <c r="R190" s="23" t="s">
        <v>178</v>
      </c>
      <c r="S190" s="23" t="s">
        <v>40</v>
      </c>
      <c r="T190" s="23" t="s">
        <v>40</v>
      </c>
    </row>
    <row r="191" spans="1:20" x14ac:dyDescent="0.25">
      <c r="A191" s="23" t="s">
        <v>6219</v>
      </c>
      <c r="B191" s="23" t="s">
        <v>177</v>
      </c>
      <c r="C191" s="23" t="s">
        <v>6203</v>
      </c>
      <c r="D191" s="23" t="s">
        <v>6220</v>
      </c>
      <c r="E191" s="23" t="s">
        <v>3835</v>
      </c>
      <c r="F191" s="23" t="s">
        <v>40</v>
      </c>
      <c r="G191" s="23" t="s">
        <v>6221</v>
      </c>
      <c r="H191" s="23" t="s">
        <v>6222</v>
      </c>
      <c r="I191" s="23" t="s">
        <v>6223</v>
      </c>
      <c r="J191" s="23" t="s">
        <v>385</v>
      </c>
      <c r="K191" s="32" t="s">
        <v>747</v>
      </c>
      <c r="L191" s="23" t="s">
        <v>490</v>
      </c>
      <c r="M191" s="25" t="s">
        <v>18</v>
      </c>
      <c r="N191" s="23" t="s">
        <v>40</v>
      </c>
      <c r="O191" s="23" t="s">
        <v>387</v>
      </c>
      <c r="P191" s="23" t="s">
        <v>40</v>
      </c>
      <c r="Q191" s="23" t="s">
        <v>40</v>
      </c>
      <c r="R191" s="23" t="s">
        <v>178</v>
      </c>
      <c r="S191" s="23" t="s">
        <v>40</v>
      </c>
      <c r="T191" s="23" t="s">
        <v>40</v>
      </c>
    </row>
    <row r="192" spans="1:20" x14ac:dyDescent="0.25">
      <c r="A192" s="23" t="s">
        <v>6224</v>
      </c>
      <c r="B192" s="23" t="s">
        <v>175</v>
      </c>
      <c r="C192" s="23" t="s">
        <v>944</v>
      </c>
      <c r="D192" s="23" t="s">
        <v>6225</v>
      </c>
      <c r="E192" s="23" t="s">
        <v>3835</v>
      </c>
      <c r="F192" s="23" t="s">
        <v>40</v>
      </c>
      <c r="G192" s="23" t="s">
        <v>6226</v>
      </c>
      <c r="H192" s="23" t="s">
        <v>6227</v>
      </c>
      <c r="I192" s="23" t="s">
        <v>6228</v>
      </c>
      <c r="J192" s="23" t="s">
        <v>385</v>
      </c>
      <c r="K192" s="24" t="s">
        <v>386</v>
      </c>
      <c r="L192" s="23" t="s">
        <v>13</v>
      </c>
      <c r="M192" s="31" t="s">
        <v>17</v>
      </c>
      <c r="N192" s="23" t="s">
        <v>6229</v>
      </c>
      <c r="O192" s="29" t="s">
        <v>87</v>
      </c>
      <c r="P192" s="23" t="s">
        <v>40</v>
      </c>
      <c r="Q192" s="23" t="s">
        <v>40</v>
      </c>
      <c r="R192" s="23" t="s">
        <v>176</v>
      </c>
      <c r="S192" s="23" t="s">
        <v>40</v>
      </c>
      <c r="T192" s="23" t="s">
        <v>40</v>
      </c>
    </row>
    <row r="193" spans="1:20" x14ac:dyDescent="0.25">
      <c r="A193" s="23" t="s">
        <v>6230</v>
      </c>
      <c r="B193" s="23" t="s">
        <v>175</v>
      </c>
      <c r="C193" s="23" t="s">
        <v>6203</v>
      </c>
      <c r="D193" s="23" t="s">
        <v>6231</v>
      </c>
      <c r="E193" s="23" t="s">
        <v>6232</v>
      </c>
      <c r="F193" s="23" t="s">
        <v>40</v>
      </c>
      <c r="G193" s="23" t="s">
        <v>6233</v>
      </c>
      <c r="H193" s="23" t="s">
        <v>6234</v>
      </c>
      <c r="I193" s="23" t="s">
        <v>6235</v>
      </c>
      <c r="J193" s="23" t="s">
        <v>801</v>
      </c>
      <c r="K193" s="26" t="s">
        <v>396</v>
      </c>
      <c r="L193" s="23" t="s">
        <v>13</v>
      </c>
      <c r="M193" s="25" t="s">
        <v>18</v>
      </c>
      <c r="N193" s="23" t="s">
        <v>40</v>
      </c>
      <c r="O193" s="23" t="s">
        <v>387</v>
      </c>
      <c r="P193" s="23" t="s">
        <v>40</v>
      </c>
      <c r="Q193" s="23" t="s">
        <v>40</v>
      </c>
      <c r="R193" s="23" t="s">
        <v>176</v>
      </c>
      <c r="S193" s="23" t="s">
        <v>40</v>
      </c>
      <c r="T193" s="23" t="s">
        <v>6236</v>
      </c>
    </row>
    <row r="194" spans="1:20" x14ac:dyDescent="0.25">
      <c r="A194" s="23" t="s">
        <v>6237</v>
      </c>
      <c r="B194" s="23" t="s">
        <v>175</v>
      </c>
      <c r="C194" s="23" t="s">
        <v>6203</v>
      </c>
      <c r="D194" s="23" t="s">
        <v>6238</v>
      </c>
      <c r="E194" s="23" t="s">
        <v>6239</v>
      </c>
      <c r="F194" s="23" t="s">
        <v>40</v>
      </c>
      <c r="G194" s="23" t="s">
        <v>6233</v>
      </c>
      <c r="H194" s="23" t="s">
        <v>6240</v>
      </c>
      <c r="I194" s="23" t="s">
        <v>6241</v>
      </c>
      <c r="J194" s="23" t="s">
        <v>801</v>
      </c>
      <c r="K194" s="26" t="s">
        <v>396</v>
      </c>
      <c r="L194" s="23" t="s">
        <v>13</v>
      </c>
      <c r="M194" s="25" t="s">
        <v>18</v>
      </c>
      <c r="N194" s="23" t="s">
        <v>40</v>
      </c>
      <c r="O194" s="23" t="s">
        <v>387</v>
      </c>
      <c r="P194" s="23" t="s">
        <v>40</v>
      </c>
      <c r="Q194" s="23" t="s">
        <v>40</v>
      </c>
      <c r="R194" s="23" t="s">
        <v>176</v>
      </c>
      <c r="S194" s="23" t="s">
        <v>40</v>
      </c>
      <c r="T194" s="23" t="s">
        <v>6236</v>
      </c>
    </row>
    <row r="195" spans="1:20" x14ac:dyDescent="0.25">
      <c r="A195" s="23" t="s">
        <v>6242</v>
      </c>
      <c r="B195" s="23" t="s">
        <v>175</v>
      </c>
      <c r="C195" s="23" t="s">
        <v>6203</v>
      </c>
      <c r="D195" s="23" t="s">
        <v>6243</v>
      </c>
      <c r="E195" s="23" t="s">
        <v>6244</v>
      </c>
      <c r="F195" s="23" t="s">
        <v>40</v>
      </c>
      <c r="G195" s="23" t="s">
        <v>6233</v>
      </c>
      <c r="H195" s="23" t="s">
        <v>6245</v>
      </c>
      <c r="I195" s="23" t="s">
        <v>6246</v>
      </c>
      <c r="J195" s="23" t="s">
        <v>14</v>
      </c>
      <c r="K195" s="24" t="s">
        <v>386</v>
      </c>
      <c r="L195" s="23" t="s">
        <v>405</v>
      </c>
      <c r="M195" s="25" t="s">
        <v>18</v>
      </c>
      <c r="N195" s="23" t="s">
        <v>40</v>
      </c>
      <c r="O195" s="23" t="s">
        <v>387</v>
      </c>
      <c r="P195" s="23" t="s">
        <v>40</v>
      </c>
      <c r="Q195" s="23" t="s">
        <v>40</v>
      </c>
      <c r="R195" s="23" t="s">
        <v>176</v>
      </c>
      <c r="S195" s="23" t="s">
        <v>40</v>
      </c>
      <c r="T195" s="23" t="s">
        <v>6061</v>
      </c>
    </row>
    <row r="196" spans="1:20" x14ac:dyDescent="0.25">
      <c r="A196" s="23" t="s">
        <v>6247</v>
      </c>
      <c r="B196" s="23" t="s">
        <v>175</v>
      </c>
      <c r="C196" s="23" t="s">
        <v>6203</v>
      </c>
      <c r="D196" s="23" t="s">
        <v>6248</v>
      </c>
      <c r="E196" s="23" t="s">
        <v>3835</v>
      </c>
      <c r="F196" s="23" t="s">
        <v>40</v>
      </c>
      <c r="G196" s="23" t="s">
        <v>6249</v>
      </c>
      <c r="H196" s="23" t="s">
        <v>6250</v>
      </c>
      <c r="I196" s="23" t="s">
        <v>6251</v>
      </c>
      <c r="J196" s="23" t="s">
        <v>14</v>
      </c>
      <c r="K196" s="27" t="s">
        <v>404</v>
      </c>
      <c r="L196" s="23" t="s">
        <v>490</v>
      </c>
      <c r="M196" s="25" t="s">
        <v>18</v>
      </c>
      <c r="N196" s="23" t="s">
        <v>40</v>
      </c>
      <c r="O196" s="23" t="s">
        <v>387</v>
      </c>
      <c r="P196" s="23" t="s">
        <v>40</v>
      </c>
      <c r="Q196" s="23" t="s">
        <v>40</v>
      </c>
      <c r="R196" s="23" t="s">
        <v>176</v>
      </c>
      <c r="S196" s="23" t="s">
        <v>40</v>
      </c>
      <c r="T196" s="23" t="s">
        <v>6236</v>
      </c>
    </row>
    <row r="197" spans="1:20" x14ac:dyDescent="0.25">
      <c r="A197" s="23" t="s">
        <v>6252</v>
      </c>
      <c r="B197" s="23" t="s">
        <v>175</v>
      </c>
      <c r="C197" s="23" t="s">
        <v>6203</v>
      </c>
      <c r="D197" s="23" t="s">
        <v>6253</v>
      </c>
      <c r="E197" s="23" t="s">
        <v>3835</v>
      </c>
      <c r="F197" s="23" t="s">
        <v>40</v>
      </c>
      <c r="G197" s="23" t="s">
        <v>6254</v>
      </c>
      <c r="H197" s="23" t="s">
        <v>6255</v>
      </c>
      <c r="I197" s="23" t="s">
        <v>6256</v>
      </c>
      <c r="J197" s="23" t="s">
        <v>385</v>
      </c>
      <c r="K197" s="32" t="s">
        <v>747</v>
      </c>
      <c r="L197" s="23" t="s">
        <v>490</v>
      </c>
      <c r="M197" s="25" t="s">
        <v>18</v>
      </c>
      <c r="N197" s="23" t="s">
        <v>40</v>
      </c>
      <c r="O197" s="23" t="s">
        <v>387</v>
      </c>
      <c r="P197" s="23" t="s">
        <v>40</v>
      </c>
      <c r="Q197" s="23" t="s">
        <v>40</v>
      </c>
      <c r="R197" s="23" t="s">
        <v>176</v>
      </c>
      <c r="S197" s="23" t="s">
        <v>40</v>
      </c>
      <c r="T197" s="23" t="s">
        <v>6257</v>
      </c>
    </row>
    <row r="198" spans="1:20" x14ac:dyDescent="0.25">
      <c r="A198" s="23" t="s">
        <v>6258</v>
      </c>
      <c r="B198" s="23" t="s">
        <v>165</v>
      </c>
      <c r="C198" s="23" t="s">
        <v>944</v>
      </c>
      <c r="D198" s="23" t="s">
        <v>6259</v>
      </c>
      <c r="E198" s="23" t="s">
        <v>3835</v>
      </c>
      <c r="F198" s="23" t="s">
        <v>40</v>
      </c>
      <c r="G198" s="23" t="s">
        <v>6260</v>
      </c>
      <c r="H198" s="23" t="s">
        <v>6261</v>
      </c>
      <c r="I198" s="23" t="s">
        <v>6262</v>
      </c>
      <c r="J198" s="23" t="s">
        <v>385</v>
      </c>
      <c r="K198" s="24" t="s">
        <v>386</v>
      </c>
      <c r="L198" s="23" t="s">
        <v>13</v>
      </c>
      <c r="M198" s="31" t="s">
        <v>17</v>
      </c>
      <c r="N198" s="23" t="s">
        <v>6263</v>
      </c>
      <c r="O198" s="29" t="s">
        <v>87</v>
      </c>
      <c r="P198" s="23" t="s">
        <v>40</v>
      </c>
      <c r="Q198" s="23" t="s">
        <v>40</v>
      </c>
      <c r="R198" s="23" t="s">
        <v>166</v>
      </c>
      <c r="S198" s="23" t="s">
        <v>40</v>
      </c>
      <c r="T198" s="23" t="s">
        <v>40</v>
      </c>
    </row>
    <row r="199" spans="1:20" x14ac:dyDescent="0.25">
      <c r="A199" s="23" t="s">
        <v>6264</v>
      </c>
      <c r="B199" s="23" t="s">
        <v>165</v>
      </c>
      <c r="C199" s="23" t="s">
        <v>2327</v>
      </c>
      <c r="D199" s="23" t="s">
        <v>6265</v>
      </c>
      <c r="E199" s="23" t="s">
        <v>3835</v>
      </c>
      <c r="F199" s="23" t="s">
        <v>6266</v>
      </c>
      <c r="G199" s="23" t="s">
        <v>6267</v>
      </c>
      <c r="H199" s="23" t="s">
        <v>6268</v>
      </c>
      <c r="I199" s="23" t="s">
        <v>6269</v>
      </c>
      <c r="J199" s="23" t="s">
        <v>14</v>
      </c>
      <c r="K199" s="26" t="s">
        <v>396</v>
      </c>
      <c r="L199" s="23" t="s">
        <v>13</v>
      </c>
      <c r="M199" s="25" t="s">
        <v>18</v>
      </c>
      <c r="N199" s="23" t="s">
        <v>40</v>
      </c>
      <c r="O199" s="23" t="s">
        <v>387</v>
      </c>
      <c r="P199" s="23" t="s">
        <v>40</v>
      </c>
      <c r="Q199" s="23" t="s">
        <v>40</v>
      </c>
      <c r="R199" s="23" t="s">
        <v>166</v>
      </c>
      <c r="S199" s="23" t="s">
        <v>40</v>
      </c>
      <c r="T199" s="23" t="s">
        <v>40</v>
      </c>
    </row>
    <row r="200" spans="1:20" x14ac:dyDescent="0.25">
      <c r="A200" s="23" t="s">
        <v>6270</v>
      </c>
      <c r="B200" s="23" t="s">
        <v>165</v>
      </c>
      <c r="C200" s="23" t="s">
        <v>466</v>
      </c>
      <c r="D200" s="23" t="s">
        <v>6271</v>
      </c>
      <c r="E200" s="23" t="s">
        <v>3835</v>
      </c>
      <c r="F200" s="23" t="s">
        <v>40</v>
      </c>
      <c r="G200" s="23" t="s">
        <v>6272</v>
      </c>
      <c r="H200" s="23" t="s">
        <v>6273</v>
      </c>
      <c r="I200" s="23" t="s">
        <v>3035</v>
      </c>
      <c r="J200" s="23" t="s">
        <v>466</v>
      </c>
      <c r="K200" s="24" t="s">
        <v>386</v>
      </c>
      <c r="L200" s="23" t="s">
        <v>13</v>
      </c>
      <c r="M200" s="25" t="s">
        <v>18</v>
      </c>
      <c r="N200" s="23" t="s">
        <v>40</v>
      </c>
      <c r="O200" s="23" t="s">
        <v>387</v>
      </c>
      <c r="P200" s="23" t="s">
        <v>40</v>
      </c>
      <c r="Q200" s="23" t="s">
        <v>40</v>
      </c>
      <c r="R200" s="23" t="s">
        <v>166</v>
      </c>
      <c r="S200" s="23" t="s">
        <v>40</v>
      </c>
      <c r="T200" s="23" t="s">
        <v>40</v>
      </c>
    </row>
    <row r="201" spans="1:20" x14ac:dyDescent="0.25">
      <c r="A201" s="23" t="s">
        <v>6274</v>
      </c>
      <c r="B201" s="23" t="s">
        <v>165</v>
      </c>
      <c r="C201" s="23" t="s">
        <v>466</v>
      </c>
      <c r="D201" s="23" t="s">
        <v>6275</v>
      </c>
      <c r="E201" s="23" t="s">
        <v>3835</v>
      </c>
      <c r="F201" s="23" t="s">
        <v>6276</v>
      </c>
      <c r="G201" s="23" t="s">
        <v>6277</v>
      </c>
      <c r="H201" s="23" t="s">
        <v>6278</v>
      </c>
      <c r="I201" s="23" t="s">
        <v>6279</v>
      </c>
      <c r="J201" s="23" t="s">
        <v>466</v>
      </c>
      <c r="K201" s="27" t="s">
        <v>404</v>
      </c>
      <c r="L201" s="23" t="s">
        <v>405</v>
      </c>
      <c r="M201" s="25" t="s">
        <v>18</v>
      </c>
      <c r="N201" s="23" t="s">
        <v>40</v>
      </c>
      <c r="O201" s="23" t="s">
        <v>387</v>
      </c>
      <c r="P201" s="23" t="s">
        <v>40</v>
      </c>
      <c r="Q201" s="23" t="s">
        <v>40</v>
      </c>
      <c r="R201" s="23" t="s">
        <v>166</v>
      </c>
      <c r="S201" s="23" t="s">
        <v>6280</v>
      </c>
      <c r="T201" s="23" t="s">
        <v>40</v>
      </c>
    </row>
    <row r="202" spans="1:20" x14ac:dyDescent="0.25">
      <c r="A202" s="23" t="s">
        <v>6281</v>
      </c>
      <c r="B202" s="23" t="s">
        <v>165</v>
      </c>
      <c r="C202" s="23" t="s">
        <v>466</v>
      </c>
      <c r="D202" s="23" t="s">
        <v>6282</v>
      </c>
      <c r="E202" s="23" t="s">
        <v>3835</v>
      </c>
      <c r="F202" s="23" t="s">
        <v>40</v>
      </c>
      <c r="G202" s="23" t="s">
        <v>6283</v>
      </c>
      <c r="H202" s="23" t="s">
        <v>6284</v>
      </c>
      <c r="I202" s="23" t="s">
        <v>6120</v>
      </c>
      <c r="J202" s="23" t="s">
        <v>489</v>
      </c>
      <c r="K202" s="27" t="s">
        <v>404</v>
      </c>
      <c r="L202" s="23" t="s">
        <v>490</v>
      </c>
      <c r="M202" s="25" t="s">
        <v>18</v>
      </c>
      <c r="N202" s="23" t="s">
        <v>40</v>
      </c>
      <c r="O202" s="23" t="s">
        <v>387</v>
      </c>
      <c r="P202" s="23" t="s">
        <v>40</v>
      </c>
      <c r="Q202" s="23" t="s">
        <v>40</v>
      </c>
      <c r="R202" s="23" t="s">
        <v>166</v>
      </c>
      <c r="S202" s="23" t="s">
        <v>40</v>
      </c>
      <c r="T202" s="23" t="s">
        <v>40</v>
      </c>
    </row>
    <row r="203" spans="1:20" x14ac:dyDescent="0.25">
      <c r="A203" s="23" t="s">
        <v>6285</v>
      </c>
      <c r="B203" s="23" t="s">
        <v>165</v>
      </c>
      <c r="C203" s="23" t="s">
        <v>466</v>
      </c>
      <c r="D203" s="23" t="s">
        <v>6286</v>
      </c>
      <c r="E203" s="23" t="s">
        <v>6287</v>
      </c>
      <c r="F203" s="23" t="s">
        <v>40</v>
      </c>
      <c r="G203" s="23" t="s">
        <v>6288</v>
      </c>
      <c r="H203" s="23" t="s">
        <v>6289</v>
      </c>
      <c r="I203" s="23" t="s">
        <v>6290</v>
      </c>
      <c r="J203" s="23" t="s">
        <v>15</v>
      </c>
      <c r="K203" s="27" t="s">
        <v>404</v>
      </c>
      <c r="L203" s="23" t="s">
        <v>490</v>
      </c>
      <c r="M203" s="25" t="s">
        <v>18</v>
      </c>
      <c r="N203" s="23" t="s">
        <v>40</v>
      </c>
      <c r="O203" s="23" t="s">
        <v>387</v>
      </c>
      <c r="P203" s="23" t="s">
        <v>40</v>
      </c>
      <c r="Q203" s="23" t="s">
        <v>40</v>
      </c>
      <c r="R203" s="23" t="s">
        <v>166</v>
      </c>
      <c r="S203" s="23" t="s">
        <v>40</v>
      </c>
      <c r="T203" s="23" t="s">
        <v>40</v>
      </c>
    </row>
    <row r="204" spans="1:20" x14ac:dyDescent="0.25">
      <c r="A204" s="23" t="s">
        <v>6291</v>
      </c>
      <c r="B204" s="23" t="s">
        <v>165</v>
      </c>
      <c r="C204" s="23" t="s">
        <v>6292</v>
      </c>
      <c r="D204" s="23" t="s">
        <v>6293</v>
      </c>
      <c r="E204" s="23" t="s">
        <v>6287</v>
      </c>
      <c r="F204" s="23" t="s">
        <v>40</v>
      </c>
      <c r="G204" s="23" t="s">
        <v>6294</v>
      </c>
      <c r="H204" s="23" t="s">
        <v>6295</v>
      </c>
      <c r="I204" s="23" t="s">
        <v>6296</v>
      </c>
      <c r="J204" s="23" t="s">
        <v>14</v>
      </c>
      <c r="K204" s="24" t="s">
        <v>386</v>
      </c>
      <c r="L204" s="23" t="s">
        <v>405</v>
      </c>
      <c r="M204" s="25" t="s">
        <v>18</v>
      </c>
      <c r="N204" s="23" t="s">
        <v>40</v>
      </c>
      <c r="O204" s="23" t="s">
        <v>387</v>
      </c>
      <c r="P204" s="23" t="s">
        <v>40</v>
      </c>
      <c r="Q204" s="23" t="s">
        <v>40</v>
      </c>
      <c r="R204" s="23" t="s">
        <v>166</v>
      </c>
      <c r="S204" s="23" t="s">
        <v>40</v>
      </c>
      <c r="T204" s="23" t="s">
        <v>40</v>
      </c>
    </row>
    <row r="205" spans="1:20" x14ac:dyDescent="0.25">
      <c r="A205" s="23" t="s">
        <v>6297</v>
      </c>
      <c r="B205" s="23" t="s">
        <v>165</v>
      </c>
      <c r="C205" s="23" t="s">
        <v>6292</v>
      </c>
      <c r="D205" s="23" t="s">
        <v>2189</v>
      </c>
      <c r="E205" s="23" t="s">
        <v>6298</v>
      </c>
      <c r="F205" s="23" t="s">
        <v>40</v>
      </c>
      <c r="G205" s="23" t="s">
        <v>6299</v>
      </c>
      <c r="H205" s="23" t="s">
        <v>6300</v>
      </c>
      <c r="I205" s="23" t="s">
        <v>6301</v>
      </c>
      <c r="J205" s="23" t="s">
        <v>14</v>
      </c>
      <c r="K205" s="27" t="s">
        <v>404</v>
      </c>
      <c r="L205" s="23" t="s">
        <v>490</v>
      </c>
      <c r="M205" s="25" t="s">
        <v>18</v>
      </c>
      <c r="N205" s="23" t="s">
        <v>40</v>
      </c>
      <c r="O205" s="23" t="s">
        <v>387</v>
      </c>
      <c r="P205" s="23" t="s">
        <v>40</v>
      </c>
      <c r="Q205" s="23" t="s">
        <v>40</v>
      </c>
      <c r="R205" s="23" t="s">
        <v>166</v>
      </c>
      <c r="S205" s="23" t="s">
        <v>40</v>
      </c>
      <c r="T205" s="23" t="s">
        <v>40</v>
      </c>
    </row>
    <row r="206" spans="1:20" x14ac:dyDescent="0.25">
      <c r="A206" s="23" t="s">
        <v>6302</v>
      </c>
      <c r="B206" s="23" t="s">
        <v>165</v>
      </c>
      <c r="C206" s="23" t="s">
        <v>525</v>
      </c>
      <c r="D206" s="23" t="s">
        <v>6303</v>
      </c>
      <c r="E206" s="23" t="s">
        <v>5856</v>
      </c>
      <c r="F206" s="23" t="s">
        <v>40</v>
      </c>
      <c r="G206" s="23" t="s">
        <v>6304</v>
      </c>
      <c r="H206" s="23" t="s">
        <v>6305</v>
      </c>
      <c r="I206" s="23" t="s">
        <v>1963</v>
      </c>
      <c r="J206" s="23" t="s">
        <v>525</v>
      </c>
      <c r="K206" s="24" t="s">
        <v>386</v>
      </c>
      <c r="L206" s="23" t="s">
        <v>405</v>
      </c>
      <c r="M206" s="25" t="s">
        <v>18</v>
      </c>
      <c r="N206" s="23" t="s">
        <v>40</v>
      </c>
      <c r="O206" s="23" t="s">
        <v>387</v>
      </c>
      <c r="P206" s="23" t="s">
        <v>40</v>
      </c>
      <c r="Q206" s="23" t="s">
        <v>40</v>
      </c>
      <c r="R206" s="23" t="s">
        <v>166</v>
      </c>
      <c r="S206" s="23" t="s">
        <v>40</v>
      </c>
      <c r="T206" s="23" t="s">
        <v>40</v>
      </c>
    </row>
    <row r="207" spans="1:20" x14ac:dyDescent="0.25">
      <c r="A207" s="23" t="s">
        <v>6306</v>
      </c>
      <c r="B207" s="23" t="s">
        <v>167</v>
      </c>
      <c r="C207" s="23" t="s">
        <v>944</v>
      </c>
      <c r="D207" s="23" t="s">
        <v>6307</v>
      </c>
      <c r="E207" s="23" t="s">
        <v>3835</v>
      </c>
      <c r="F207" s="23" t="s">
        <v>40</v>
      </c>
      <c r="G207" s="23" t="s">
        <v>6308</v>
      </c>
      <c r="H207" s="23" t="s">
        <v>6309</v>
      </c>
      <c r="I207" s="23" t="s">
        <v>6310</v>
      </c>
      <c r="J207" s="23" t="s">
        <v>385</v>
      </c>
      <c r="K207" s="24" t="s">
        <v>386</v>
      </c>
      <c r="L207" s="23" t="s">
        <v>13</v>
      </c>
      <c r="M207" s="31" t="s">
        <v>17</v>
      </c>
      <c r="N207" s="23" t="s">
        <v>6311</v>
      </c>
      <c r="O207" s="29" t="s">
        <v>87</v>
      </c>
      <c r="P207" s="23" t="s">
        <v>40</v>
      </c>
      <c r="Q207" s="23" t="s">
        <v>40</v>
      </c>
      <c r="R207" s="23" t="s">
        <v>168</v>
      </c>
      <c r="S207" s="23" t="s">
        <v>40</v>
      </c>
      <c r="T207" s="23" t="s">
        <v>40</v>
      </c>
    </row>
    <row r="208" spans="1:20" x14ac:dyDescent="0.25">
      <c r="A208" s="23" t="s">
        <v>6312</v>
      </c>
      <c r="B208" s="23" t="s">
        <v>167</v>
      </c>
      <c r="C208" s="23" t="s">
        <v>944</v>
      </c>
      <c r="D208" s="23" t="s">
        <v>6313</v>
      </c>
      <c r="E208" s="23" t="s">
        <v>6314</v>
      </c>
      <c r="F208" s="23" t="s">
        <v>40</v>
      </c>
      <c r="G208" s="23" t="s">
        <v>6315</v>
      </c>
      <c r="H208" s="23" t="s">
        <v>6316</v>
      </c>
      <c r="I208" s="23" t="s">
        <v>6317</v>
      </c>
      <c r="J208" s="23" t="s">
        <v>385</v>
      </c>
      <c r="K208" s="32" t="s">
        <v>747</v>
      </c>
      <c r="L208" s="23" t="s">
        <v>490</v>
      </c>
      <c r="M208" s="25" t="s">
        <v>18</v>
      </c>
      <c r="N208" s="23" t="s">
        <v>40</v>
      </c>
      <c r="O208" s="23" t="s">
        <v>387</v>
      </c>
      <c r="P208" s="23" t="s">
        <v>40</v>
      </c>
      <c r="Q208" s="23" t="s">
        <v>40</v>
      </c>
      <c r="R208" s="23" t="s">
        <v>168</v>
      </c>
      <c r="S208" s="23" t="s">
        <v>6318</v>
      </c>
      <c r="T208" s="23" t="s">
        <v>40</v>
      </c>
    </row>
    <row r="209" spans="1:20" x14ac:dyDescent="0.25">
      <c r="A209" s="23" t="s">
        <v>6319</v>
      </c>
      <c r="B209" s="23" t="s">
        <v>167</v>
      </c>
      <c r="C209" s="23" t="s">
        <v>6320</v>
      </c>
      <c r="D209" s="23" t="s">
        <v>6321</v>
      </c>
      <c r="E209" s="23" t="s">
        <v>6322</v>
      </c>
      <c r="F209" s="23" t="s">
        <v>40</v>
      </c>
      <c r="G209" s="23" t="s">
        <v>6323</v>
      </c>
      <c r="H209" s="23" t="s">
        <v>6324</v>
      </c>
      <c r="I209" s="23" t="s">
        <v>6325</v>
      </c>
      <c r="J209" s="23" t="s">
        <v>801</v>
      </c>
      <c r="K209" s="26" t="s">
        <v>396</v>
      </c>
      <c r="L209" s="23" t="s">
        <v>13</v>
      </c>
      <c r="M209" s="25" t="s">
        <v>18</v>
      </c>
      <c r="N209" s="23" t="s">
        <v>40</v>
      </c>
      <c r="O209" s="23" t="s">
        <v>387</v>
      </c>
      <c r="P209" s="23" t="s">
        <v>40</v>
      </c>
      <c r="Q209" s="23" t="s">
        <v>40</v>
      </c>
      <c r="R209" s="23" t="s">
        <v>168</v>
      </c>
      <c r="S209" s="23" t="s">
        <v>40</v>
      </c>
      <c r="T209" s="23" t="s">
        <v>40</v>
      </c>
    </row>
    <row r="210" spans="1:20" x14ac:dyDescent="0.25">
      <c r="A210" s="23" t="s">
        <v>6326</v>
      </c>
      <c r="B210" s="23" t="s">
        <v>167</v>
      </c>
      <c r="C210" s="23" t="s">
        <v>6327</v>
      </c>
      <c r="D210" s="23" t="s">
        <v>6328</v>
      </c>
      <c r="E210" s="23" t="s">
        <v>6329</v>
      </c>
      <c r="F210" s="23" t="s">
        <v>40</v>
      </c>
      <c r="G210" s="23" t="s">
        <v>6330</v>
      </c>
      <c r="H210" s="23" t="s">
        <v>6331</v>
      </c>
      <c r="I210" s="23" t="s">
        <v>6332</v>
      </c>
      <c r="J210" s="23" t="s">
        <v>14</v>
      </c>
      <c r="K210" s="26" t="s">
        <v>396</v>
      </c>
      <c r="L210" s="23" t="s">
        <v>13</v>
      </c>
      <c r="M210" s="25" t="s">
        <v>18</v>
      </c>
      <c r="N210" s="23" t="s">
        <v>40</v>
      </c>
      <c r="O210" s="23" t="s">
        <v>387</v>
      </c>
      <c r="P210" s="23" t="s">
        <v>40</v>
      </c>
      <c r="Q210" s="23" t="s">
        <v>40</v>
      </c>
      <c r="R210" s="23" t="s">
        <v>168</v>
      </c>
      <c r="S210" s="23" t="s">
        <v>40</v>
      </c>
      <c r="T210" s="23" t="s">
        <v>40</v>
      </c>
    </row>
    <row r="211" spans="1:20" x14ac:dyDescent="0.25">
      <c r="A211" s="23" t="s">
        <v>6333</v>
      </c>
      <c r="B211" s="23" t="s">
        <v>167</v>
      </c>
      <c r="C211" s="23" t="s">
        <v>6327</v>
      </c>
      <c r="D211" s="23" t="s">
        <v>6334</v>
      </c>
      <c r="E211" s="23" t="s">
        <v>6335</v>
      </c>
      <c r="F211" s="23" t="s">
        <v>40</v>
      </c>
      <c r="G211" s="23" t="s">
        <v>6336</v>
      </c>
      <c r="H211" s="23" t="s">
        <v>6337</v>
      </c>
      <c r="I211" s="23" t="s">
        <v>6338</v>
      </c>
      <c r="J211" s="23" t="s">
        <v>14</v>
      </c>
      <c r="K211" s="27" t="s">
        <v>404</v>
      </c>
      <c r="L211" s="23" t="s">
        <v>490</v>
      </c>
      <c r="M211" s="25" t="s">
        <v>18</v>
      </c>
      <c r="N211" s="23" t="s">
        <v>40</v>
      </c>
      <c r="O211" s="23" t="s">
        <v>387</v>
      </c>
      <c r="P211" s="23" t="s">
        <v>40</v>
      </c>
      <c r="Q211" s="23" t="s">
        <v>40</v>
      </c>
      <c r="R211" s="23" t="s">
        <v>168</v>
      </c>
      <c r="S211" s="23" t="s">
        <v>40</v>
      </c>
      <c r="T211" s="23" t="s">
        <v>6339</v>
      </c>
    </row>
    <row r="212" spans="1:20" x14ac:dyDescent="0.25">
      <c r="A212" s="23" t="s">
        <v>6340</v>
      </c>
      <c r="B212" s="23" t="s">
        <v>167</v>
      </c>
      <c r="C212" s="23" t="s">
        <v>6341</v>
      </c>
      <c r="D212" s="23" t="s">
        <v>6342</v>
      </c>
      <c r="E212" s="23" t="s">
        <v>6343</v>
      </c>
      <c r="F212" s="23" t="s">
        <v>40</v>
      </c>
      <c r="G212" s="23" t="s">
        <v>6344</v>
      </c>
      <c r="H212" s="23" t="s">
        <v>6345</v>
      </c>
      <c r="I212" s="23" t="s">
        <v>6346</v>
      </c>
      <c r="J212" s="23" t="s">
        <v>14</v>
      </c>
      <c r="K212" s="26" t="s">
        <v>396</v>
      </c>
      <c r="L212" s="23" t="s">
        <v>13</v>
      </c>
      <c r="M212" s="25" t="s">
        <v>18</v>
      </c>
      <c r="N212" s="23" t="s">
        <v>40</v>
      </c>
      <c r="O212" s="23" t="s">
        <v>387</v>
      </c>
      <c r="P212" s="23" t="s">
        <v>40</v>
      </c>
      <c r="Q212" s="23" t="s">
        <v>40</v>
      </c>
      <c r="R212" s="23" t="s">
        <v>168</v>
      </c>
      <c r="S212" s="23" t="s">
        <v>40</v>
      </c>
      <c r="T212" s="23" t="s">
        <v>2345</v>
      </c>
    </row>
    <row r="213" spans="1:20" x14ac:dyDescent="0.25">
      <c r="A213" s="23" t="s">
        <v>6347</v>
      </c>
      <c r="B213" s="23" t="s">
        <v>167</v>
      </c>
      <c r="C213" s="23" t="s">
        <v>6348</v>
      </c>
      <c r="D213" s="23" t="s">
        <v>6349</v>
      </c>
      <c r="E213" s="23" t="s">
        <v>6350</v>
      </c>
      <c r="F213" s="23" t="s">
        <v>40</v>
      </c>
      <c r="G213" s="23" t="s">
        <v>6351</v>
      </c>
      <c r="H213" s="23" t="s">
        <v>6352</v>
      </c>
      <c r="I213" s="23" t="s">
        <v>6353</v>
      </c>
      <c r="J213" s="23" t="s">
        <v>14</v>
      </c>
      <c r="K213" s="26" t="s">
        <v>396</v>
      </c>
      <c r="L213" s="23" t="s">
        <v>13</v>
      </c>
      <c r="M213" s="25" t="s">
        <v>18</v>
      </c>
      <c r="N213" s="23" t="s">
        <v>40</v>
      </c>
      <c r="O213" s="23" t="s">
        <v>387</v>
      </c>
      <c r="P213" s="23" t="s">
        <v>40</v>
      </c>
      <c r="Q213" s="23" t="s">
        <v>40</v>
      </c>
      <c r="R213" s="23" t="s">
        <v>168</v>
      </c>
      <c r="S213" s="23" t="s">
        <v>40</v>
      </c>
      <c r="T213" s="23" t="s">
        <v>40</v>
      </c>
    </row>
    <row r="214" spans="1:20" x14ac:dyDescent="0.25">
      <c r="A214" s="23" t="s">
        <v>6354</v>
      </c>
      <c r="B214" s="23" t="s">
        <v>167</v>
      </c>
      <c r="C214" s="23" t="s">
        <v>6348</v>
      </c>
      <c r="D214" s="23" t="s">
        <v>6355</v>
      </c>
      <c r="E214" s="23" t="s">
        <v>6350</v>
      </c>
      <c r="F214" s="23" t="s">
        <v>40</v>
      </c>
      <c r="G214" s="23" t="s">
        <v>6356</v>
      </c>
      <c r="H214" s="23" t="s">
        <v>6357</v>
      </c>
      <c r="I214" s="23" t="s">
        <v>6120</v>
      </c>
      <c r="J214" s="23" t="s">
        <v>466</v>
      </c>
      <c r="K214" s="27" t="s">
        <v>404</v>
      </c>
      <c r="L214" s="23" t="s">
        <v>405</v>
      </c>
      <c r="M214" s="25" t="s">
        <v>18</v>
      </c>
      <c r="N214" s="23" t="s">
        <v>40</v>
      </c>
      <c r="O214" s="23" t="s">
        <v>387</v>
      </c>
      <c r="P214" s="23" t="s">
        <v>40</v>
      </c>
      <c r="Q214" s="23" t="s">
        <v>40</v>
      </c>
      <c r="R214" s="23" t="s">
        <v>168</v>
      </c>
      <c r="S214" s="23" t="s">
        <v>40</v>
      </c>
      <c r="T214" s="23" t="s">
        <v>40</v>
      </c>
    </row>
    <row r="215" spans="1:20" x14ac:dyDescent="0.25">
      <c r="A215" s="23" t="s">
        <v>6358</v>
      </c>
      <c r="B215" s="23" t="s">
        <v>167</v>
      </c>
      <c r="C215" s="23" t="s">
        <v>6359</v>
      </c>
      <c r="D215" s="23" t="s">
        <v>6360</v>
      </c>
      <c r="E215" s="23" t="s">
        <v>6361</v>
      </c>
      <c r="F215" s="23" t="s">
        <v>40</v>
      </c>
      <c r="G215" s="23" t="s">
        <v>6362</v>
      </c>
      <c r="H215" s="23" t="s">
        <v>6363</v>
      </c>
      <c r="I215" s="23" t="s">
        <v>6364</v>
      </c>
      <c r="J215" s="23" t="s">
        <v>15</v>
      </c>
      <c r="K215" s="27" t="s">
        <v>404</v>
      </c>
      <c r="L215" s="23" t="s">
        <v>405</v>
      </c>
      <c r="M215" s="25" t="s">
        <v>18</v>
      </c>
      <c r="N215" s="23" t="s">
        <v>40</v>
      </c>
      <c r="O215" s="23" t="s">
        <v>387</v>
      </c>
      <c r="P215" s="23" t="s">
        <v>40</v>
      </c>
      <c r="Q215" s="23" t="s">
        <v>40</v>
      </c>
      <c r="R215" s="23" t="s">
        <v>168</v>
      </c>
      <c r="S215" s="23" t="s">
        <v>6365</v>
      </c>
      <c r="T215" s="23" t="s">
        <v>40</v>
      </c>
    </row>
    <row r="216" spans="1:20" x14ac:dyDescent="0.25">
      <c r="A216" s="23" t="s">
        <v>6366</v>
      </c>
      <c r="B216" s="23" t="s">
        <v>167</v>
      </c>
      <c r="C216" s="23" t="s">
        <v>6367</v>
      </c>
      <c r="D216" s="23" t="s">
        <v>6368</v>
      </c>
      <c r="E216" s="23" t="s">
        <v>6369</v>
      </c>
      <c r="F216" s="23" t="s">
        <v>40</v>
      </c>
      <c r="G216" s="23" t="s">
        <v>6370</v>
      </c>
      <c r="H216" s="23" t="s">
        <v>6371</v>
      </c>
      <c r="I216" s="23" t="s">
        <v>6372</v>
      </c>
      <c r="J216" s="23" t="s">
        <v>15</v>
      </c>
      <c r="K216" s="27" t="s">
        <v>404</v>
      </c>
      <c r="L216" s="23" t="s">
        <v>405</v>
      </c>
      <c r="M216" s="25" t="s">
        <v>18</v>
      </c>
      <c r="N216" s="23" t="s">
        <v>40</v>
      </c>
      <c r="O216" s="23" t="s">
        <v>387</v>
      </c>
      <c r="P216" s="23" t="s">
        <v>40</v>
      </c>
      <c r="Q216" s="23" t="s">
        <v>40</v>
      </c>
      <c r="R216" s="23" t="s">
        <v>168</v>
      </c>
      <c r="S216" s="23" t="s">
        <v>6373</v>
      </c>
      <c r="T216" s="23" t="s">
        <v>40</v>
      </c>
    </row>
    <row r="217" spans="1:20" x14ac:dyDescent="0.25">
      <c r="A217" s="23" t="s">
        <v>6374</v>
      </c>
      <c r="B217" s="23" t="s">
        <v>167</v>
      </c>
      <c r="C217" s="23" t="s">
        <v>6367</v>
      </c>
      <c r="D217" s="23" t="s">
        <v>6375</v>
      </c>
      <c r="E217" s="23" t="s">
        <v>5497</v>
      </c>
      <c r="F217" s="23" t="s">
        <v>40</v>
      </c>
      <c r="G217" s="23" t="s">
        <v>6376</v>
      </c>
      <c r="H217" s="23" t="s">
        <v>6377</v>
      </c>
      <c r="I217" s="23" t="s">
        <v>6378</v>
      </c>
      <c r="J217" s="23" t="s">
        <v>15</v>
      </c>
      <c r="K217" s="27" t="s">
        <v>404</v>
      </c>
      <c r="L217" s="23" t="s">
        <v>405</v>
      </c>
      <c r="M217" s="25" t="s">
        <v>18</v>
      </c>
      <c r="N217" s="23" t="s">
        <v>40</v>
      </c>
      <c r="O217" s="23" t="s">
        <v>387</v>
      </c>
      <c r="P217" s="23" t="s">
        <v>40</v>
      </c>
      <c r="Q217" s="23" t="s">
        <v>40</v>
      </c>
      <c r="R217" s="23" t="s">
        <v>168</v>
      </c>
      <c r="S217" s="23" t="s">
        <v>6379</v>
      </c>
      <c r="T217" s="23" t="s">
        <v>40</v>
      </c>
    </row>
    <row r="218" spans="1:20" x14ac:dyDescent="0.25">
      <c r="A218" s="23" t="s">
        <v>6380</v>
      </c>
      <c r="B218" s="23" t="s">
        <v>167</v>
      </c>
      <c r="C218" s="23" t="s">
        <v>6381</v>
      </c>
      <c r="D218" s="23" t="s">
        <v>6382</v>
      </c>
      <c r="E218" s="23" t="s">
        <v>6383</v>
      </c>
      <c r="F218" s="23" t="s">
        <v>40</v>
      </c>
      <c r="G218" s="23" t="s">
        <v>6384</v>
      </c>
      <c r="H218" s="23" t="s">
        <v>6385</v>
      </c>
      <c r="I218" s="23" t="s">
        <v>6386</v>
      </c>
      <c r="J218" s="23" t="s">
        <v>801</v>
      </c>
      <c r="K218" s="24" t="s">
        <v>386</v>
      </c>
      <c r="L218" s="23" t="s">
        <v>405</v>
      </c>
      <c r="M218" s="25" t="s">
        <v>18</v>
      </c>
      <c r="N218" s="23" t="s">
        <v>40</v>
      </c>
      <c r="O218" s="23" t="s">
        <v>387</v>
      </c>
      <c r="P218" s="23" t="s">
        <v>40</v>
      </c>
      <c r="Q218" s="23" t="s">
        <v>40</v>
      </c>
      <c r="R218" s="23" t="s">
        <v>354</v>
      </c>
      <c r="S218" s="23" t="s">
        <v>40</v>
      </c>
      <c r="T218" s="23" t="s">
        <v>40</v>
      </c>
    </row>
    <row r="219" spans="1:20" x14ac:dyDescent="0.25">
      <c r="A219" s="23" t="s">
        <v>6387</v>
      </c>
      <c r="B219" s="23" t="s">
        <v>169</v>
      </c>
      <c r="C219" s="23" t="s">
        <v>944</v>
      </c>
      <c r="D219" s="23" t="s">
        <v>6388</v>
      </c>
      <c r="E219" s="23" t="s">
        <v>3835</v>
      </c>
      <c r="F219" s="23" t="s">
        <v>40</v>
      </c>
      <c r="G219" s="23" t="s">
        <v>6389</v>
      </c>
      <c r="H219" s="23" t="s">
        <v>6390</v>
      </c>
      <c r="I219" s="23" t="s">
        <v>6391</v>
      </c>
      <c r="J219" s="23" t="s">
        <v>385</v>
      </c>
      <c r="K219" s="24" t="s">
        <v>386</v>
      </c>
      <c r="L219" s="23" t="s">
        <v>13</v>
      </c>
      <c r="M219" s="31" t="s">
        <v>17</v>
      </c>
      <c r="N219" s="23" t="s">
        <v>6392</v>
      </c>
      <c r="O219" s="29" t="s">
        <v>87</v>
      </c>
      <c r="P219" s="23" t="s">
        <v>40</v>
      </c>
      <c r="Q219" s="23" t="s">
        <v>40</v>
      </c>
      <c r="R219" s="23" t="s">
        <v>170</v>
      </c>
      <c r="S219" s="23" t="s">
        <v>40</v>
      </c>
      <c r="T219" s="23" t="s">
        <v>40</v>
      </c>
    </row>
    <row r="220" spans="1:20" x14ac:dyDescent="0.25">
      <c r="A220" s="23" t="s">
        <v>6393</v>
      </c>
      <c r="B220" s="23" t="s">
        <v>169</v>
      </c>
      <c r="C220" s="23" t="s">
        <v>2222</v>
      </c>
      <c r="D220" s="23" t="s">
        <v>6394</v>
      </c>
      <c r="E220" s="23" t="s">
        <v>6395</v>
      </c>
      <c r="F220" s="23" t="s">
        <v>40</v>
      </c>
      <c r="G220" s="23" t="s">
        <v>6396</v>
      </c>
      <c r="H220" s="23" t="s">
        <v>6397</v>
      </c>
      <c r="I220" s="23" t="s">
        <v>6398</v>
      </c>
      <c r="J220" s="23" t="s">
        <v>14</v>
      </c>
      <c r="K220" s="26" t="s">
        <v>396</v>
      </c>
      <c r="L220" s="23" t="s">
        <v>13</v>
      </c>
      <c r="M220" s="25" t="s">
        <v>18</v>
      </c>
      <c r="N220" s="23" t="s">
        <v>40</v>
      </c>
      <c r="O220" s="23" t="s">
        <v>387</v>
      </c>
      <c r="P220" s="23" t="s">
        <v>40</v>
      </c>
      <c r="Q220" s="23" t="s">
        <v>40</v>
      </c>
      <c r="R220" s="23" t="s">
        <v>170</v>
      </c>
      <c r="S220" s="23" t="s">
        <v>5267</v>
      </c>
      <c r="T220" s="23" t="s">
        <v>40</v>
      </c>
    </row>
    <row r="221" spans="1:20" x14ac:dyDescent="0.25">
      <c r="A221" s="23" t="s">
        <v>6399</v>
      </c>
      <c r="B221" s="23" t="s">
        <v>169</v>
      </c>
      <c r="C221" s="23" t="s">
        <v>6400</v>
      </c>
      <c r="D221" s="23" t="s">
        <v>6401</v>
      </c>
      <c r="E221" s="23" t="s">
        <v>6402</v>
      </c>
      <c r="F221" s="23" t="s">
        <v>40</v>
      </c>
      <c r="G221" s="23" t="s">
        <v>6403</v>
      </c>
      <c r="H221" s="23" t="s">
        <v>6404</v>
      </c>
      <c r="I221" s="23" t="s">
        <v>6405</v>
      </c>
      <c r="J221" s="23" t="s">
        <v>801</v>
      </c>
      <c r="K221" s="24" t="s">
        <v>386</v>
      </c>
      <c r="L221" s="23" t="s">
        <v>405</v>
      </c>
      <c r="M221" s="25" t="s">
        <v>18</v>
      </c>
      <c r="N221" s="23" t="s">
        <v>40</v>
      </c>
      <c r="O221" s="23" t="s">
        <v>387</v>
      </c>
      <c r="P221" s="23" t="s">
        <v>40</v>
      </c>
      <c r="Q221" s="23" t="s">
        <v>40</v>
      </c>
      <c r="R221" s="23" t="s">
        <v>170</v>
      </c>
      <c r="S221" s="23" t="s">
        <v>40</v>
      </c>
      <c r="T221" s="23" t="s">
        <v>40</v>
      </c>
    </row>
    <row r="222" spans="1:20" x14ac:dyDescent="0.25">
      <c r="A222" s="23" t="s">
        <v>6406</v>
      </c>
      <c r="B222" s="23" t="s">
        <v>169</v>
      </c>
      <c r="C222" s="23" t="s">
        <v>1971</v>
      </c>
      <c r="D222" s="23" t="s">
        <v>6407</v>
      </c>
      <c r="E222" s="23" t="s">
        <v>6408</v>
      </c>
      <c r="F222" s="23" t="s">
        <v>40</v>
      </c>
      <c r="G222" s="23" t="s">
        <v>6409</v>
      </c>
      <c r="H222" s="23" t="s">
        <v>6410</v>
      </c>
      <c r="I222" s="23" t="s">
        <v>6411</v>
      </c>
      <c r="J222" s="23" t="s">
        <v>15</v>
      </c>
      <c r="K222" s="27" t="s">
        <v>404</v>
      </c>
      <c r="L222" s="23" t="s">
        <v>405</v>
      </c>
      <c r="M222" s="25" t="s">
        <v>18</v>
      </c>
      <c r="N222" s="23" t="s">
        <v>40</v>
      </c>
      <c r="O222" s="23" t="s">
        <v>387</v>
      </c>
      <c r="P222" s="23" t="s">
        <v>40</v>
      </c>
      <c r="Q222" s="23" t="s">
        <v>40</v>
      </c>
      <c r="R222" s="23" t="s">
        <v>170</v>
      </c>
      <c r="S222" s="23" t="s">
        <v>6412</v>
      </c>
      <c r="T222" s="23" t="s">
        <v>40</v>
      </c>
    </row>
    <row r="223" spans="1:20" x14ac:dyDescent="0.25">
      <c r="A223" s="23" t="s">
        <v>6413</v>
      </c>
      <c r="B223" s="23" t="s">
        <v>169</v>
      </c>
      <c r="C223" s="23" t="s">
        <v>346</v>
      </c>
      <c r="D223" s="23" t="s">
        <v>6414</v>
      </c>
      <c r="E223" s="23" t="s">
        <v>6415</v>
      </c>
      <c r="F223" s="23" t="s">
        <v>40</v>
      </c>
      <c r="G223" s="23" t="s">
        <v>6416</v>
      </c>
      <c r="H223" s="23" t="s">
        <v>6417</v>
      </c>
      <c r="I223" s="23" t="s">
        <v>6418</v>
      </c>
      <c r="J223" s="23" t="s">
        <v>15</v>
      </c>
      <c r="K223" s="27" t="s">
        <v>404</v>
      </c>
      <c r="L223" s="23" t="s">
        <v>490</v>
      </c>
      <c r="M223" s="25" t="s">
        <v>18</v>
      </c>
      <c r="N223" s="23" t="s">
        <v>40</v>
      </c>
      <c r="O223" s="23" t="s">
        <v>387</v>
      </c>
      <c r="P223" s="23" t="s">
        <v>40</v>
      </c>
      <c r="Q223" s="23" t="s">
        <v>40</v>
      </c>
      <c r="R223" s="23" t="s">
        <v>170</v>
      </c>
      <c r="S223" s="23" t="s">
        <v>40</v>
      </c>
      <c r="T223" s="23" t="s">
        <v>40</v>
      </c>
    </row>
    <row r="224" spans="1:20" x14ac:dyDescent="0.25">
      <c r="A224" s="23" t="s">
        <v>6419</v>
      </c>
      <c r="B224" s="23" t="s">
        <v>171</v>
      </c>
      <c r="C224" s="23" t="s">
        <v>944</v>
      </c>
      <c r="D224" s="23" t="s">
        <v>6420</v>
      </c>
      <c r="E224" s="23" t="s">
        <v>3835</v>
      </c>
      <c r="F224" s="23" t="s">
        <v>40</v>
      </c>
      <c r="G224" s="23" t="s">
        <v>6421</v>
      </c>
      <c r="H224" s="23" t="s">
        <v>6422</v>
      </c>
      <c r="I224" s="23" t="s">
        <v>6423</v>
      </c>
      <c r="J224" s="23" t="s">
        <v>385</v>
      </c>
      <c r="K224" s="24" t="s">
        <v>386</v>
      </c>
      <c r="L224" s="23" t="s">
        <v>13</v>
      </c>
      <c r="M224" s="31" t="s">
        <v>17</v>
      </c>
      <c r="N224" s="23" t="s">
        <v>6424</v>
      </c>
      <c r="O224" s="29" t="s">
        <v>87</v>
      </c>
      <c r="P224" s="23" t="s">
        <v>40</v>
      </c>
      <c r="Q224" s="23" t="s">
        <v>40</v>
      </c>
      <c r="R224" s="23" t="s">
        <v>172</v>
      </c>
      <c r="S224" s="23" t="s">
        <v>40</v>
      </c>
      <c r="T224" s="23" t="s">
        <v>40</v>
      </c>
    </row>
    <row r="225" spans="1:20" x14ac:dyDescent="0.25">
      <c r="A225" s="23" t="s">
        <v>6425</v>
      </c>
      <c r="B225" s="23" t="s">
        <v>171</v>
      </c>
      <c r="C225" s="23" t="s">
        <v>2222</v>
      </c>
      <c r="D225" s="23" t="s">
        <v>6426</v>
      </c>
      <c r="E225" s="23" t="s">
        <v>6427</v>
      </c>
      <c r="F225" s="23" t="s">
        <v>40</v>
      </c>
      <c r="G225" s="23" t="s">
        <v>6428</v>
      </c>
      <c r="H225" s="23" t="s">
        <v>6429</v>
      </c>
      <c r="I225" s="23" t="s">
        <v>6430</v>
      </c>
      <c r="J225" s="23" t="s">
        <v>801</v>
      </c>
      <c r="K225" s="26" t="s">
        <v>396</v>
      </c>
      <c r="L225" s="23" t="s">
        <v>13</v>
      </c>
      <c r="M225" s="25" t="s">
        <v>18</v>
      </c>
      <c r="N225" s="23" t="s">
        <v>40</v>
      </c>
      <c r="O225" s="23" t="s">
        <v>387</v>
      </c>
      <c r="P225" s="23" t="s">
        <v>40</v>
      </c>
      <c r="Q225" s="23" t="s">
        <v>40</v>
      </c>
      <c r="R225" s="23" t="s">
        <v>172</v>
      </c>
      <c r="S225" s="23" t="s">
        <v>40</v>
      </c>
      <c r="T225" s="23" t="s">
        <v>40</v>
      </c>
    </row>
    <row r="226" spans="1:20" x14ac:dyDescent="0.25">
      <c r="A226" s="23" t="s">
        <v>6431</v>
      </c>
      <c r="B226" s="23" t="s">
        <v>171</v>
      </c>
      <c r="C226" s="23" t="s">
        <v>6400</v>
      </c>
      <c r="D226" s="23" t="s">
        <v>6432</v>
      </c>
      <c r="E226" s="23" t="s">
        <v>6402</v>
      </c>
      <c r="F226" s="23" t="s">
        <v>40</v>
      </c>
      <c r="G226" s="23" t="s">
        <v>6433</v>
      </c>
      <c r="H226" s="23" t="s">
        <v>6434</v>
      </c>
      <c r="I226" s="23" t="s">
        <v>6435</v>
      </c>
      <c r="J226" s="23" t="s">
        <v>14</v>
      </c>
      <c r="K226" s="24" t="s">
        <v>386</v>
      </c>
      <c r="L226" s="23" t="s">
        <v>405</v>
      </c>
      <c r="M226" s="25" t="s">
        <v>18</v>
      </c>
      <c r="N226" s="23" t="s">
        <v>40</v>
      </c>
      <c r="O226" s="23" t="s">
        <v>387</v>
      </c>
      <c r="P226" s="23" t="s">
        <v>40</v>
      </c>
      <c r="Q226" s="23" t="s">
        <v>40</v>
      </c>
      <c r="R226" s="23" t="s">
        <v>172</v>
      </c>
      <c r="S226" s="23" t="s">
        <v>40</v>
      </c>
      <c r="T226" s="23" t="s">
        <v>40</v>
      </c>
    </row>
    <row r="227" spans="1:20" x14ac:dyDescent="0.25">
      <c r="A227" s="23" t="s">
        <v>6436</v>
      </c>
      <c r="B227" s="23" t="s">
        <v>171</v>
      </c>
      <c r="C227" s="23" t="s">
        <v>1971</v>
      </c>
      <c r="D227" s="23" t="s">
        <v>6437</v>
      </c>
      <c r="E227" s="23" t="s">
        <v>6438</v>
      </c>
      <c r="F227" s="23" t="s">
        <v>40</v>
      </c>
      <c r="G227" s="23" t="s">
        <v>6439</v>
      </c>
      <c r="H227" s="23" t="s">
        <v>6440</v>
      </c>
      <c r="I227" s="23" t="s">
        <v>6019</v>
      </c>
      <c r="J227" s="23" t="s">
        <v>15</v>
      </c>
      <c r="K227" s="27" t="s">
        <v>404</v>
      </c>
      <c r="L227" s="23" t="s">
        <v>405</v>
      </c>
      <c r="M227" s="25" t="s">
        <v>18</v>
      </c>
      <c r="N227" s="23" t="s">
        <v>40</v>
      </c>
      <c r="O227" s="23" t="s">
        <v>387</v>
      </c>
      <c r="P227" s="23" t="s">
        <v>40</v>
      </c>
      <c r="Q227" s="23" t="s">
        <v>40</v>
      </c>
      <c r="R227" s="23" t="s">
        <v>172</v>
      </c>
      <c r="S227" s="23" t="s">
        <v>6441</v>
      </c>
      <c r="T227" s="23" t="s">
        <v>40</v>
      </c>
    </row>
    <row r="228" spans="1:20" x14ac:dyDescent="0.25">
      <c r="A228" s="23" t="s">
        <v>6442</v>
      </c>
      <c r="B228" s="23" t="s">
        <v>173</v>
      </c>
      <c r="C228" s="23" t="s">
        <v>944</v>
      </c>
      <c r="D228" s="23" t="s">
        <v>6443</v>
      </c>
      <c r="E228" s="23" t="s">
        <v>3835</v>
      </c>
      <c r="F228" s="23" t="s">
        <v>40</v>
      </c>
      <c r="G228" s="23" t="s">
        <v>6444</v>
      </c>
      <c r="H228" s="23" t="s">
        <v>6445</v>
      </c>
      <c r="I228" s="23" t="s">
        <v>6446</v>
      </c>
      <c r="J228" s="23" t="s">
        <v>385</v>
      </c>
      <c r="K228" s="24" t="s">
        <v>386</v>
      </c>
      <c r="L228" s="23" t="s">
        <v>13</v>
      </c>
      <c r="M228" s="31" t="s">
        <v>17</v>
      </c>
      <c r="N228" s="23" t="s">
        <v>6447</v>
      </c>
      <c r="O228" s="29" t="s">
        <v>87</v>
      </c>
      <c r="P228" s="23" t="s">
        <v>40</v>
      </c>
      <c r="Q228" s="23" t="s">
        <v>40</v>
      </c>
      <c r="R228" s="23" t="s">
        <v>174</v>
      </c>
      <c r="S228" s="23" t="s">
        <v>40</v>
      </c>
      <c r="T228" s="23" t="s">
        <v>40</v>
      </c>
    </row>
    <row r="229" spans="1:20" x14ac:dyDescent="0.25">
      <c r="A229" s="23" t="s">
        <v>6448</v>
      </c>
      <c r="B229" s="23" t="s">
        <v>173</v>
      </c>
      <c r="C229" s="23" t="s">
        <v>2222</v>
      </c>
      <c r="D229" s="23" t="s">
        <v>6449</v>
      </c>
      <c r="E229" s="23" t="s">
        <v>6450</v>
      </c>
      <c r="F229" s="23" t="s">
        <v>40</v>
      </c>
      <c r="G229" s="23" t="s">
        <v>6428</v>
      </c>
      <c r="H229" s="23" t="s">
        <v>6451</v>
      </c>
      <c r="I229" s="23" t="s">
        <v>6452</v>
      </c>
      <c r="J229" s="23" t="s">
        <v>801</v>
      </c>
      <c r="K229" s="26" t="s">
        <v>396</v>
      </c>
      <c r="L229" s="23" t="s">
        <v>13</v>
      </c>
      <c r="M229" s="25" t="s">
        <v>18</v>
      </c>
      <c r="N229" s="23" t="s">
        <v>40</v>
      </c>
      <c r="O229" s="23" t="s">
        <v>387</v>
      </c>
      <c r="P229" s="23" t="s">
        <v>40</v>
      </c>
      <c r="Q229" s="23" t="s">
        <v>40</v>
      </c>
      <c r="R229" s="23" t="s">
        <v>174</v>
      </c>
      <c r="S229" s="23" t="s">
        <v>40</v>
      </c>
      <c r="T229" s="23" t="s">
        <v>40</v>
      </c>
    </row>
    <row r="230" spans="1:20" x14ac:dyDescent="0.25">
      <c r="A230" s="23" t="s">
        <v>6453</v>
      </c>
      <c r="B230" s="23" t="s">
        <v>173</v>
      </c>
      <c r="C230" s="23" t="s">
        <v>6400</v>
      </c>
      <c r="D230" s="23" t="s">
        <v>6454</v>
      </c>
      <c r="E230" s="23" t="s">
        <v>6402</v>
      </c>
      <c r="F230" s="23" t="s">
        <v>40</v>
      </c>
      <c r="G230" s="23" t="s">
        <v>6455</v>
      </c>
      <c r="H230" s="23" t="s">
        <v>6456</v>
      </c>
      <c r="I230" s="23" t="s">
        <v>6435</v>
      </c>
      <c r="J230" s="23" t="s">
        <v>14</v>
      </c>
      <c r="K230" s="24" t="s">
        <v>386</v>
      </c>
      <c r="L230" s="23" t="s">
        <v>405</v>
      </c>
      <c r="M230" s="25" t="s">
        <v>18</v>
      </c>
      <c r="N230" s="23" t="s">
        <v>40</v>
      </c>
      <c r="O230" s="23" t="s">
        <v>387</v>
      </c>
      <c r="P230" s="23" t="s">
        <v>40</v>
      </c>
      <c r="Q230" s="23" t="s">
        <v>40</v>
      </c>
      <c r="R230" s="23" t="s">
        <v>174</v>
      </c>
      <c r="S230" s="23" t="s">
        <v>40</v>
      </c>
      <c r="T230" s="23" t="s">
        <v>40</v>
      </c>
    </row>
    <row r="231" spans="1:20" x14ac:dyDescent="0.25">
      <c r="A231" s="23" t="s">
        <v>6457</v>
      </c>
      <c r="B231" s="23" t="s">
        <v>173</v>
      </c>
      <c r="C231" s="23" t="s">
        <v>1971</v>
      </c>
      <c r="D231" s="23" t="s">
        <v>6458</v>
      </c>
      <c r="E231" s="23" t="s">
        <v>6459</v>
      </c>
      <c r="F231" s="23" t="s">
        <v>40</v>
      </c>
      <c r="G231" s="23" t="s">
        <v>6460</v>
      </c>
      <c r="H231" s="23" t="s">
        <v>6461</v>
      </c>
      <c r="I231" s="23" t="s">
        <v>6019</v>
      </c>
      <c r="J231" s="23" t="s">
        <v>15</v>
      </c>
      <c r="K231" s="27" t="s">
        <v>404</v>
      </c>
      <c r="L231" s="23" t="s">
        <v>405</v>
      </c>
      <c r="M231" s="25" t="s">
        <v>18</v>
      </c>
      <c r="N231" s="23" t="s">
        <v>40</v>
      </c>
      <c r="O231" s="23" t="s">
        <v>387</v>
      </c>
      <c r="P231" s="23" t="s">
        <v>40</v>
      </c>
      <c r="Q231" s="23" t="s">
        <v>40</v>
      </c>
      <c r="R231" s="23" t="s">
        <v>174</v>
      </c>
      <c r="S231" s="23" t="s">
        <v>6441</v>
      </c>
      <c r="T231" s="23" t="s">
        <v>40</v>
      </c>
    </row>
    <row r="232" spans="1:20" x14ac:dyDescent="0.25">
      <c r="A232" s="23" t="s">
        <v>6462</v>
      </c>
      <c r="B232" s="23" t="s">
        <v>179</v>
      </c>
      <c r="C232" s="23" t="s">
        <v>944</v>
      </c>
      <c r="D232" s="23" t="s">
        <v>6463</v>
      </c>
      <c r="E232" s="23" t="s">
        <v>3835</v>
      </c>
      <c r="F232" s="23" t="s">
        <v>40</v>
      </c>
      <c r="G232" s="23" t="s">
        <v>6464</v>
      </c>
      <c r="H232" s="23" t="s">
        <v>6465</v>
      </c>
      <c r="I232" s="23" t="s">
        <v>6466</v>
      </c>
      <c r="J232" s="23" t="s">
        <v>385</v>
      </c>
      <c r="K232" s="24" t="s">
        <v>386</v>
      </c>
      <c r="L232" s="23" t="s">
        <v>13</v>
      </c>
      <c r="M232" s="31" t="s">
        <v>17</v>
      </c>
      <c r="N232" s="23" t="s">
        <v>6467</v>
      </c>
      <c r="O232" s="29" t="s">
        <v>87</v>
      </c>
      <c r="P232" s="23" t="s">
        <v>40</v>
      </c>
      <c r="Q232" s="23" t="s">
        <v>40</v>
      </c>
      <c r="R232" s="23" t="s">
        <v>180</v>
      </c>
      <c r="S232" s="23" t="s">
        <v>40</v>
      </c>
      <c r="T232" s="23" t="s">
        <v>40</v>
      </c>
    </row>
    <row r="233" spans="1:20" x14ac:dyDescent="0.25">
      <c r="A233" s="23" t="s">
        <v>6468</v>
      </c>
      <c r="B233" s="23" t="s">
        <v>179</v>
      </c>
      <c r="C233" s="23" t="s">
        <v>6203</v>
      </c>
      <c r="D233" s="23" t="s">
        <v>6469</v>
      </c>
      <c r="E233" s="23" t="s">
        <v>6470</v>
      </c>
      <c r="F233" s="23" t="s">
        <v>40</v>
      </c>
      <c r="G233" s="23" t="s">
        <v>6471</v>
      </c>
      <c r="H233" s="23" t="s">
        <v>6472</v>
      </c>
      <c r="I233" s="23" t="s">
        <v>6473</v>
      </c>
      <c r="J233" s="23" t="s">
        <v>801</v>
      </c>
      <c r="K233" s="24" t="s">
        <v>386</v>
      </c>
      <c r="L233" s="23" t="s">
        <v>405</v>
      </c>
      <c r="M233" s="25" t="s">
        <v>18</v>
      </c>
      <c r="N233" s="23" t="s">
        <v>40</v>
      </c>
      <c r="O233" s="23" t="s">
        <v>387</v>
      </c>
      <c r="P233" s="23" t="s">
        <v>40</v>
      </c>
      <c r="Q233" s="23" t="s">
        <v>40</v>
      </c>
      <c r="R233" s="23" t="s">
        <v>180</v>
      </c>
      <c r="S233" s="23" t="s">
        <v>6474</v>
      </c>
      <c r="T233" s="23" t="s">
        <v>40</v>
      </c>
    </row>
    <row r="234" spans="1:20" x14ac:dyDescent="0.25">
      <c r="A234" s="23" t="s">
        <v>6475</v>
      </c>
      <c r="B234" s="23" t="s">
        <v>179</v>
      </c>
      <c r="C234" s="23" t="s">
        <v>6203</v>
      </c>
      <c r="D234" s="23" t="s">
        <v>6476</v>
      </c>
      <c r="E234" s="23" t="s">
        <v>3835</v>
      </c>
      <c r="F234" s="23" t="s">
        <v>40</v>
      </c>
      <c r="G234" s="23" t="s">
        <v>6477</v>
      </c>
      <c r="H234" s="23" t="s">
        <v>6478</v>
      </c>
      <c r="I234" s="23" t="s">
        <v>6479</v>
      </c>
      <c r="J234" s="23" t="s">
        <v>14</v>
      </c>
      <c r="K234" s="27" t="s">
        <v>404</v>
      </c>
      <c r="L234" s="23" t="s">
        <v>490</v>
      </c>
      <c r="M234" s="25" t="s">
        <v>18</v>
      </c>
      <c r="N234" s="23" t="s">
        <v>40</v>
      </c>
      <c r="O234" s="23" t="s">
        <v>387</v>
      </c>
      <c r="P234" s="23" t="s">
        <v>40</v>
      </c>
      <c r="Q234" s="23" t="s">
        <v>40</v>
      </c>
      <c r="R234" s="23" t="s">
        <v>180</v>
      </c>
      <c r="S234" s="23" t="s">
        <v>40</v>
      </c>
      <c r="T234" s="23" t="s">
        <v>40</v>
      </c>
    </row>
    <row r="235" spans="1:20" x14ac:dyDescent="0.25">
      <c r="A235" s="23" t="s">
        <v>6480</v>
      </c>
      <c r="B235" s="23" t="s">
        <v>179</v>
      </c>
      <c r="C235" s="23" t="s">
        <v>6203</v>
      </c>
      <c r="D235" s="23" t="s">
        <v>6481</v>
      </c>
      <c r="E235" s="23" t="s">
        <v>3835</v>
      </c>
      <c r="F235" s="23" t="s">
        <v>40</v>
      </c>
      <c r="G235" s="23" t="s">
        <v>6482</v>
      </c>
      <c r="H235" s="23" t="s">
        <v>6483</v>
      </c>
      <c r="I235" s="23" t="s">
        <v>6223</v>
      </c>
      <c r="J235" s="23" t="s">
        <v>385</v>
      </c>
      <c r="K235" s="32" t="s">
        <v>747</v>
      </c>
      <c r="L235" s="23" t="s">
        <v>490</v>
      </c>
      <c r="M235" s="25" t="s">
        <v>18</v>
      </c>
      <c r="N235" s="23" t="s">
        <v>40</v>
      </c>
      <c r="O235" s="23" t="s">
        <v>387</v>
      </c>
      <c r="P235" s="23" t="s">
        <v>40</v>
      </c>
      <c r="Q235" s="23" t="s">
        <v>40</v>
      </c>
      <c r="R235" s="23" t="s">
        <v>180</v>
      </c>
      <c r="S235" s="23" t="s">
        <v>40</v>
      </c>
      <c r="T235" s="23" t="s">
        <v>40</v>
      </c>
    </row>
    <row r="236" spans="1:20" x14ac:dyDescent="0.25">
      <c r="A236" s="23" t="s">
        <v>6484</v>
      </c>
      <c r="B236" s="23" t="s">
        <v>4534</v>
      </c>
      <c r="C236" s="23" t="s">
        <v>563</v>
      </c>
      <c r="D236" s="23" t="s">
        <v>6485</v>
      </c>
      <c r="E236" s="23" t="s">
        <v>6486</v>
      </c>
      <c r="F236" s="23" t="s">
        <v>40</v>
      </c>
      <c r="G236" s="23" t="s">
        <v>6487</v>
      </c>
      <c r="H236" s="23" t="s">
        <v>6488</v>
      </c>
      <c r="I236" s="23" t="s">
        <v>6489</v>
      </c>
      <c r="J236" s="23" t="s">
        <v>563</v>
      </c>
      <c r="K236" s="26" t="s">
        <v>396</v>
      </c>
      <c r="L236" s="23" t="s">
        <v>13</v>
      </c>
      <c r="M236" s="30" t="s">
        <v>19</v>
      </c>
      <c r="N236" s="23" t="s">
        <v>40</v>
      </c>
      <c r="O236" s="23" t="s">
        <v>387</v>
      </c>
      <c r="P236" s="23" t="s">
        <v>40</v>
      </c>
      <c r="Q236" s="23" t="s">
        <v>40</v>
      </c>
      <c r="R236" s="23" t="s">
        <v>40</v>
      </c>
      <c r="S236" s="23" t="s">
        <v>6490</v>
      </c>
      <c r="T236" s="23" t="s">
        <v>6491</v>
      </c>
    </row>
    <row r="237" spans="1:20" x14ac:dyDescent="0.25">
      <c r="A237" s="23" t="s">
        <v>6492</v>
      </c>
      <c r="B237" s="23" t="s">
        <v>4534</v>
      </c>
      <c r="C237" s="23" t="s">
        <v>563</v>
      </c>
      <c r="D237" s="23" t="s">
        <v>6493</v>
      </c>
      <c r="E237" s="23" t="s">
        <v>6494</v>
      </c>
      <c r="F237" s="23" t="s">
        <v>40</v>
      </c>
      <c r="G237" s="23" t="s">
        <v>6495</v>
      </c>
      <c r="H237" s="23" t="s">
        <v>6496</v>
      </c>
      <c r="I237" s="23" t="s">
        <v>6497</v>
      </c>
      <c r="J237" s="23" t="s">
        <v>563</v>
      </c>
      <c r="K237" s="24" t="s">
        <v>386</v>
      </c>
      <c r="L237" s="23" t="s">
        <v>405</v>
      </c>
      <c r="M237" s="25" t="s">
        <v>18</v>
      </c>
      <c r="N237" s="23" t="s">
        <v>40</v>
      </c>
      <c r="O237" s="23" t="s">
        <v>387</v>
      </c>
      <c r="P237" s="23" t="s">
        <v>40</v>
      </c>
      <c r="Q237" s="23" t="s">
        <v>40</v>
      </c>
      <c r="R237" s="23" t="s">
        <v>40</v>
      </c>
      <c r="S237" s="23" t="s">
        <v>40</v>
      </c>
      <c r="T237" s="23" t="s">
        <v>6498</v>
      </c>
    </row>
    <row r="238" spans="1:20" x14ac:dyDescent="0.25">
      <c r="A238" s="23" t="s">
        <v>6499</v>
      </c>
      <c r="B238" s="23" t="s">
        <v>4534</v>
      </c>
      <c r="C238" s="23" t="s">
        <v>563</v>
      </c>
      <c r="D238" s="23" t="s">
        <v>6500</v>
      </c>
      <c r="E238" s="23" t="s">
        <v>6501</v>
      </c>
      <c r="F238" s="23" t="s">
        <v>40</v>
      </c>
      <c r="G238" s="23" t="s">
        <v>6502</v>
      </c>
      <c r="H238" s="23" t="s">
        <v>6503</v>
      </c>
      <c r="I238" s="23" t="s">
        <v>6504</v>
      </c>
      <c r="J238" s="23" t="s">
        <v>801</v>
      </c>
      <c r="K238" s="24" t="s">
        <v>386</v>
      </c>
      <c r="L238" s="23" t="s">
        <v>405</v>
      </c>
      <c r="M238" s="25" t="s">
        <v>18</v>
      </c>
      <c r="N238" s="23" t="s">
        <v>40</v>
      </c>
      <c r="O238" s="23" t="s">
        <v>387</v>
      </c>
      <c r="P238" s="23" t="s">
        <v>40</v>
      </c>
      <c r="Q238" s="23" t="s">
        <v>40</v>
      </c>
      <c r="R238" s="23" t="s">
        <v>40</v>
      </c>
      <c r="S238" s="23" t="s">
        <v>40</v>
      </c>
      <c r="T238" s="23" t="s">
        <v>5268</v>
      </c>
    </row>
    <row r="239" spans="1:20" x14ac:dyDescent="0.25">
      <c r="A239" s="23" t="s">
        <v>6505</v>
      </c>
      <c r="B239" s="23" t="s">
        <v>4534</v>
      </c>
      <c r="C239" s="23" t="s">
        <v>563</v>
      </c>
      <c r="D239" s="23" t="s">
        <v>6506</v>
      </c>
      <c r="E239" s="23" t="s">
        <v>6507</v>
      </c>
      <c r="F239" s="23" t="s">
        <v>40</v>
      </c>
      <c r="G239" s="23" t="s">
        <v>6508</v>
      </c>
      <c r="H239" s="23" t="s">
        <v>6509</v>
      </c>
      <c r="I239" s="23" t="s">
        <v>6510</v>
      </c>
      <c r="J239" s="23" t="s">
        <v>395</v>
      </c>
      <c r="K239" s="27" t="s">
        <v>404</v>
      </c>
      <c r="L239" s="23" t="s">
        <v>490</v>
      </c>
      <c r="M239" s="25" t="s">
        <v>18</v>
      </c>
      <c r="N239" s="23" t="s">
        <v>40</v>
      </c>
      <c r="O239" s="23" t="s">
        <v>387</v>
      </c>
      <c r="P239" s="23" t="s">
        <v>40</v>
      </c>
      <c r="Q239" s="23" t="s">
        <v>40</v>
      </c>
      <c r="R239" s="23" t="s">
        <v>40</v>
      </c>
      <c r="S239" s="23" t="s">
        <v>40</v>
      </c>
      <c r="T239" s="23" t="s">
        <v>6511</v>
      </c>
    </row>
  </sheetData>
  <autoFilter ref="A1:T239"/>
  <dataValidations count="2">
    <dataValidation type="list" allowBlank="1" sqref="O10:O239">
      <formula1>"Passed,Failed,Blocked,Not Executed,Passed (19 Oct 2026)"</formula1>
    </dataValidation>
    <dataValidation type="list" allowBlank="1" sqref="O2:O239">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0"/>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6512</v>
      </c>
      <c r="B2" s="23" t="s">
        <v>181</v>
      </c>
      <c r="C2" s="23" t="s">
        <v>944</v>
      </c>
      <c r="D2" s="23" t="s">
        <v>6513</v>
      </c>
      <c r="E2" s="23" t="s">
        <v>3835</v>
      </c>
      <c r="F2" s="23" t="s">
        <v>6514</v>
      </c>
      <c r="G2" s="23" t="s">
        <v>6515</v>
      </c>
      <c r="H2" s="23" t="s">
        <v>6516</v>
      </c>
      <c r="I2" s="23" t="s">
        <v>6517</v>
      </c>
      <c r="J2" s="23" t="s">
        <v>385</v>
      </c>
      <c r="K2" s="24" t="s">
        <v>386</v>
      </c>
      <c r="L2" s="23" t="s">
        <v>13</v>
      </c>
      <c r="M2" s="31" t="s">
        <v>17</v>
      </c>
      <c r="N2" s="23" t="s">
        <v>6518</v>
      </c>
      <c r="O2" s="29" t="s">
        <v>87</v>
      </c>
      <c r="P2" s="23" t="s">
        <v>40</v>
      </c>
      <c r="Q2" s="23" t="s">
        <v>40</v>
      </c>
      <c r="R2" s="23" t="s">
        <v>182</v>
      </c>
      <c r="S2" s="23" t="s">
        <v>40</v>
      </c>
      <c r="T2" s="23" t="s">
        <v>40</v>
      </c>
    </row>
    <row r="3" spans="1:20" x14ac:dyDescent="0.25">
      <c r="A3" s="23" t="s">
        <v>6519</v>
      </c>
      <c r="B3" s="23" t="s">
        <v>181</v>
      </c>
      <c r="C3" s="23" t="s">
        <v>6520</v>
      </c>
      <c r="D3" s="23" t="s">
        <v>6521</v>
      </c>
      <c r="E3" s="23" t="s">
        <v>3835</v>
      </c>
      <c r="F3" s="23" t="s">
        <v>6522</v>
      </c>
      <c r="G3" s="23" t="s">
        <v>6523</v>
      </c>
      <c r="H3" s="23" t="s">
        <v>6524</v>
      </c>
      <c r="I3" s="23" t="s">
        <v>6525</v>
      </c>
      <c r="J3" s="23" t="s">
        <v>14</v>
      </c>
      <c r="K3" s="26" t="s">
        <v>396</v>
      </c>
      <c r="L3" s="23" t="s">
        <v>13</v>
      </c>
      <c r="M3" s="25" t="s">
        <v>18</v>
      </c>
      <c r="N3" s="23" t="s">
        <v>40</v>
      </c>
      <c r="O3" s="23" t="s">
        <v>387</v>
      </c>
      <c r="P3" s="23" t="s">
        <v>40</v>
      </c>
      <c r="Q3" s="23" t="s">
        <v>40</v>
      </c>
      <c r="R3" s="23" t="s">
        <v>182</v>
      </c>
      <c r="S3" s="23" t="s">
        <v>1710</v>
      </c>
      <c r="T3" s="23" t="s">
        <v>40</v>
      </c>
    </row>
    <row r="4" spans="1:20" x14ac:dyDescent="0.25">
      <c r="A4" s="23" t="s">
        <v>6526</v>
      </c>
      <c r="B4" s="23" t="s">
        <v>181</v>
      </c>
      <c r="C4" s="23" t="s">
        <v>6520</v>
      </c>
      <c r="D4" s="23" t="s">
        <v>6527</v>
      </c>
      <c r="E4" s="23" t="s">
        <v>3835</v>
      </c>
      <c r="F4" s="23" t="s">
        <v>6528</v>
      </c>
      <c r="G4" s="23" t="s">
        <v>6529</v>
      </c>
      <c r="H4" s="23" t="s">
        <v>6530</v>
      </c>
      <c r="I4" s="23" t="s">
        <v>6531</v>
      </c>
      <c r="J4" s="23" t="s">
        <v>14</v>
      </c>
      <c r="K4" s="26" t="s">
        <v>396</v>
      </c>
      <c r="L4" s="23" t="s">
        <v>13</v>
      </c>
      <c r="M4" s="25" t="s">
        <v>18</v>
      </c>
      <c r="N4" s="23" t="s">
        <v>40</v>
      </c>
      <c r="O4" s="23" t="s">
        <v>387</v>
      </c>
      <c r="P4" s="23" t="s">
        <v>40</v>
      </c>
      <c r="Q4" s="23" t="s">
        <v>40</v>
      </c>
      <c r="R4" s="23" t="s">
        <v>182</v>
      </c>
      <c r="S4" s="23" t="s">
        <v>1710</v>
      </c>
      <c r="T4" s="23" t="s">
        <v>40</v>
      </c>
    </row>
    <row r="5" spans="1:20" x14ac:dyDescent="0.25">
      <c r="A5" s="23" t="s">
        <v>6532</v>
      </c>
      <c r="B5" s="23" t="s">
        <v>181</v>
      </c>
      <c r="C5" s="23" t="s">
        <v>6520</v>
      </c>
      <c r="D5" s="23" t="s">
        <v>6533</v>
      </c>
      <c r="E5" s="23" t="s">
        <v>3835</v>
      </c>
      <c r="F5" s="23" t="s">
        <v>6534</v>
      </c>
      <c r="G5" s="23" t="s">
        <v>6535</v>
      </c>
      <c r="H5" s="23" t="s">
        <v>6536</v>
      </c>
      <c r="I5" s="23" t="s">
        <v>6537</v>
      </c>
      <c r="J5" s="23" t="s">
        <v>14</v>
      </c>
      <c r="K5" s="24" t="s">
        <v>386</v>
      </c>
      <c r="L5" s="23" t="s">
        <v>405</v>
      </c>
      <c r="M5" s="25" t="s">
        <v>18</v>
      </c>
      <c r="N5" s="23" t="s">
        <v>40</v>
      </c>
      <c r="O5" s="23" t="s">
        <v>387</v>
      </c>
      <c r="P5" s="23" t="s">
        <v>40</v>
      </c>
      <c r="Q5" s="23" t="s">
        <v>40</v>
      </c>
      <c r="R5" s="23" t="s">
        <v>182</v>
      </c>
      <c r="S5" s="23" t="s">
        <v>1710</v>
      </c>
      <c r="T5" s="23" t="s">
        <v>40</v>
      </c>
    </row>
    <row r="6" spans="1:20" x14ac:dyDescent="0.25">
      <c r="A6" s="23" t="s">
        <v>6538</v>
      </c>
      <c r="B6" s="23" t="s">
        <v>181</v>
      </c>
      <c r="C6" s="23" t="s">
        <v>6520</v>
      </c>
      <c r="D6" s="23" t="s">
        <v>6539</v>
      </c>
      <c r="E6" s="23" t="s">
        <v>3835</v>
      </c>
      <c r="F6" s="23" t="s">
        <v>6540</v>
      </c>
      <c r="G6" s="23" t="s">
        <v>6541</v>
      </c>
      <c r="H6" s="23" t="s">
        <v>6542</v>
      </c>
      <c r="I6" s="23" t="s">
        <v>6543</v>
      </c>
      <c r="J6" s="23" t="s">
        <v>14</v>
      </c>
      <c r="K6" s="26" t="s">
        <v>396</v>
      </c>
      <c r="L6" s="23" t="s">
        <v>13</v>
      </c>
      <c r="M6" s="25" t="s">
        <v>18</v>
      </c>
      <c r="N6" s="23" t="s">
        <v>40</v>
      </c>
      <c r="O6" s="23" t="s">
        <v>387</v>
      </c>
      <c r="P6" s="23" t="s">
        <v>40</v>
      </c>
      <c r="Q6" s="23" t="s">
        <v>40</v>
      </c>
      <c r="R6" s="23" t="s">
        <v>182</v>
      </c>
      <c r="S6" s="23" t="s">
        <v>1710</v>
      </c>
      <c r="T6" s="23" t="s">
        <v>40</v>
      </c>
    </row>
    <row r="7" spans="1:20" x14ac:dyDescent="0.25">
      <c r="A7" s="23" t="s">
        <v>6544</v>
      </c>
      <c r="B7" s="23" t="s">
        <v>181</v>
      </c>
      <c r="C7" s="23" t="s">
        <v>6520</v>
      </c>
      <c r="D7" s="23" t="s">
        <v>6545</v>
      </c>
      <c r="E7" s="23" t="s">
        <v>3835</v>
      </c>
      <c r="F7" s="23" t="s">
        <v>6546</v>
      </c>
      <c r="G7" s="23" t="s">
        <v>6547</v>
      </c>
      <c r="H7" s="23" t="s">
        <v>6548</v>
      </c>
      <c r="I7" s="23" t="s">
        <v>6549</v>
      </c>
      <c r="J7" s="23" t="s">
        <v>15</v>
      </c>
      <c r="K7" s="24" t="s">
        <v>386</v>
      </c>
      <c r="L7" s="23" t="s">
        <v>13</v>
      </c>
      <c r="M7" s="25" t="s">
        <v>18</v>
      </c>
      <c r="N7" s="23" t="s">
        <v>40</v>
      </c>
      <c r="O7" s="23" t="s">
        <v>387</v>
      </c>
      <c r="P7" s="23" t="s">
        <v>40</v>
      </c>
      <c r="Q7" s="23" t="s">
        <v>40</v>
      </c>
      <c r="R7" s="23" t="s">
        <v>182</v>
      </c>
      <c r="S7" s="23" t="s">
        <v>1710</v>
      </c>
      <c r="T7" s="23" t="s">
        <v>40</v>
      </c>
    </row>
    <row r="8" spans="1:20" x14ac:dyDescent="0.25">
      <c r="A8" s="23" t="s">
        <v>6550</v>
      </c>
      <c r="B8" s="23" t="s">
        <v>181</v>
      </c>
      <c r="C8" s="23" t="s">
        <v>6520</v>
      </c>
      <c r="D8" s="23" t="s">
        <v>6551</v>
      </c>
      <c r="E8" s="23" t="s">
        <v>3835</v>
      </c>
      <c r="F8" s="23" t="s">
        <v>6552</v>
      </c>
      <c r="G8" s="23" t="s">
        <v>6553</v>
      </c>
      <c r="H8" s="23" t="s">
        <v>6554</v>
      </c>
      <c r="I8" s="23" t="s">
        <v>6555</v>
      </c>
      <c r="J8" s="23" t="s">
        <v>489</v>
      </c>
      <c r="K8" s="27" t="s">
        <v>404</v>
      </c>
      <c r="L8" s="23" t="s">
        <v>405</v>
      </c>
      <c r="M8" s="25" t="s">
        <v>18</v>
      </c>
      <c r="N8" s="23" t="s">
        <v>40</v>
      </c>
      <c r="O8" s="23" t="s">
        <v>387</v>
      </c>
      <c r="P8" s="23" t="s">
        <v>40</v>
      </c>
      <c r="Q8" s="23" t="s">
        <v>40</v>
      </c>
      <c r="R8" s="23" t="s">
        <v>182</v>
      </c>
      <c r="S8" s="23" t="s">
        <v>1710</v>
      </c>
      <c r="T8" s="23" t="s">
        <v>40</v>
      </c>
    </row>
    <row r="9" spans="1:20" x14ac:dyDescent="0.25">
      <c r="A9" s="23" t="s">
        <v>6556</v>
      </c>
      <c r="B9" s="23" t="s">
        <v>181</v>
      </c>
      <c r="C9" s="23" t="s">
        <v>461</v>
      </c>
      <c r="D9" s="23" t="s">
        <v>6557</v>
      </c>
      <c r="E9" s="23" t="s">
        <v>3835</v>
      </c>
      <c r="F9" s="23" t="s">
        <v>6558</v>
      </c>
      <c r="G9" s="23" t="s">
        <v>6559</v>
      </c>
      <c r="H9" s="23" t="s">
        <v>6560</v>
      </c>
      <c r="I9" s="23" t="s">
        <v>6561</v>
      </c>
      <c r="J9" s="23" t="s">
        <v>466</v>
      </c>
      <c r="K9" s="24" t="s">
        <v>386</v>
      </c>
      <c r="L9" s="23" t="s">
        <v>13</v>
      </c>
      <c r="M9" s="25" t="s">
        <v>18</v>
      </c>
      <c r="N9" s="23" t="s">
        <v>40</v>
      </c>
      <c r="O9" s="23" t="s">
        <v>387</v>
      </c>
      <c r="P9" s="23" t="s">
        <v>40</v>
      </c>
      <c r="Q9" s="23" t="s">
        <v>40</v>
      </c>
      <c r="R9" s="23" t="s">
        <v>182</v>
      </c>
      <c r="S9" s="23" t="s">
        <v>1710</v>
      </c>
      <c r="T9" s="23" t="s">
        <v>40</v>
      </c>
    </row>
    <row r="10" spans="1:20" x14ac:dyDescent="0.25">
      <c r="A10" s="23" t="s">
        <v>6562</v>
      </c>
      <c r="B10" s="23" t="s">
        <v>181</v>
      </c>
      <c r="C10" s="23" t="s">
        <v>461</v>
      </c>
      <c r="D10" s="23" t="s">
        <v>6563</v>
      </c>
      <c r="E10" s="23" t="s">
        <v>3835</v>
      </c>
      <c r="F10" s="23" t="s">
        <v>6564</v>
      </c>
      <c r="G10" s="23" t="s">
        <v>6565</v>
      </c>
      <c r="H10" s="23" t="s">
        <v>6566</v>
      </c>
      <c r="I10" s="23" t="s">
        <v>6567</v>
      </c>
      <c r="J10" s="23" t="s">
        <v>466</v>
      </c>
      <c r="K10" s="27" t="s">
        <v>404</v>
      </c>
      <c r="L10" s="23" t="s">
        <v>405</v>
      </c>
      <c r="M10" s="25" t="s">
        <v>18</v>
      </c>
      <c r="N10" s="23" t="s">
        <v>40</v>
      </c>
      <c r="O10" s="23" t="s">
        <v>387</v>
      </c>
      <c r="P10" s="23" t="s">
        <v>40</v>
      </c>
      <c r="Q10" s="23" t="s">
        <v>40</v>
      </c>
      <c r="R10" s="23" t="s">
        <v>182</v>
      </c>
      <c r="S10" s="23" t="s">
        <v>1710</v>
      </c>
      <c r="T10" s="23" t="s">
        <v>40</v>
      </c>
    </row>
    <row r="11" spans="1:20" x14ac:dyDescent="0.25">
      <c r="A11" s="23" t="s">
        <v>6568</v>
      </c>
      <c r="B11" s="23" t="s">
        <v>181</v>
      </c>
      <c r="C11" s="23" t="s">
        <v>461</v>
      </c>
      <c r="D11" s="23" t="s">
        <v>6569</v>
      </c>
      <c r="E11" s="23" t="s">
        <v>3835</v>
      </c>
      <c r="F11" s="23" t="s">
        <v>6570</v>
      </c>
      <c r="G11" s="23" t="s">
        <v>6571</v>
      </c>
      <c r="H11" s="23" t="s">
        <v>6572</v>
      </c>
      <c r="I11" s="23" t="s">
        <v>6573</v>
      </c>
      <c r="J11" s="23" t="s">
        <v>466</v>
      </c>
      <c r="K11" s="27" t="s">
        <v>404</v>
      </c>
      <c r="L11" s="23" t="s">
        <v>405</v>
      </c>
      <c r="M11" s="25" t="s">
        <v>18</v>
      </c>
      <c r="N11" s="23" t="s">
        <v>40</v>
      </c>
      <c r="O11" s="23" t="s">
        <v>387</v>
      </c>
      <c r="P11" s="23" t="s">
        <v>40</v>
      </c>
      <c r="Q11" s="23" t="s">
        <v>40</v>
      </c>
      <c r="R11" s="23" t="s">
        <v>182</v>
      </c>
      <c r="S11" s="23" t="s">
        <v>1710</v>
      </c>
      <c r="T11" s="23" t="s">
        <v>40</v>
      </c>
    </row>
    <row r="12" spans="1:20" x14ac:dyDescent="0.25">
      <c r="A12" s="23" t="s">
        <v>6574</v>
      </c>
      <c r="B12" s="23" t="s">
        <v>181</v>
      </c>
      <c r="C12" s="23" t="s">
        <v>461</v>
      </c>
      <c r="D12" s="23" t="s">
        <v>6575</v>
      </c>
      <c r="E12" s="23" t="s">
        <v>3835</v>
      </c>
      <c r="F12" s="23" t="s">
        <v>6576</v>
      </c>
      <c r="G12" s="23" t="s">
        <v>6577</v>
      </c>
      <c r="H12" s="23" t="s">
        <v>6578</v>
      </c>
      <c r="I12" s="23" t="s">
        <v>6579</v>
      </c>
      <c r="J12" s="23" t="s">
        <v>466</v>
      </c>
      <c r="K12" s="27" t="s">
        <v>404</v>
      </c>
      <c r="L12" s="23" t="s">
        <v>405</v>
      </c>
      <c r="M12" s="25" t="s">
        <v>18</v>
      </c>
      <c r="N12" s="23" t="s">
        <v>40</v>
      </c>
      <c r="O12" s="23" t="s">
        <v>387</v>
      </c>
      <c r="P12" s="23" t="s">
        <v>40</v>
      </c>
      <c r="Q12" s="23" t="s">
        <v>40</v>
      </c>
      <c r="R12" s="23" t="s">
        <v>182</v>
      </c>
      <c r="S12" s="23" t="s">
        <v>1710</v>
      </c>
      <c r="T12" s="23" t="s">
        <v>40</v>
      </c>
    </row>
    <row r="13" spans="1:20" x14ac:dyDescent="0.25">
      <c r="A13" s="23" t="s">
        <v>6580</v>
      </c>
      <c r="B13" s="23" t="s">
        <v>181</v>
      </c>
      <c r="C13" s="23" t="s">
        <v>6581</v>
      </c>
      <c r="D13" s="23" t="s">
        <v>6582</v>
      </c>
      <c r="E13" s="23" t="s">
        <v>6583</v>
      </c>
      <c r="F13" s="23" t="s">
        <v>6584</v>
      </c>
      <c r="G13" s="23" t="s">
        <v>6585</v>
      </c>
      <c r="H13" s="23" t="s">
        <v>6586</v>
      </c>
      <c r="I13" s="23" t="s">
        <v>6587</v>
      </c>
      <c r="J13" s="23" t="s">
        <v>15</v>
      </c>
      <c r="K13" s="27" t="s">
        <v>404</v>
      </c>
      <c r="L13" s="23" t="s">
        <v>405</v>
      </c>
      <c r="M13" s="25" t="s">
        <v>18</v>
      </c>
      <c r="N13" s="23" t="s">
        <v>40</v>
      </c>
      <c r="O13" s="23" t="s">
        <v>387</v>
      </c>
      <c r="P13" s="23" t="s">
        <v>40</v>
      </c>
      <c r="Q13" s="23" t="s">
        <v>40</v>
      </c>
      <c r="R13" s="23" t="s">
        <v>182</v>
      </c>
      <c r="S13" s="23" t="s">
        <v>1710</v>
      </c>
      <c r="T13" s="23" t="s">
        <v>40</v>
      </c>
    </row>
    <row r="14" spans="1:20" x14ac:dyDescent="0.25">
      <c r="A14" s="23" t="s">
        <v>6588</v>
      </c>
      <c r="B14" s="23" t="s">
        <v>181</v>
      </c>
      <c r="C14" s="23" t="s">
        <v>6581</v>
      </c>
      <c r="D14" s="23" t="s">
        <v>6589</v>
      </c>
      <c r="E14" s="23" t="s">
        <v>3835</v>
      </c>
      <c r="F14" s="23" t="s">
        <v>6590</v>
      </c>
      <c r="G14" s="23" t="s">
        <v>6591</v>
      </c>
      <c r="H14" s="23" t="s">
        <v>6592</v>
      </c>
      <c r="I14" s="23" t="s">
        <v>6593</v>
      </c>
      <c r="J14" s="23" t="s">
        <v>466</v>
      </c>
      <c r="K14" s="27" t="s">
        <v>404</v>
      </c>
      <c r="L14" s="23" t="s">
        <v>490</v>
      </c>
      <c r="M14" s="25" t="s">
        <v>18</v>
      </c>
      <c r="N14" s="23" t="s">
        <v>40</v>
      </c>
      <c r="O14" s="23" t="s">
        <v>387</v>
      </c>
      <c r="P14" s="23" t="s">
        <v>40</v>
      </c>
      <c r="Q14" s="23" t="s">
        <v>40</v>
      </c>
      <c r="R14" s="23" t="s">
        <v>182</v>
      </c>
      <c r="S14" s="23" t="s">
        <v>1710</v>
      </c>
      <c r="T14" s="23" t="s">
        <v>40</v>
      </c>
    </row>
    <row r="15" spans="1:20" x14ac:dyDescent="0.25">
      <c r="A15" s="23" t="s">
        <v>6594</v>
      </c>
      <c r="B15" s="23" t="s">
        <v>181</v>
      </c>
      <c r="C15" s="23" t="s">
        <v>6581</v>
      </c>
      <c r="D15" s="23" t="s">
        <v>6595</v>
      </c>
      <c r="E15" s="23" t="s">
        <v>3835</v>
      </c>
      <c r="F15" s="23" t="s">
        <v>6596</v>
      </c>
      <c r="G15" s="23" t="s">
        <v>6597</v>
      </c>
      <c r="H15" s="23" t="s">
        <v>6598</v>
      </c>
      <c r="I15" s="23" t="s">
        <v>6599</v>
      </c>
      <c r="J15" s="23" t="s">
        <v>489</v>
      </c>
      <c r="K15" s="27" t="s">
        <v>404</v>
      </c>
      <c r="L15" s="23" t="s">
        <v>490</v>
      </c>
      <c r="M15" s="25" t="s">
        <v>18</v>
      </c>
      <c r="N15" s="23" t="s">
        <v>40</v>
      </c>
      <c r="O15" s="23" t="s">
        <v>387</v>
      </c>
      <c r="P15" s="23" t="s">
        <v>40</v>
      </c>
      <c r="Q15" s="23" t="s">
        <v>40</v>
      </c>
      <c r="R15" s="23" t="s">
        <v>182</v>
      </c>
      <c r="S15" s="23" t="s">
        <v>1710</v>
      </c>
      <c r="T15" s="23" t="s">
        <v>40</v>
      </c>
    </row>
    <row r="16" spans="1:20" x14ac:dyDescent="0.25">
      <c r="A16" s="23" t="s">
        <v>6600</v>
      </c>
      <c r="B16" s="23" t="s">
        <v>181</v>
      </c>
      <c r="C16" s="23" t="s">
        <v>6581</v>
      </c>
      <c r="D16" s="23" t="s">
        <v>6601</v>
      </c>
      <c r="E16" s="23" t="s">
        <v>3835</v>
      </c>
      <c r="F16" s="23" t="s">
        <v>6602</v>
      </c>
      <c r="G16" s="23" t="s">
        <v>6603</v>
      </c>
      <c r="H16" s="23" t="s">
        <v>6604</v>
      </c>
      <c r="I16" s="23" t="s">
        <v>6605</v>
      </c>
      <c r="J16" s="23" t="s">
        <v>489</v>
      </c>
      <c r="K16" s="27" t="s">
        <v>404</v>
      </c>
      <c r="L16" s="23" t="s">
        <v>405</v>
      </c>
      <c r="M16" s="25" t="s">
        <v>18</v>
      </c>
      <c r="N16" s="23" t="s">
        <v>40</v>
      </c>
      <c r="O16" s="23" t="s">
        <v>387</v>
      </c>
      <c r="P16" s="23" t="s">
        <v>40</v>
      </c>
      <c r="Q16" s="23" t="s">
        <v>40</v>
      </c>
      <c r="R16" s="23" t="s">
        <v>182</v>
      </c>
      <c r="S16" s="23" t="s">
        <v>1710</v>
      </c>
      <c r="T16" s="23" t="s">
        <v>40</v>
      </c>
    </row>
    <row r="17" spans="1:20" x14ac:dyDescent="0.25">
      <c r="A17" s="23" t="s">
        <v>6606</v>
      </c>
      <c r="B17" s="23" t="s">
        <v>181</v>
      </c>
      <c r="C17" s="23" t="s">
        <v>6581</v>
      </c>
      <c r="D17" s="23" t="s">
        <v>6607</v>
      </c>
      <c r="E17" s="23" t="s">
        <v>3835</v>
      </c>
      <c r="F17" s="23" t="s">
        <v>6608</v>
      </c>
      <c r="G17" s="23" t="s">
        <v>6609</v>
      </c>
      <c r="H17" s="23" t="s">
        <v>6610</v>
      </c>
      <c r="I17" s="23" t="s">
        <v>6611</v>
      </c>
      <c r="J17" s="23" t="s">
        <v>489</v>
      </c>
      <c r="K17" s="27" t="s">
        <v>404</v>
      </c>
      <c r="L17" s="23" t="s">
        <v>405</v>
      </c>
      <c r="M17" s="25" t="s">
        <v>18</v>
      </c>
      <c r="N17" s="23" t="s">
        <v>40</v>
      </c>
      <c r="O17" s="23" t="s">
        <v>387</v>
      </c>
      <c r="P17" s="23" t="s">
        <v>40</v>
      </c>
      <c r="Q17" s="23" t="s">
        <v>40</v>
      </c>
      <c r="R17" s="23" t="s">
        <v>182</v>
      </c>
      <c r="S17" s="23" t="s">
        <v>1710</v>
      </c>
      <c r="T17" s="23" t="s">
        <v>40</v>
      </c>
    </row>
    <row r="18" spans="1:20" x14ac:dyDescent="0.25">
      <c r="A18" s="23" t="s">
        <v>6612</v>
      </c>
      <c r="B18" s="23" t="s">
        <v>181</v>
      </c>
      <c r="C18" s="23" t="s">
        <v>6581</v>
      </c>
      <c r="D18" s="23" t="s">
        <v>6613</v>
      </c>
      <c r="E18" s="23" t="s">
        <v>3835</v>
      </c>
      <c r="F18" s="23" t="s">
        <v>6614</v>
      </c>
      <c r="G18" s="23" t="s">
        <v>6615</v>
      </c>
      <c r="H18" s="23" t="s">
        <v>6616</v>
      </c>
      <c r="I18" s="23" t="s">
        <v>6617</v>
      </c>
      <c r="J18" s="23" t="s">
        <v>489</v>
      </c>
      <c r="K18" s="27" t="s">
        <v>404</v>
      </c>
      <c r="L18" s="23" t="s">
        <v>405</v>
      </c>
      <c r="M18" s="25" t="s">
        <v>18</v>
      </c>
      <c r="N18" s="23" t="s">
        <v>40</v>
      </c>
      <c r="O18" s="23" t="s">
        <v>387</v>
      </c>
      <c r="P18" s="23" t="s">
        <v>40</v>
      </c>
      <c r="Q18" s="23" t="s">
        <v>40</v>
      </c>
      <c r="R18" s="23" t="s">
        <v>182</v>
      </c>
      <c r="S18" s="23" t="s">
        <v>1710</v>
      </c>
      <c r="T18" s="23" t="s">
        <v>40</v>
      </c>
    </row>
    <row r="19" spans="1:20" x14ac:dyDescent="0.25">
      <c r="A19" s="23" t="s">
        <v>6618</v>
      </c>
      <c r="B19" s="23" t="s">
        <v>181</v>
      </c>
      <c r="C19" s="23" t="s">
        <v>6581</v>
      </c>
      <c r="D19" s="23" t="s">
        <v>6619</v>
      </c>
      <c r="E19" s="23" t="s">
        <v>3835</v>
      </c>
      <c r="F19" s="23" t="s">
        <v>6620</v>
      </c>
      <c r="G19" s="23" t="s">
        <v>6621</v>
      </c>
      <c r="H19" s="23" t="s">
        <v>6622</v>
      </c>
      <c r="I19" s="23" t="s">
        <v>6623</v>
      </c>
      <c r="J19" s="23" t="s">
        <v>489</v>
      </c>
      <c r="K19" s="27" t="s">
        <v>404</v>
      </c>
      <c r="L19" s="23" t="s">
        <v>490</v>
      </c>
      <c r="M19" s="25" t="s">
        <v>18</v>
      </c>
      <c r="N19" s="23" t="s">
        <v>40</v>
      </c>
      <c r="O19" s="23" t="s">
        <v>387</v>
      </c>
      <c r="P19" s="23" t="s">
        <v>40</v>
      </c>
      <c r="Q19" s="23" t="s">
        <v>40</v>
      </c>
      <c r="R19" s="23" t="s">
        <v>182</v>
      </c>
      <c r="S19" s="23" t="s">
        <v>1710</v>
      </c>
      <c r="T19" s="23" t="s">
        <v>40</v>
      </c>
    </row>
    <row r="20" spans="1:20" x14ac:dyDescent="0.25">
      <c r="A20" s="23" t="s">
        <v>6624</v>
      </c>
      <c r="B20" s="23" t="s">
        <v>181</v>
      </c>
      <c r="C20" s="23" t="s">
        <v>6581</v>
      </c>
      <c r="D20" s="23" t="s">
        <v>6625</v>
      </c>
      <c r="E20" s="23" t="s">
        <v>3835</v>
      </c>
      <c r="F20" s="23" t="s">
        <v>6626</v>
      </c>
      <c r="G20" s="23" t="s">
        <v>6627</v>
      </c>
      <c r="H20" s="23" t="s">
        <v>6628</v>
      </c>
      <c r="I20" s="23" t="s">
        <v>6629</v>
      </c>
      <c r="J20" s="23" t="s">
        <v>466</v>
      </c>
      <c r="K20" s="27" t="s">
        <v>404</v>
      </c>
      <c r="L20" s="23" t="s">
        <v>490</v>
      </c>
      <c r="M20" s="25" t="s">
        <v>18</v>
      </c>
      <c r="N20" s="23" t="s">
        <v>40</v>
      </c>
      <c r="O20" s="23" t="s">
        <v>387</v>
      </c>
      <c r="P20" s="23" t="s">
        <v>40</v>
      </c>
      <c r="Q20" s="23" t="s">
        <v>40</v>
      </c>
      <c r="R20" s="23" t="s">
        <v>182</v>
      </c>
      <c r="S20" s="23" t="s">
        <v>1710</v>
      </c>
      <c r="T20" s="23" t="s">
        <v>40</v>
      </c>
    </row>
    <row r="21" spans="1:20" x14ac:dyDescent="0.25">
      <c r="A21" s="23" t="s">
        <v>6630</v>
      </c>
      <c r="B21" s="23" t="s">
        <v>181</v>
      </c>
      <c r="C21" s="23" t="s">
        <v>6581</v>
      </c>
      <c r="D21" s="23" t="s">
        <v>6631</v>
      </c>
      <c r="E21" s="23" t="s">
        <v>3835</v>
      </c>
      <c r="F21" s="23" t="s">
        <v>40</v>
      </c>
      <c r="G21" s="23" t="s">
        <v>6632</v>
      </c>
      <c r="H21" s="23" t="s">
        <v>6633</v>
      </c>
      <c r="I21" s="23" t="s">
        <v>6634</v>
      </c>
      <c r="J21" s="23" t="s">
        <v>385</v>
      </c>
      <c r="K21" s="32" t="s">
        <v>747</v>
      </c>
      <c r="L21" s="23" t="s">
        <v>490</v>
      </c>
      <c r="M21" s="25" t="s">
        <v>18</v>
      </c>
      <c r="N21" s="23" t="s">
        <v>40</v>
      </c>
      <c r="O21" s="23" t="s">
        <v>387</v>
      </c>
      <c r="P21" s="23" t="s">
        <v>40</v>
      </c>
      <c r="Q21" s="23" t="s">
        <v>40</v>
      </c>
      <c r="R21" s="23" t="s">
        <v>182</v>
      </c>
      <c r="S21" s="23" t="s">
        <v>1710</v>
      </c>
      <c r="T21" s="23" t="s">
        <v>40</v>
      </c>
    </row>
    <row r="22" spans="1:20" x14ac:dyDescent="0.25">
      <c r="A22" s="23" t="s">
        <v>6635</v>
      </c>
      <c r="B22" s="23" t="s">
        <v>181</v>
      </c>
      <c r="C22" s="23" t="s">
        <v>6636</v>
      </c>
      <c r="D22" s="23" t="s">
        <v>6637</v>
      </c>
      <c r="E22" s="23" t="s">
        <v>6638</v>
      </c>
      <c r="F22" s="23" t="s">
        <v>6639</v>
      </c>
      <c r="G22" s="23" t="s">
        <v>6640</v>
      </c>
      <c r="H22" s="23" t="s">
        <v>6641</v>
      </c>
      <c r="I22" s="23" t="s">
        <v>6642</v>
      </c>
      <c r="J22" s="23" t="s">
        <v>14</v>
      </c>
      <c r="K22" s="24" t="s">
        <v>386</v>
      </c>
      <c r="L22" s="23" t="s">
        <v>405</v>
      </c>
      <c r="M22" s="25" t="s">
        <v>18</v>
      </c>
      <c r="N22" s="23" t="s">
        <v>40</v>
      </c>
      <c r="O22" s="23" t="s">
        <v>387</v>
      </c>
      <c r="P22" s="23" t="s">
        <v>40</v>
      </c>
      <c r="Q22" s="23" t="s">
        <v>40</v>
      </c>
      <c r="R22" s="23" t="s">
        <v>182</v>
      </c>
      <c r="S22" s="23" t="s">
        <v>1710</v>
      </c>
      <c r="T22" s="23" t="s">
        <v>40</v>
      </c>
    </row>
    <row r="23" spans="1:20" x14ac:dyDescent="0.25">
      <c r="A23" s="23" t="s">
        <v>6643</v>
      </c>
      <c r="B23" s="23" t="s">
        <v>181</v>
      </c>
      <c r="C23" s="23" t="s">
        <v>6636</v>
      </c>
      <c r="D23" s="23" t="s">
        <v>6644</v>
      </c>
      <c r="E23" s="23" t="s">
        <v>6645</v>
      </c>
      <c r="F23" s="23" t="s">
        <v>6646</v>
      </c>
      <c r="G23" s="23" t="s">
        <v>6647</v>
      </c>
      <c r="H23" s="23" t="s">
        <v>6648</v>
      </c>
      <c r="I23" s="23" t="s">
        <v>6649</v>
      </c>
      <c r="J23" s="23" t="s">
        <v>14</v>
      </c>
      <c r="K23" s="26" t="s">
        <v>396</v>
      </c>
      <c r="L23" s="23" t="s">
        <v>13</v>
      </c>
      <c r="M23" s="25" t="s">
        <v>18</v>
      </c>
      <c r="N23" s="23" t="s">
        <v>40</v>
      </c>
      <c r="O23" s="23" t="s">
        <v>387</v>
      </c>
      <c r="P23" s="23" t="s">
        <v>40</v>
      </c>
      <c r="Q23" s="23" t="s">
        <v>40</v>
      </c>
      <c r="R23" s="23" t="s">
        <v>182</v>
      </c>
      <c r="S23" s="23" t="s">
        <v>1710</v>
      </c>
      <c r="T23" s="23" t="s">
        <v>6650</v>
      </c>
    </row>
    <row r="24" spans="1:20" x14ac:dyDescent="0.25">
      <c r="A24" s="23" t="s">
        <v>6651</v>
      </c>
      <c r="B24" s="23" t="s">
        <v>181</v>
      </c>
      <c r="C24" s="23" t="s">
        <v>6636</v>
      </c>
      <c r="D24" s="23" t="s">
        <v>6652</v>
      </c>
      <c r="E24" s="23" t="s">
        <v>6653</v>
      </c>
      <c r="F24" s="23" t="s">
        <v>6654</v>
      </c>
      <c r="G24" s="23" t="s">
        <v>6655</v>
      </c>
      <c r="H24" s="23" t="s">
        <v>6656</v>
      </c>
      <c r="I24" s="23" t="s">
        <v>6657</v>
      </c>
      <c r="J24" s="23" t="s">
        <v>15</v>
      </c>
      <c r="K24" s="24" t="s">
        <v>386</v>
      </c>
      <c r="L24" s="23" t="s">
        <v>13</v>
      </c>
      <c r="M24" s="25" t="s">
        <v>18</v>
      </c>
      <c r="N24" s="23" t="s">
        <v>40</v>
      </c>
      <c r="O24" s="23" t="s">
        <v>387</v>
      </c>
      <c r="P24" s="23" t="s">
        <v>40</v>
      </c>
      <c r="Q24" s="23" t="s">
        <v>40</v>
      </c>
      <c r="R24" s="23" t="s">
        <v>182</v>
      </c>
      <c r="S24" s="23" t="s">
        <v>1710</v>
      </c>
      <c r="T24" s="23" t="s">
        <v>6650</v>
      </c>
    </row>
    <row r="25" spans="1:20" x14ac:dyDescent="0.25">
      <c r="A25" s="23" t="s">
        <v>6658</v>
      </c>
      <c r="B25" s="23" t="s">
        <v>181</v>
      </c>
      <c r="C25" s="23" t="s">
        <v>5188</v>
      </c>
      <c r="D25" s="23" t="s">
        <v>6659</v>
      </c>
      <c r="E25" s="23" t="s">
        <v>3835</v>
      </c>
      <c r="F25" s="23" t="s">
        <v>6660</v>
      </c>
      <c r="G25" s="23" t="s">
        <v>6661</v>
      </c>
      <c r="H25" s="23" t="s">
        <v>6662</v>
      </c>
      <c r="I25" s="23" t="s">
        <v>6663</v>
      </c>
      <c r="J25" s="23" t="s">
        <v>801</v>
      </c>
      <c r="K25" s="24" t="s">
        <v>386</v>
      </c>
      <c r="L25" s="23" t="s">
        <v>405</v>
      </c>
      <c r="M25" s="25" t="s">
        <v>18</v>
      </c>
      <c r="N25" s="23" t="s">
        <v>40</v>
      </c>
      <c r="O25" s="23" t="s">
        <v>387</v>
      </c>
      <c r="P25" s="23" t="s">
        <v>40</v>
      </c>
      <c r="Q25" s="23" t="s">
        <v>40</v>
      </c>
      <c r="R25" s="23" t="s">
        <v>182</v>
      </c>
      <c r="S25" s="23" t="s">
        <v>1710</v>
      </c>
      <c r="T25" s="23" t="s">
        <v>40</v>
      </c>
    </row>
    <row r="26" spans="1:20" x14ac:dyDescent="0.25">
      <c r="A26" s="23" t="s">
        <v>6664</v>
      </c>
      <c r="B26" s="23" t="s">
        <v>181</v>
      </c>
      <c r="C26" s="23" t="s">
        <v>6665</v>
      </c>
      <c r="D26" s="23" t="s">
        <v>6666</v>
      </c>
      <c r="E26" s="23" t="s">
        <v>6667</v>
      </c>
      <c r="F26" s="23" t="s">
        <v>6668</v>
      </c>
      <c r="G26" s="23" t="s">
        <v>6669</v>
      </c>
      <c r="H26" s="23" t="s">
        <v>6670</v>
      </c>
      <c r="I26" s="23" t="s">
        <v>6671</v>
      </c>
      <c r="J26" s="23" t="s">
        <v>15</v>
      </c>
      <c r="K26" s="27" t="s">
        <v>404</v>
      </c>
      <c r="L26" s="23" t="s">
        <v>405</v>
      </c>
      <c r="M26" s="25" t="s">
        <v>18</v>
      </c>
      <c r="N26" s="23" t="s">
        <v>40</v>
      </c>
      <c r="O26" s="23" t="s">
        <v>387</v>
      </c>
      <c r="P26" s="23" t="s">
        <v>40</v>
      </c>
      <c r="Q26" s="23" t="s">
        <v>40</v>
      </c>
      <c r="R26" s="23" t="s">
        <v>182</v>
      </c>
      <c r="S26" s="23" t="s">
        <v>1710</v>
      </c>
      <c r="T26" s="23" t="s">
        <v>6672</v>
      </c>
    </row>
    <row r="27" spans="1:20" x14ac:dyDescent="0.25">
      <c r="A27" s="23" t="s">
        <v>6673</v>
      </c>
      <c r="B27" s="23" t="s">
        <v>181</v>
      </c>
      <c r="C27" s="23" t="s">
        <v>6665</v>
      </c>
      <c r="D27" s="23" t="s">
        <v>6674</v>
      </c>
      <c r="E27" s="23" t="s">
        <v>6675</v>
      </c>
      <c r="F27" s="23" t="s">
        <v>6676</v>
      </c>
      <c r="G27" s="23" t="s">
        <v>6677</v>
      </c>
      <c r="H27" s="23" t="s">
        <v>6678</v>
      </c>
      <c r="I27" s="23" t="s">
        <v>6679</v>
      </c>
      <c r="J27" s="23" t="s">
        <v>14</v>
      </c>
      <c r="K27" s="27" t="s">
        <v>404</v>
      </c>
      <c r="L27" s="23" t="s">
        <v>490</v>
      </c>
      <c r="M27" s="25" t="s">
        <v>18</v>
      </c>
      <c r="N27" s="23" t="s">
        <v>40</v>
      </c>
      <c r="O27" s="23" t="s">
        <v>387</v>
      </c>
      <c r="P27" s="23" t="s">
        <v>40</v>
      </c>
      <c r="Q27" s="23" t="s">
        <v>40</v>
      </c>
      <c r="R27" s="23" t="s">
        <v>182</v>
      </c>
      <c r="S27" s="23" t="s">
        <v>1710</v>
      </c>
      <c r="T27" s="23" t="s">
        <v>40</v>
      </c>
    </row>
    <row r="28" spans="1:20" x14ac:dyDescent="0.25">
      <c r="A28" s="23" t="s">
        <v>6680</v>
      </c>
      <c r="B28" s="23" t="s">
        <v>181</v>
      </c>
      <c r="C28" s="23" t="s">
        <v>2304</v>
      </c>
      <c r="D28" s="23" t="s">
        <v>6681</v>
      </c>
      <c r="E28" s="23" t="s">
        <v>3835</v>
      </c>
      <c r="F28" s="23" t="s">
        <v>40</v>
      </c>
      <c r="G28" s="23" t="s">
        <v>6682</v>
      </c>
      <c r="H28" s="23" t="s">
        <v>6683</v>
      </c>
      <c r="I28" s="23" t="s">
        <v>6684</v>
      </c>
      <c r="J28" s="23" t="s">
        <v>385</v>
      </c>
      <c r="K28" s="32" t="s">
        <v>747</v>
      </c>
      <c r="L28" s="23" t="s">
        <v>490</v>
      </c>
      <c r="M28" s="25" t="s">
        <v>18</v>
      </c>
      <c r="N28" s="23" t="s">
        <v>40</v>
      </c>
      <c r="O28" s="23" t="s">
        <v>387</v>
      </c>
      <c r="P28" s="23" t="s">
        <v>40</v>
      </c>
      <c r="Q28" s="23" t="s">
        <v>40</v>
      </c>
      <c r="R28" s="23" t="s">
        <v>182</v>
      </c>
      <c r="S28" s="23" t="s">
        <v>1710</v>
      </c>
      <c r="T28" s="23" t="s">
        <v>40</v>
      </c>
    </row>
    <row r="29" spans="1:20" x14ac:dyDescent="0.25">
      <c r="A29" s="23" t="s">
        <v>6685</v>
      </c>
      <c r="B29" s="23" t="s">
        <v>181</v>
      </c>
      <c r="C29" s="23" t="s">
        <v>951</v>
      </c>
      <c r="D29" s="23" t="s">
        <v>6686</v>
      </c>
      <c r="E29" s="23" t="s">
        <v>6687</v>
      </c>
      <c r="F29" s="23" t="s">
        <v>40</v>
      </c>
      <c r="G29" s="23" t="s">
        <v>6688</v>
      </c>
      <c r="H29" s="23" t="s">
        <v>6689</v>
      </c>
      <c r="I29" s="23" t="s">
        <v>6690</v>
      </c>
      <c r="J29" s="23" t="s">
        <v>385</v>
      </c>
      <c r="K29" s="32" t="s">
        <v>747</v>
      </c>
      <c r="L29" s="23" t="s">
        <v>490</v>
      </c>
      <c r="M29" s="25" t="s">
        <v>18</v>
      </c>
      <c r="N29" s="23" t="s">
        <v>40</v>
      </c>
      <c r="O29" s="23" t="s">
        <v>387</v>
      </c>
      <c r="P29" s="23" t="s">
        <v>40</v>
      </c>
      <c r="Q29" s="23" t="s">
        <v>40</v>
      </c>
      <c r="R29" s="23" t="s">
        <v>182</v>
      </c>
      <c r="S29" s="23" t="s">
        <v>1710</v>
      </c>
      <c r="T29" s="23" t="s">
        <v>40</v>
      </c>
    </row>
    <row r="30" spans="1:20" x14ac:dyDescent="0.25">
      <c r="A30" s="23" t="s">
        <v>6691</v>
      </c>
      <c r="B30" s="23" t="s">
        <v>181</v>
      </c>
      <c r="C30" s="23" t="s">
        <v>6692</v>
      </c>
      <c r="D30" s="23" t="s">
        <v>6693</v>
      </c>
      <c r="E30" s="23" t="s">
        <v>6694</v>
      </c>
      <c r="F30" s="23" t="s">
        <v>40</v>
      </c>
      <c r="G30" s="23" t="s">
        <v>6695</v>
      </c>
      <c r="H30" s="23" t="s">
        <v>6696</v>
      </c>
      <c r="I30" s="23" t="s">
        <v>6697</v>
      </c>
      <c r="J30" s="23" t="s">
        <v>14</v>
      </c>
      <c r="K30" s="27" t="s">
        <v>404</v>
      </c>
      <c r="L30" s="23" t="s">
        <v>490</v>
      </c>
      <c r="M30" s="30" t="s">
        <v>19</v>
      </c>
      <c r="N30" s="23" t="s">
        <v>40</v>
      </c>
      <c r="O30" s="23" t="s">
        <v>387</v>
      </c>
      <c r="P30" s="23" t="s">
        <v>40</v>
      </c>
      <c r="Q30" s="23" t="s">
        <v>40</v>
      </c>
      <c r="R30" s="23" t="s">
        <v>182</v>
      </c>
      <c r="S30" s="23" t="s">
        <v>6698</v>
      </c>
      <c r="T30" s="23" t="s">
        <v>40</v>
      </c>
    </row>
    <row r="31" spans="1:20" x14ac:dyDescent="0.25">
      <c r="A31" s="23" t="s">
        <v>6699</v>
      </c>
      <c r="B31" s="23" t="s">
        <v>181</v>
      </c>
      <c r="C31" s="23" t="s">
        <v>6700</v>
      </c>
      <c r="D31" s="23" t="s">
        <v>6701</v>
      </c>
      <c r="E31" s="23" t="s">
        <v>6702</v>
      </c>
      <c r="F31" s="23" t="s">
        <v>40</v>
      </c>
      <c r="G31" s="23" t="s">
        <v>6703</v>
      </c>
      <c r="H31" s="23" t="s">
        <v>6704</v>
      </c>
      <c r="I31" s="23" t="s">
        <v>6705</v>
      </c>
      <c r="J31" s="23" t="s">
        <v>525</v>
      </c>
      <c r="K31" s="24" t="s">
        <v>386</v>
      </c>
      <c r="L31" s="23" t="s">
        <v>13</v>
      </c>
      <c r="M31" s="25" t="s">
        <v>18</v>
      </c>
      <c r="N31" s="23" t="s">
        <v>40</v>
      </c>
      <c r="O31" s="23" t="s">
        <v>387</v>
      </c>
      <c r="P31" s="23" t="s">
        <v>40</v>
      </c>
      <c r="Q31" s="23" t="s">
        <v>40</v>
      </c>
      <c r="R31" s="23" t="s">
        <v>182</v>
      </c>
      <c r="S31" s="23" t="s">
        <v>1710</v>
      </c>
      <c r="T31" s="23" t="s">
        <v>40</v>
      </c>
    </row>
    <row r="32" spans="1:20" x14ac:dyDescent="0.25">
      <c r="A32" s="23" t="s">
        <v>6706</v>
      </c>
      <c r="B32" s="23" t="s">
        <v>181</v>
      </c>
      <c r="C32" s="23" t="s">
        <v>6700</v>
      </c>
      <c r="D32" s="23" t="s">
        <v>6707</v>
      </c>
      <c r="E32" s="23" t="s">
        <v>2951</v>
      </c>
      <c r="F32" s="23" t="s">
        <v>40</v>
      </c>
      <c r="G32" s="23" t="s">
        <v>6708</v>
      </c>
      <c r="H32" s="23" t="s">
        <v>6709</v>
      </c>
      <c r="I32" s="23" t="s">
        <v>6710</v>
      </c>
      <c r="J32" s="23" t="s">
        <v>395</v>
      </c>
      <c r="K32" s="24" t="s">
        <v>386</v>
      </c>
      <c r="L32" s="23" t="s">
        <v>405</v>
      </c>
      <c r="M32" s="25" t="s">
        <v>18</v>
      </c>
      <c r="N32" s="23" t="s">
        <v>40</v>
      </c>
      <c r="O32" s="23" t="s">
        <v>387</v>
      </c>
      <c r="P32" s="23" t="s">
        <v>40</v>
      </c>
      <c r="Q32" s="23" t="s">
        <v>40</v>
      </c>
      <c r="R32" s="23" t="s">
        <v>182</v>
      </c>
      <c r="S32" s="23" t="s">
        <v>1710</v>
      </c>
      <c r="T32" s="23" t="s">
        <v>40</v>
      </c>
    </row>
    <row r="33" spans="1:20" x14ac:dyDescent="0.25">
      <c r="A33" s="23" t="s">
        <v>6711</v>
      </c>
      <c r="B33" s="23" t="s">
        <v>183</v>
      </c>
      <c r="C33" s="23" t="s">
        <v>944</v>
      </c>
      <c r="D33" s="23" t="s">
        <v>6712</v>
      </c>
      <c r="E33" s="23" t="s">
        <v>3835</v>
      </c>
      <c r="F33" s="23" t="s">
        <v>6713</v>
      </c>
      <c r="G33" s="23" t="s">
        <v>6714</v>
      </c>
      <c r="H33" s="23" t="s">
        <v>6715</v>
      </c>
      <c r="I33" s="23" t="s">
        <v>6716</v>
      </c>
      <c r="J33" s="23" t="s">
        <v>385</v>
      </c>
      <c r="K33" s="24" t="s">
        <v>386</v>
      </c>
      <c r="L33" s="23" t="s">
        <v>13</v>
      </c>
      <c r="M33" s="31" t="s">
        <v>17</v>
      </c>
      <c r="N33" s="23" t="s">
        <v>6717</v>
      </c>
      <c r="O33" s="29" t="s">
        <v>87</v>
      </c>
      <c r="P33" s="23" t="s">
        <v>40</v>
      </c>
      <c r="Q33" s="23" t="s">
        <v>40</v>
      </c>
      <c r="R33" s="23" t="s">
        <v>184</v>
      </c>
      <c r="S33" s="23" t="s">
        <v>40</v>
      </c>
      <c r="T33" s="23" t="s">
        <v>40</v>
      </c>
    </row>
    <row r="34" spans="1:20" x14ac:dyDescent="0.25">
      <c r="A34" s="23" t="s">
        <v>6718</v>
      </c>
      <c r="B34" s="23" t="s">
        <v>183</v>
      </c>
      <c r="C34" s="23" t="s">
        <v>6719</v>
      </c>
      <c r="D34" s="23" t="s">
        <v>6720</v>
      </c>
      <c r="E34" s="23" t="s">
        <v>6721</v>
      </c>
      <c r="F34" s="23" t="s">
        <v>6722</v>
      </c>
      <c r="G34" s="23" t="s">
        <v>6723</v>
      </c>
      <c r="H34" s="23" t="s">
        <v>6724</v>
      </c>
      <c r="I34" s="23" t="s">
        <v>6725</v>
      </c>
      <c r="J34" s="23" t="s">
        <v>14</v>
      </c>
      <c r="K34" s="26" t="s">
        <v>396</v>
      </c>
      <c r="L34" s="23" t="s">
        <v>13</v>
      </c>
      <c r="M34" s="25" t="s">
        <v>18</v>
      </c>
      <c r="N34" s="23" t="s">
        <v>40</v>
      </c>
      <c r="O34" s="23" t="s">
        <v>387</v>
      </c>
      <c r="P34" s="23" t="s">
        <v>40</v>
      </c>
      <c r="Q34" s="23" t="s">
        <v>40</v>
      </c>
      <c r="R34" s="23" t="s">
        <v>184</v>
      </c>
      <c r="S34" s="23" t="s">
        <v>1710</v>
      </c>
      <c r="T34" s="23" t="s">
        <v>40</v>
      </c>
    </row>
    <row r="35" spans="1:20" x14ac:dyDescent="0.25">
      <c r="A35" s="23" t="s">
        <v>6726</v>
      </c>
      <c r="B35" s="23" t="s">
        <v>183</v>
      </c>
      <c r="C35" s="23" t="s">
        <v>6719</v>
      </c>
      <c r="D35" s="23" t="s">
        <v>6727</v>
      </c>
      <c r="E35" s="23" t="s">
        <v>3835</v>
      </c>
      <c r="F35" s="23" t="s">
        <v>6728</v>
      </c>
      <c r="G35" s="23" t="s">
        <v>6729</v>
      </c>
      <c r="H35" s="23" t="s">
        <v>6730</v>
      </c>
      <c r="I35" s="23" t="s">
        <v>6731</v>
      </c>
      <c r="J35" s="23" t="s">
        <v>14</v>
      </c>
      <c r="K35" s="24" t="s">
        <v>386</v>
      </c>
      <c r="L35" s="23" t="s">
        <v>405</v>
      </c>
      <c r="M35" s="25" t="s">
        <v>18</v>
      </c>
      <c r="N35" s="23" t="s">
        <v>40</v>
      </c>
      <c r="O35" s="23" t="s">
        <v>387</v>
      </c>
      <c r="P35" s="23" t="s">
        <v>40</v>
      </c>
      <c r="Q35" s="23" t="s">
        <v>40</v>
      </c>
      <c r="R35" s="23" t="s">
        <v>184</v>
      </c>
      <c r="S35" s="23" t="s">
        <v>1710</v>
      </c>
      <c r="T35" s="23" t="s">
        <v>40</v>
      </c>
    </row>
    <row r="36" spans="1:20" x14ac:dyDescent="0.25">
      <c r="A36" s="23" t="s">
        <v>6732</v>
      </c>
      <c r="B36" s="23" t="s">
        <v>183</v>
      </c>
      <c r="C36" s="23" t="s">
        <v>6719</v>
      </c>
      <c r="D36" s="23" t="s">
        <v>6733</v>
      </c>
      <c r="E36" s="23" t="s">
        <v>3835</v>
      </c>
      <c r="F36" s="23" t="s">
        <v>6734</v>
      </c>
      <c r="G36" s="23" t="s">
        <v>6735</v>
      </c>
      <c r="H36" s="23" t="s">
        <v>6736</v>
      </c>
      <c r="I36" s="23" t="s">
        <v>6737</v>
      </c>
      <c r="J36" s="23" t="s">
        <v>14</v>
      </c>
      <c r="K36" s="24" t="s">
        <v>386</v>
      </c>
      <c r="L36" s="23" t="s">
        <v>405</v>
      </c>
      <c r="M36" s="25" t="s">
        <v>18</v>
      </c>
      <c r="N36" s="23" t="s">
        <v>40</v>
      </c>
      <c r="O36" s="23" t="s">
        <v>387</v>
      </c>
      <c r="P36" s="23" t="s">
        <v>40</v>
      </c>
      <c r="Q36" s="23" t="s">
        <v>40</v>
      </c>
      <c r="R36" s="23" t="s">
        <v>184</v>
      </c>
      <c r="S36" s="23" t="s">
        <v>1710</v>
      </c>
      <c r="T36" s="23" t="s">
        <v>40</v>
      </c>
    </row>
    <row r="37" spans="1:20" x14ac:dyDescent="0.25">
      <c r="A37" s="23" t="s">
        <v>6738</v>
      </c>
      <c r="B37" s="23" t="s">
        <v>183</v>
      </c>
      <c r="C37" s="23" t="s">
        <v>6719</v>
      </c>
      <c r="D37" s="23" t="s">
        <v>6739</v>
      </c>
      <c r="E37" s="23" t="s">
        <v>3835</v>
      </c>
      <c r="F37" s="23" t="s">
        <v>6668</v>
      </c>
      <c r="G37" s="23" t="s">
        <v>6740</v>
      </c>
      <c r="H37" s="23" t="s">
        <v>6741</v>
      </c>
      <c r="I37" s="23" t="s">
        <v>6742</v>
      </c>
      <c r="J37" s="23" t="s">
        <v>14</v>
      </c>
      <c r="K37" s="24" t="s">
        <v>386</v>
      </c>
      <c r="L37" s="23" t="s">
        <v>405</v>
      </c>
      <c r="M37" s="25" t="s">
        <v>18</v>
      </c>
      <c r="N37" s="23" t="s">
        <v>40</v>
      </c>
      <c r="O37" s="23" t="s">
        <v>387</v>
      </c>
      <c r="P37" s="23" t="s">
        <v>40</v>
      </c>
      <c r="Q37" s="23" t="s">
        <v>40</v>
      </c>
      <c r="R37" s="23" t="s">
        <v>184</v>
      </c>
      <c r="S37" s="23" t="s">
        <v>1710</v>
      </c>
      <c r="T37" s="23" t="s">
        <v>40</v>
      </c>
    </row>
    <row r="38" spans="1:20" x14ac:dyDescent="0.25">
      <c r="A38" s="23" t="s">
        <v>6743</v>
      </c>
      <c r="B38" s="23" t="s">
        <v>183</v>
      </c>
      <c r="C38" s="23" t="s">
        <v>6719</v>
      </c>
      <c r="D38" s="23" t="s">
        <v>6744</v>
      </c>
      <c r="E38" s="23" t="s">
        <v>6745</v>
      </c>
      <c r="F38" s="23" t="s">
        <v>6746</v>
      </c>
      <c r="G38" s="23" t="s">
        <v>6747</v>
      </c>
      <c r="H38" s="23" t="s">
        <v>6748</v>
      </c>
      <c r="I38" s="23" t="s">
        <v>6749</v>
      </c>
      <c r="J38" s="23" t="s">
        <v>14</v>
      </c>
      <c r="K38" s="24" t="s">
        <v>386</v>
      </c>
      <c r="L38" s="23" t="s">
        <v>405</v>
      </c>
      <c r="M38" s="25" t="s">
        <v>18</v>
      </c>
      <c r="N38" s="23" t="s">
        <v>40</v>
      </c>
      <c r="O38" s="23" t="s">
        <v>387</v>
      </c>
      <c r="P38" s="23" t="s">
        <v>40</v>
      </c>
      <c r="Q38" s="23" t="s">
        <v>40</v>
      </c>
      <c r="R38" s="23" t="s">
        <v>184</v>
      </c>
      <c r="S38" s="23" t="s">
        <v>6750</v>
      </c>
      <c r="T38" s="23" t="s">
        <v>40</v>
      </c>
    </row>
    <row r="39" spans="1:20" x14ac:dyDescent="0.25">
      <c r="A39" s="23" t="s">
        <v>6751</v>
      </c>
      <c r="B39" s="23" t="s">
        <v>183</v>
      </c>
      <c r="C39" s="23" t="s">
        <v>6719</v>
      </c>
      <c r="D39" s="23" t="s">
        <v>6752</v>
      </c>
      <c r="E39" s="23" t="s">
        <v>3835</v>
      </c>
      <c r="F39" s="23" t="s">
        <v>40</v>
      </c>
      <c r="G39" s="23" t="s">
        <v>6753</v>
      </c>
      <c r="H39" s="23" t="s">
        <v>6754</v>
      </c>
      <c r="I39" s="23" t="s">
        <v>6755</v>
      </c>
      <c r="J39" s="23" t="s">
        <v>14</v>
      </c>
      <c r="K39" s="27" t="s">
        <v>404</v>
      </c>
      <c r="L39" s="23" t="s">
        <v>490</v>
      </c>
      <c r="M39" s="25" t="s">
        <v>18</v>
      </c>
      <c r="N39" s="23" t="s">
        <v>40</v>
      </c>
      <c r="O39" s="23" t="s">
        <v>387</v>
      </c>
      <c r="P39" s="23" t="s">
        <v>40</v>
      </c>
      <c r="Q39" s="23" t="s">
        <v>40</v>
      </c>
      <c r="R39" s="23" t="s">
        <v>184</v>
      </c>
      <c r="S39" s="23" t="s">
        <v>1710</v>
      </c>
      <c r="T39" s="23" t="s">
        <v>40</v>
      </c>
    </row>
    <row r="40" spans="1:20" x14ac:dyDescent="0.25">
      <c r="A40" s="23" t="s">
        <v>6756</v>
      </c>
      <c r="B40" s="23" t="s">
        <v>183</v>
      </c>
      <c r="C40" s="23" t="s">
        <v>466</v>
      </c>
      <c r="D40" s="23" t="s">
        <v>6757</v>
      </c>
      <c r="E40" s="23" t="s">
        <v>3835</v>
      </c>
      <c r="F40" s="23" t="s">
        <v>40</v>
      </c>
      <c r="G40" s="23" t="s">
        <v>6758</v>
      </c>
      <c r="H40" s="23" t="s">
        <v>6759</v>
      </c>
      <c r="I40" s="23" t="s">
        <v>6760</v>
      </c>
      <c r="J40" s="23" t="s">
        <v>15</v>
      </c>
      <c r="K40" s="27" t="s">
        <v>404</v>
      </c>
      <c r="L40" s="23" t="s">
        <v>405</v>
      </c>
      <c r="M40" s="25" t="s">
        <v>18</v>
      </c>
      <c r="N40" s="23" t="s">
        <v>40</v>
      </c>
      <c r="O40" s="23" t="s">
        <v>387</v>
      </c>
      <c r="P40" s="23" t="s">
        <v>40</v>
      </c>
      <c r="Q40" s="23" t="s">
        <v>40</v>
      </c>
      <c r="R40" s="23" t="s">
        <v>184</v>
      </c>
      <c r="S40" s="23" t="s">
        <v>1710</v>
      </c>
      <c r="T40" s="23" t="s">
        <v>40</v>
      </c>
    </row>
    <row r="41" spans="1:20" x14ac:dyDescent="0.25">
      <c r="A41" s="23" t="s">
        <v>6761</v>
      </c>
      <c r="B41" s="23" t="s">
        <v>183</v>
      </c>
      <c r="C41" s="23" t="s">
        <v>466</v>
      </c>
      <c r="D41" s="23" t="s">
        <v>6762</v>
      </c>
      <c r="E41" s="23" t="s">
        <v>3835</v>
      </c>
      <c r="F41" s="23" t="s">
        <v>40</v>
      </c>
      <c r="G41" s="23" t="s">
        <v>6763</v>
      </c>
      <c r="H41" s="23" t="s">
        <v>6764</v>
      </c>
      <c r="I41" s="23" t="s">
        <v>6765</v>
      </c>
      <c r="J41" s="23" t="s">
        <v>466</v>
      </c>
      <c r="K41" s="27" t="s">
        <v>404</v>
      </c>
      <c r="L41" s="23" t="s">
        <v>405</v>
      </c>
      <c r="M41" s="25" t="s">
        <v>18</v>
      </c>
      <c r="N41" s="23" t="s">
        <v>40</v>
      </c>
      <c r="O41" s="23" t="s">
        <v>387</v>
      </c>
      <c r="P41" s="23" t="s">
        <v>40</v>
      </c>
      <c r="Q41" s="23" t="s">
        <v>40</v>
      </c>
      <c r="R41" s="23" t="s">
        <v>184</v>
      </c>
      <c r="S41" s="23" t="s">
        <v>1710</v>
      </c>
      <c r="T41" s="23" t="s">
        <v>40</v>
      </c>
    </row>
    <row r="42" spans="1:20" x14ac:dyDescent="0.25">
      <c r="A42" s="23" t="s">
        <v>6766</v>
      </c>
      <c r="B42" s="23" t="s">
        <v>183</v>
      </c>
      <c r="C42" s="23" t="s">
        <v>466</v>
      </c>
      <c r="D42" s="23" t="s">
        <v>6767</v>
      </c>
      <c r="E42" s="23" t="s">
        <v>6768</v>
      </c>
      <c r="F42" s="23" t="s">
        <v>40</v>
      </c>
      <c r="G42" s="23" t="s">
        <v>6769</v>
      </c>
      <c r="H42" s="23" t="s">
        <v>6770</v>
      </c>
      <c r="I42" s="23" t="s">
        <v>6771</v>
      </c>
      <c r="J42" s="23" t="s">
        <v>15</v>
      </c>
      <c r="K42" s="27" t="s">
        <v>404</v>
      </c>
      <c r="L42" s="23" t="s">
        <v>405</v>
      </c>
      <c r="M42" s="25" t="s">
        <v>18</v>
      </c>
      <c r="N42" s="23" t="s">
        <v>40</v>
      </c>
      <c r="O42" s="23" t="s">
        <v>387</v>
      </c>
      <c r="P42" s="23" t="s">
        <v>40</v>
      </c>
      <c r="Q42" s="23" t="s">
        <v>40</v>
      </c>
      <c r="R42" s="23" t="s">
        <v>184</v>
      </c>
      <c r="S42" s="23" t="s">
        <v>1710</v>
      </c>
      <c r="T42" s="23" t="s">
        <v>6672</v>
      </c>
    </row>
    <row r="43" spans="1:20" x14ac:dyDescent="0.25">
      <c r="A43" s="23" t="s">
        <v>6772</v>
      </c>
      <c r="B43" s="23" t="s">
        <v>183</v>
      </c>
      <c r="C43" s="23" t="s">
        <v>2428</v>
      </c>
      <c r="D43" s="23" t="s">
        <v>6773</v>
      </c>
      <c r="E43" s="23" t="s">
        <v>6774</v>
      </c>
      <c r="F43" s="23" t="s">
        <v>40</v>
      </c>
      <c r="G43" s="23" t="s">
        <v>6775</v>
      </c>
      <c r="H43" s="23" t="s">
        <v>6776</v>
      </c>
      <c r="I43" s="23" t="s">
        <v>6777</v>
      </c>
      <c r="J43" s="23" t="s">
        <v>14</v>
      </c>
      <c r="K43" s="26" t="s">
        <v>396</v>
      </c>
      <c r="L43" s="23" t="s">
        <v>13</v>
      </c>
      <c r="M43" s="25" t="s">
        <v>18</v>
      </c>
      <c r="N43" s="23" t="s">
        <v>40</v>
      </c>
      <c r="O43" s="23" t="s">
        <v>387</v>
      </c>
      <c r="P43" s="23" t="s">
        <v>40</v>
      </c>
      <c r="Q43" s="23" t="s">
        <v>40</v>
      </c>
      <c r="R43" s="23" t="s">
        <v>184</v>
      </c>
      <c r="S43" s="23" t="s">
        <v>1710</v>
      </c>
      <c r="T43" s="23" t="s">
        <v>6672</v>
      </c>
    </row>
    <row r="44" spans="1:20" x14ac:dyDescent="0.25">
      <c r="A44" s="23" t="s">
        <v>6778</v>
      </c>
      <c r="B44" s="23" t="s">
        <v>183</v>
      </c>
      <c r="C44" s="23" t="s">
        <v>2428</v>
      </c>
      <c r="D44" s="23" t="s">
        <v>6779</v>
      </c>
      <c r="E44" s="23" t="s">
        <v>6780</v>
      </c>
      <c r="F44" s="23" t="s">
        <v>40</v>
      </c>
      <c r="G44" s="23" t="s">
        <v>6781</v>
      </c>
      <c r="H44" s="23" t="s">
        <v>6782</v>
      </c>
      <c r="I44" s="23" t="s">
        <v>6783</v>
      </c>
      <c r="J44" s="23" t="s">
        <v>14</v>
      </c>
      <c r="K44" s="24" t="s">
        <v>386</v>
      </c>
      <c r="L44" s="23" t="s">
        <v>405</v>
      </c>
      <c r="M44" s="30" t="s">
        <v>19</v>
      </c>
      <c r="N44" s="23" t="s">
        <v>40</v>
      </c>
      <c r="O44" s="23" t="s">
        <v>387</v>
      </c>
      <c r="P44" s="23" t="s">
        <v>40</v>
      </c>
      <c r="Q44" s="23" t="s">
        <v>40</v>
      </c>
      <c r="R44" s="23" t="s">
        <v>184</v>
      </c>
      <c r="S44" s="23" t="s">
        <v>6698</v>
      </c>
      <c r="T44" s="23" t="s">
        <v>6784</v>
      </c>
    </row>
    <row r="45" spans="1:20" x14ac:dyDescent="0.25">
      <c r="A45" s="23" t="s">
        <v>6785</v>
      </c>
      <c r="B45" s="23" t="s">
        <v>183</v>
      </c>
      <c r="C45" s="23" t="s">
        <v>6786</v>
      </c>
      <c r="D45" s="23" t="s">
        <v>6787</v>
      </c>
      <c r="E45" s="23" t="s">
        <v>6788</v>
      </c>
      <c r="F45" s="23" t="s">
        <v>40</v>
      </c>
      <c r="G45" s="23" t="s">
        <v>6789</v>
      </c>
      <c r="H45" s="23" t="s">
        <v>6790</v>
      </c>
      <c r="I45" s="23" t="s">
        <v>6791</v>
      </c>
      <c r="J45" s="23" t="s">
        <v>14</v>
      </c>
      <c r="K45" s="24" t="s">
        <v>386</v>
      </c>
      <c r="L45" s="23" t="s">
        <v>405</v>
      </c>
      <c r="M45" s="25" t="s">
        <v>18</v>
      </c>
      <c r="N45" s="23" t="s">
        <v>40</v>
      </c>
      <c r="O45" s="23" t="s">
        <v>387</v>
      </c>
      <c r="P45" s="23" t="s">
        <v>40</v>
      </c>
      <c r="Q45" s="23" t="s">
        <v>40</v>
      </c>
      <c r="R45" s="23" t="s">
        <v>184</v>
      </c>
      <c r="S45" s="23" t="s">
        <v>1710</v>
      </c>
      <c r="T45" s="23" t="s">
        <v>40</v>
      </c>
    </row>
    <row r="46" spans="1:20" x14ac:dyDescent="0.25">
      <c r="A46" s="23" t="s">
        <v>6792</v>
      </c>
      <c r="B46" s="23" t="s">
        <v>183</v>
      </c>
      <c r="C46" s="23" t="s">
        <v>6292</v>
      </c>
      <c r="D46" s="23" t="s">
        <v>6793</v>
      </c>
      <c r="E46" s="23" t="s">
        <v>6794</v>
      </c>
      <c r="F46" s="23" t="s">
        <v>40</v>
      </c>
      <c r="G46" s="23" t="s">
        <v>6795</v>
      </c>
      <c r="H46" s="23" t="s">
        <v>6796</v>
      </c>
      <c r="I46" s="23" t="s">
        <v>6797</v>
      </c>
      <c r="J46" s="23" t="s">
        <v>14</v>
      </c>
      <c r="K46" s="27" t="s">
        <v>404</v>
      </c>
      <c r="L46" s="23" t="s">
        <v>490</v>
      </c>
      <c r="M46" s="25" t="s">
        <v>18</v>
      </c>
      <c r="N46" s="23" t="s">
        <v>40</v>
      </c>
      <c r="O46" s="23" t="s">
        <v>387</v>
      </c>
      <c r="P46" s="23" t="s">
        <v>40</v>
      </c>
      <c r="Q46" s="23" t="s">
        <v>40</v>
      </c>
      <c r="R46" s="23" t="s">
        <v>184</v>
      </c>
      <c r="S46" s="23" t="s">
        <v>1710</v>
      </c>
      <c r="T46" s="23" t="s">
        <v>40</v>
      </c>
    </row>
    <row r="47" spans="1:20" x14ac:dyDescent="0.25">
      <c r="A47" s="23" t="s">
        <v>6798</v>
      </c>
      <c r="B47" s="23" t="s">
        <v>183</v>
      </c>
      <c r="C47" s="23" t="s">
        <v>6292</v>
      </c>
      <c r="D47" s="23" t="s">
        <v>6799</v>
      </c>
      <c r="E47" s="23" t="s">
        <v>6794</v>
      </c>
      <c r="F47" s="23" t="s">
        <v>40</v>
      </c>
      <c r="G47" s="23" t="s">
        <v>6800</v>
      </c>
      <c r="H47" s="23" t="s">
        <v>6801</v>
      </c>
      <c r="I47" s="23" t="s">
        <v>6802</v>
      </c>
      <c r="J47" s="23" t="s">
        <v>14</v>
      </c>
      <c r="K47" s="27" t="s">
        <v>404</v>
      </c>
      <c r="L47" s="23" t="s">
        <v>490</v>
      </c>
      <c r="M47" s="25" t="s">
        <v>18</v>
      </c>
      <c r="N47" s="23" t="s">
        <v>40</v>
      </c>
      <c r="O47" s="23" t="s">
        <v>387</v>
      </c>
      <c r="P47" s="23" t="s">
        <v>40</v>
      </c>
      <c r="Q47" s="23" t="s">
        <v>40</v>
      </c>
      <c r="R47" s="23" t="s">
        <v>184</v>
      </c>
      <c r="S47" s="23" t="s">
        <v>1710</v>
      </c>
      <c r="T47" s="23" t="s">
        <v>40</v>
      </c>
    </row>
    <row r="48" spans="1:20" x14ac:dyDescent="0.25">
      <c r="A48" s="23" t="s">
        <v>6803</v>
      </c>
      <c r="B48" s="23" t="s">
        <v>183</v>
      </c>
      <c r="C48" s="23" t="s">
        <v>951</v>
      </c>
      <c r="D48" s="23" t="s">
        <v>6804</v>
      </c>
      <c r="E48" s="23" t="s">
        <v>3835</v>
      </c>
      <c r="F48" s="23" t="s">
        <v>6805</v>
      </c>
      <c r="G48" s="23" t="s">
        <v>6806</v>
      </c>
      <c r="H48" s="23" t="s">
        <v>6807</v>
      </c>
      <c r="I48" s="23" t="s">
        <v>6808</v>
      </c>
      <c r="J48" s="23" t="s">
        <v>385</v>
      </c>
      <c r="K48" s="32" t="s">
        <v>747</v>
      </c>
      <c r="L48" s="23" t="s">
        <v>490</v>
      </c>
      <c r="M48" s="25" t="s">
        <v>18</v>
      </c>
      <c r="N48" s="23" t="s">
        <v>40</v>
      </c>
      <c r="O48" s="23" t="s">
        <v>387</v>
      </c>
      <c r="P48" s="23" t="s">
        <v>40</v>
      </c>
      <c r="Q48" s="23" t="s">
        <v>40</v>
      </c>
      <c r="R48" s="23" t="s">
        <v>184</v>
      </c>
      <c r="S48" s="23" t="s">
        <v>1710</v>
      </c>
      <c r="T48" s="23" t="s">
        <v>40</v>
      </c>
    </row>
    <row r="49" spans="1:20" x14ac:dyDescent="0.25">
      <c r="A49" s="23" t="s">
        <v>6809</v>
      </c>
      <c r="B49" s="23" t="s">
        <v>183</v>
      </c>
      <c r="C49" s="23" t="s">
        <v>951</v>
      </c>
      <c r="D49" s="23" t="s">
        <v>5889</v>
      </c>
      <c r="E49" s="23" t="s">
        <v>3835</v>
      </c>
      <c r="F49" s="23" t="s">
        <v>40</v>
      </c>
      <c r="G49" s="23" t="s">
        <v>6810</v>
      </c>
      <c r="H49" s="23" t="s">
        <v>6811</v>
      </c>
      <c r="I49" s="23" t="s">
        <v>6812</v>
      </c>
      <c r="J49" s="23" t="s">
        <v>385</v>
      </c>
      <c r="K49" s="32" t="s">
        <v>747</v>
      </c>
      <c r="L49" s="23" t="s">
        <v>490</v>
      </c>
      <c r="M49" s="25" t="s">
        <v>18</v>
      </c>
      <c r="N49" s="23" t="s">
        <v>40</v>
      </c>
      <c r="O49" s="23" t="s">
        <v>387</v>
      </c>
      <c r="P49" s="23" t="s">
        <v>40</v>
      </c>
      <c r="Q49" s="23" t="s">
        <v>40</v>
      </c>
      <c r="R49" s="23" t="s">
        <v>184</v>
      </c>
      <c r="S49" s="23" t="s">
        <v>1710</v>
      </c>
      <c r="T49" s="23" t="s">
        <v>40</v>
      </c>
    </row>
    <row r="50" spans="1:20" x14ac:dyDescent="0.25">
      <c r="A50" s="23" t="s">
        <v>6813</v>
      </c>
      <c r="B50" s="23" t="s">
        <v>183</v>
      </c>
      <c r="C50" s="23" t="s">
        <v>801</v>
      </c>
      <c r="D50" s="23" t="s">
        <v>6814</v>
      </c>
      <c r="E50" s="23" t="s">
        <v>6815</v>
      </c>
      <c r="F50" s="23" t="s">
        <v>40</v>
      </c>
      <c r="G50" s="23" t="s">
        <v>6816</v>
      </c>
      <c r="H50" s="23" t="s">
        <v>6817</v>
      </c>
      <c r="I50" s="23" t="s">
        <v>6818</v>
      </c>
      <c r="J50" s="23" t="s">
        <v>801</v>
      </c>
      <c r="K50" s="24" t="s">
        <v>386</v>
      </c>
      <c r="L50" s="23" t="s">
        <v>405</v>
      </c>
      <c r="M50" s="25" t="s">
        <v>18</v>
      </c>
      <c r="N50" s="23" t="s">
        <v>40</v>
      </c>
      <c r="O50" s="23" t="s">
        <v>387</v>
      </c>
      <c r="P50" s="23" t="s">
        <v>40</v>
      </c>
      <c r="Q50" s="23" t="s">
        <v>40</v>
      </c>
      <c r="R50" s="23" t="s">
        <v>184</v>
      </c>
      <c r="S50" s="23" t="s">
        <v>1710</v>
      </c>
      <c r="T50" s="23" t="s">
        <v>40</v>
      </c>
    </row>
    <row r="51" spans="1:20" x14ac:dyDescent="0.25">
      <c r="A51" s="23" t="s">
        <v>6819</v>
      </c>
      <c r="B51" s="23" t="s">
        <v>183</v>
      </c>
      <c r="C51" s="23" t="s">
        <v>6700</v>
      </c>
      <c r="D51" s="23" t="s">
        <v>6820</v>
      </c>
      <c r="E51" s="23" t="s">
        <v>6821</v>
      </c>
      <c r="F51" s="23" t="s">
        <v>40</v>
      </c>
      <c r="G51" s="23" t="s">
        <v>6822</v>
      </c>
      <c r="H51" s="23" t="s">
        <v>6823</v>
      </c>
      <c r="I51" s="23" t="s">
        <v>6824</v>
      </c>
      <c r="J51" s="23" t="s">
        <v>525</v>
      </c>
      <c r="K51" s="24" t="s">
        <v>386</v>
      </c>
      <c r="L51" s="23" t="s">
        <v>405</v>
      </c>
      <c r="M51" s="25" t="s">
        <v>18</v>
      </c>
      <c r="N51" s="23" t="s">
        <v>40</v>
      </c>
      <c r="O51" s="23" t="s">
        <v>387</v>
      </c>
      <c r="P51" s="23" t="s">
        <v>40</v>
      </c>
      <c r="Q51" s="23" t="s">
        <v>40</v>
      </c>
      <c r="R51" s="23" t="s">
        <v>184</v>
      </c>
      <c r="S51" s="23" t="s">
        <v>1710</v>
      </c>
      <c r="T51" s="23" t="s">
        <v>40</v>
      </c>
    </row>
    <row r="52" spans="1:20" x14ac:dyDescent="0.25">
      <c r="A52" s="23" t="s">
        <v>6825</v>
      </c>
      <c r="B52" s="23" t="s">
        <v>185</v>
      </c>
      <c r="C52" s="23" t="s">
        <v>944</v>
      </c>
      <c r="D52" s="23" t="s">
        <v>6826</v>
      </c>
      <c r="E52" s="23" t="s">
        <v>3835</v>
      </c>
      <c r="F52" s="23" t="s">
        <v>6827</v>
      </c>
      <c r="G52" s="23" t="s">
        <v>6828</v>
      </c>
      <c r="H52" s="23" t="s">
        <v>6829</v>
      </c>
      <c r="I52" s="23" t="s">
        <v>6830</v>
      </c>
      <c r="J52" s="23" t="s">
        <v>385</v>
      </c>
      <c r="K52" s="24" t="s">
        <v>386</v>
      </c>
      <c r="L52" s="23" t="s">
        <v>13</v>
      </c>
      <c r="M52" s="31" t="s">
        <v>17</v>
      </c>
      <c r="N52" s="23" t="s">
        <v>6831</v>
      </c>
      <c r="O52" s="29" t="s">
        <v>87</v>
      </c>
      <c r="P52" s="23" t="s">
        <v>40</v>
      </c>
      <c r="Q52" s="23" t="s">
        <v>40</v>
      </c>
      <c r="R52" s="23" t="s">
        <v>186</v>
      </c>
      <c r="S52" s="23" t="s">
        <v>40</v>
      </c>
      <c r="T52" s="23" t="s">
        <v>40</v>
      </c>
    </row>
    <row r="53" spans="1:20" x14ac:dyDescent="0.25">
      <c r="A53" s="23" t="s">
        <v>6832</v>
      </c>
      <c r="B53" s="23" t="s">
        <v>185</v>
      </c>
      <c r="C53" s="23" t="s">
        <v>6833</v>
      </c>
      <c r="D53" s="23" t="s">
        <v>6834</v>
      </c>
      <c r="E53" s="23" t="s">
        <v>6835</v>
      </c>
      <c r="F53" s="23" t="s">
        <v>6836</v>
      </c>
      <c r="G53" s="23" t="s">
        <v>6837</v>
      </c>
      <c r="H53" s="23" t="s">
        <v>6838</v>
      </c>
      <c r="I53" s="23" t="s">
        <v>6839</v>
      </c>
      <c r="J53" s="23" t="s">
        <v>14</v>
      </c>
      <c r="K53" s="26" t="s">
        <v>396</v>
      </c>
      <c r="L53" s="23" t="s">
        <v>13</v>
      </c>
      <c r="M53" s="25" t="s">
        <v>18</v>
      </c>
      <c r="N53" s="23" t="s">
        <v>40</v>
      </c>
      <c r="O53" s="23" t="s">
        <v>387</v>
      </c>
      <c r="P53" s="23" t="s">
        <v>40</v>
      </c>
      <c r="Q53" s="23" t="s">
        <v>40</v>
      </c>
      <c r="R53" s="23" t="s">
        <v>186</v>
      </c>
      <c r="S53" s="23" t="s">
        <v>1710</v>
      </c>
      <c r="T53" s="23" t="s">
        <v>40</v>
      </c>
    </row>
    <row r="54" spans="1:20" x14ac:dyDescent="0.25">
      <c r="A54" s="23" t="s">
        <v>6840</v>
      </c>
      <c r="B54" s="23" t="s">
        <v>185</v>
      </c>
      <c r="C54" s="23" t="s">
        <v>6841</v>
      </c>
      <c r="D54" s="23" t="s">
        <v>6842</v>
      </c>
      <c r="E54" s="23" t="s">
        <v>6843</v>
      </c>
      <c r="F54" s="23" t="s">
        <v>40</v>
      </c>
      <c r="G54" s="23" t="s">
        <v>6844</v>
      </c>
      <c r="H54" s="23" t="s">
        <v>6845</v>
      </c>
      <c r="I54" s="23" t="s">
        <v>6846</v>
      </c>
      <c r="J54" s="23" t="s">
        <v>14</v>
      </c>
      <c r="K54" s="26" t="s">
        <v>396</v>
      </c>
      <c r="L54" s="23" t="s">
        <v>13</v>
      </c>
      <c r="M54" s="25" t="s">
        <v>18</v>
      </c>
      <c r="N54" s="23" t="s">
        <v>40</v>
      </c>
      <c r="O54" s="23" t="s">
        <v>387</v>
      </c>
      <c r="P54" s="23" t="s">
        <v>40</v>
      </c>
      <c r="Q54" s="23" t="s">
        <v>40</v>
      </c>
      <c r="R54" s="23" t="s">
        <v>186</v>
      </c>
      <c r="S54" s="23" t="s">
        <v>1710</v>
      </c>
      <c r="T54" s="23" t="s">
        <v>40</v>
      </c>
    </row>
    <row r="55" spans="1:20" x14ac:dyDescent="0.25">
      <c r="A55" s="23" t="s">
        <v>6847</v>
      </c>
      <c r="B55" s="23" t="s">
        <v>185</v>
      </c>
      <c r="C55" s="23" t="s">
        <v>6848</v>
      </c>
      <c r="D55" s="23" t="s">
        <v>6849</v>
      </c>
      <c r="E55" s="23" t="s">
        <v>6850</v>
      </c>
      <c r="F55" s="23" t="s">
        <v>40</v>
      </c>
      <c r="G55" s="23" t="s">
        <v>6851</v>
      </c>
      <c r="H55" s="23" t="s">
        <v>6852</v>
      </c>
      <c r="I55" s="23" t="s">
        <v>6853</v>
      </c>
      <c r="J55" s="23" t="s">
        <v>14</v>
      </c>
      <c r="K55" s="26" t="s">
        <v>396</v>
      </c>
      <c r="L55" s="23" t="s">
        <v>13</v>
      </c>
      <c r="M55" s="25" t="s">
        <v>18</v>
      </c>
      <c r="N55" s="23" t="s">
        <v>40</v>
      </c>
      <c r="O55" s="23" t="s">
        <v>387</v>
      </c>
      <c r="P55" s="23" t="s">
        <v>40</v>
      </c>
      <c r="Q55" s="23" t="s">
        <v>40</v>
      </c>
      <c r="R55" s="23" t="s">
        <v>186</v>
      </c>
      <c r="S55" s="23" t="s">
        <v>1710</v>
      </c>
      <c r="T55" s="23" t="s">
        <v>6854</v>
      </c>
    </row>
    <row r="56" spans="1:20" x14ac:dyDescent="0.25">
      <c r="A56" s="23" t="s">
        <v>6855</v>
      </c>
      <c r="B56" s="23" t="s">
        <v>185</v>
      </c>
      <c r="C56" s="23" t="s">
        <v>6856</v>
      </c>
      <c r="D56" s="23" t="s">
        <v>6857</v>
      </c>
      <c r="E56" s="23" t="s">
        <v>6858</v>
      </c>
      <c r="F56" s="23" t="s">
        <v>6859</v>
      </c>
      <c r="G56" s="23" t="s">
        <v>6860</v>
      </c>
      <c r="H56" s="23" t="s">
        <v>6861</v>
      </c>
      <c r="I56" s="23" t="s">
        <v>6862</v>
      </c>
      <c r="J56" s="23" t="s">
        <v>14</v>
      </c>
      <c r="K56" s="24" t="s">
        <v>386</v>
      </c>
      <c r="L56" s="23" t="s">
        <v>405</v>
      </c>
      <c r="M56" s="25" t="s">
        <v>18</v>
      </c>
      <c r="N56" s="23" t="s">
        <v>40</v>
      </c>
      <c r="O56" s="23" t="s">
        <v>387</v>
      </c>
      <c r="P56" s="23" t="s">
        <v>40</v>
      </c>
      <c r="Q56" s="23" t="s">
        <v>40</v>
      </c>
      <c r="R56" s="23" t="s">
        <v>186</v>
      </c>
      <c r="S56" s="23" t="s">
        <v>1710</v>
      </c>
      <c r="T56" s="23" t="s">
        <v>40</v>
      </c>
    </row>
    <row r="57" spans="1:20" x14ac:dyDescent="0.25">
      <c r="A57" s="23" t="s">
        <v>6863</v>
      </c>
      <c r="B57" s="23" t="s">
        <v>185</v>
      </c>
      <c r="C57" s="23" t="s">
        <v>6864</v>
      </c>
      <c r="D57" s="23" t="s">
        <v>6865</v>
      </c>
      <c r="E57" s="23" t="s">
        <v>6866</v>
      </c>
      <c r="F57" s="23" t="s">
        <v>40</v>
      </c>
      <c r="G57" s="23" t="s">
        <v>6867</v>
      </c>
      <c r="H57" s="23" t="s">
        <v>6868</v>
      </c>
      <c r="I57" s="23" t="s">
        <v>6869</v>
      </c>
      <c r="J57" s="23" t="s">
        <v>801</v>
      </c>
      <c r="K57" s="26" t="s">
        <v>396</v>
      </c>
      <c r="L57" s="23" t="s">
        <v>13</v>
      </c>
      <c r="M57" s="25" t="s">
        <v>18</v>
      </c>
      <c r="N57" s="23" t="s">
        <v>40</v>
      </c>
      <c r="O57" s="23" t="s">
        <v>387</v>
      </c>
      <c r="P57" s="23" t="s">
        <v>40</v>
      </c>
      <c r="Q57" s="23" t="s">
        <v>40</v>
      </c>
      <c r="R57" s="23" t="s">
        <v>186</v>
      </c>
      <c r="S57" s="23" t="s">
        <v>1710</v>
      </c>
      <c r="T57" s="23" t="s">
        <v>40</v>
      </c>
    </row>
    <row r="58" spans="1:20" x14ac:dyDescent="0.25">
      <c r="A58" s="23" t="s">
        <v>6870</v>
      </c>
      <c r="B58" s="23" t="s">
        <v>185</v>
      </c>
      <c r="C58" s="23" t="s">
        <v>6864</v>
      </c>
      <c r="D58" s="23" t="s">
        <v>6871</v>
      </c>
      <c r="E58" s="23" t="s">
        <v>6872</v>
      </c>
      <c r="F58" s="23" t="s">
        <v>40</v>
      </c>
      <c r="G58" s="23" t="s">
        <v>6873</v>
      </c>
      <c r="H58" s="23" t="s">
        <v>6874</v>
      </c>
      <c r="I58" s="23" t="s">
        <v>6875</v>
      </c>
      <c r="J58" s="23" t="s">
        <v>525</v>
      </c>
      <c r="K58" s="24" t="s">
        <v>386</v>
      </c>
      <c r="L58" s="23" t="s">
        <v>13</v>
      </c>
      <c r="M58" s="25" t="s">
        <v>18</v>
      </c>
      <c r="N58" s="23" t="s">
        <v>40</v>
      </c>
      <c r="O58" s="23" t="s">
        <v>387</v>
      </c>
      <c r="P58" s="23" t="s">
        <v>40</v>
      </c>
      <c r="Q58" s="23" t="s">
        <v>40</v>
      </c>
      <c r="R58" s="23" t="s">
        <v>186</v>
      </c>
      <c r="S58" s="23" t="s">
        <v>1710</v>
      </c>
      <c r="T58" s="23" t="s">
        <v>40</v>
      </c>
    </row>
    <row r="59" spans="1:20" x14ac:dyDescent="0.25">
      <c r="A59" s="23" t="s">
        <v>6876</v>
      </c>
      <c r="B59" s="23" t="s">
        <v>185</v>
      </c>
      <c r="C59" s="23" t="s">
        <v>466</v>
      </c>
      <c r="D59" s="23" t="s">
        <v>6877</v>
      </c>
      <c r="E59" s="23" t="s">
        <v>6878</v>
      </c>
      <c r="F59" s="23" t="s">
        <v>40</v>
      </c>
      <c r="G59" s="23" t="s">
        <v>6879</v>
      </c>
      <c r="H59" s="23" t="s">
        <v>6880</v>
      </c>
      <c r="I59" s="23" t="s">
        <v>6881</v>
      </c>
      <c r="J59" s="23" t="s">
        <v>15</v>
      </c>
      <c r="K59" s="24" t="s">
        <v>386</v>
      </c>
      <c r="L59" s="23" t="s">
        <v>13</v>
      </c>
      <c r="M59" s="25" t="s">
        <v>18</v>
      </c>
      <c r="N59" s="23" t="s">
        <v>40</v>
      </c>
      <c r="O59" s="23" t="s">
        <v>387</v>
      </c>
      <c r="P59" s="23" t="s">
        <v>40</v>
      </c>
      <c r="Q59" s="23" t="s">
        <v>40</v>
      </c>
      <c r="R59" s="23" t="s">
        <v>186</v>
      </c>
      <c r="S59" s="23" t="s">
        <v>1710</v>
      </c>
      <c r="T59" s="23" t="s">
        <v>6854</v>
      </c>
    </row>
    <row r="60" spans="1:20" x14ac:dyDescent="0.25">
      <c r="A60" s="23" t="s">
        <v>6882</v>
      </c>
      <c r="B60" s="23" t="s">
        <v>185</v>
      </c>
      <c r="C60" s="23" t="s">
        <v>466</v>
      </c>
      <c r="D60" s="23" t="s">
        <v>6883</v>
      </c>
      <c r="E60" s="23" t="s">
        <v>3835</v>
      </c>
      <c r="F60" s="23" t="s">
        <v>6884</v>
      </c>
      <c r="G60" s="23" t="s">
        <v>6885</v>
      </c>
      <c r="H60" s="23" t="s">
        <v>6886</v>
      </c>
      <c r="I60" s="23" t="s">
        <v>6887</v>
      </c>
      <c r="J60" s="23" t="s">
        <v>15</v>
      </c>
      <c r="K60" s="27" t="s">
        <v>404</v>
      </c>
      <c r="L60" s="23" t="s">
        <v>405</v>
      </c>
      <c r="M60" s="25" t="s">
        <v>18</v>
      </c>
      <c r="N60" s="23" t="s">
        <v>40</v>
      </c>
      <c r="O60" s="23" t="s">
        <v>387</v>
      </c>
      <c r="P60" s="23" t="s">
        <v>40</v>
      </c>
      <c r="Q60" s="23" t="s">
        <v>40</v>
      </c>
      <c r="R60" s="23" t="s">
        <v>186</v>
      </c>
      <c r="S60" s="23" t="s">
        <v>1710</v>
      </c>
      <c r="T60" s="23" t="s">
        <v>40</v>
      </c>
    </row>
    <row r="61" spans="1:20" x14ac:dyDescent="0.25">
      <c r="A61" s="23" t="s">
        <v>6888</v>
      </c>
      <c r="B61" s="23" t="s">
        <v>185</v>
      </c>
      <c r="C61" s="23" t="s">
        <v>466</v>
      </c>
      <c r="D61" s="23" t="s">
        <v>6889</v>
      </c>
      <c r="E61" s="23" t="s">
        <v>3835</v>
      </c>
      <c r="F61" s="23" t="s">
        <v>40</v>
      </c>
      <c r="G61" s="23" t="s">
        <v>6890</v>
      </c>
      <c r="H61" s="23" t="s">
        <v>6891</v>
      </c>
      <c r="I61" s="23" t="s">
        <v>6623</v>
      </c>
      <c r="J61" s="23" t="s">
        <v>15</v>
      </c>
      <c r="K61" s="27" t="s">
        <v>404</v>
      </c>
      <c r="L61" s="23" t="s">
        <v>405</v>
      </c>
      <c r="M61" s="25" t="s">
        <v>18</v>
      </c>
      <c r="N61" s="23" t="s">
        <v>40</v>
      </c>
      <c r="O61" s="23" t="s">
        <v>387</v>
      </c>
      <c r="P61" s="23" t="s">
        <v>40</v>
      </c>
      <c r="Q61" s="23" t="s">
        <v>40</v>
      </c>
      <c r="R61" s="23" t="s">
        <v>186</v>
      </c>
      <c r="S61" s="23" t="s">
        <v>1710</v>
      </c>
      <c r="T61" s="23" t="s">
        <v>40</v>
      </c>
    </row>
    <row r="62" spans="1:20" x14ac:dyDescent="0.25">
      <c r="A62" s="23" t="s">
        <v>6892</v>
      </c>
      <c r="B62" s="23" t="s">
        <v>185</v>
      </c>
      <c r="C62" s="23" t="s">
        <v>466</v>
      </c>
      <c r="D62" s="23" t="s">
        <v>6893</v>
      </c>
      <c r="E62" s="23" t="s">
        <v>6894</v>
      </c>
      <c r="F62" s="23" t="s">
        <v>40</v>
      </c>
      <c r="G62" s="23" t="s">
        <v>6895</v>
      </c>
      <c r="H62" s="23" t="s">
        <v>6896</v>
      </c>
      <c r="I62" s="23" t="s">
        <v>6897</v>
      </c>
      <c r="J62" s="23" t="s">
        <v>466</v>
      </c>
      <c r="K62" s="27" t="s">
        <v>404</v>
      </c>
      <c r="L62" s="23" t="s">
        <v>405</v>
      </c>
      <c r="M62" s="25" t="s">
        <v>18</v>
      </c>
      <c r="N62" s="23" t="s">
        <v>40</v>
      </c>
      <c r="O62" s="23" t="s">
        <v>387</v>
      </c>
      <c r="P62" s="23" t="s">
        <v>40</v>
      </c>
      <c r="Q62" s="23" t="s">
        <v>40</v>
      </c>
      <c r="R62" s="23" t="s">
        <v>186</v>
      </c>
      <c r="S62" s="23" t="s">
        <v>1710</v>
      </c>
      <c r="T62" s="23" t="s">
        <v>40</v>
      </c>
    </row>
    <row r="63" spans="1:20" x14ac:dyDescent="0.25">
      <c r="A63" s="23" t="s">
        <v>6898</v>
      </c>
      <c r="B63" s="23" t="s">
        <v>185</v>
      </c>
      <c r="C63" s="23" t="s">
        <v>466</v>
      </c>
      <c r="D63" s="23" t="s">
        <v>6899</v>
      </c>
      <c r="E63" s="23" t="s">
        <v>6900</v>
      </c>
      <c r="F63" s="23" t="s">
        <v>40</v>
      </c>
      <c r="G63" s="23" t="s">
        <v>6901</v>
      </c>
      <c r="H63" s="23" t="s">
        <v>6902</v>
      </c>
      <c r="I63" s="23" t="s">
        <v>6903</v>
      </c>
      <c r="J63" s="23" t="s">
        <v>489</v>
      </c>
      <c r="K63" s="27" t="s">
        <v>404</v>
      </c>
      <c r="L63" s="23" t="s">
        <v>405</v>
      </c>
      <c r="M63" s="25" t="s">
        <v>18</v>
      </c>
      <c r="N63" s="23" t="s">
        <v>40</v>
      </c>
      <c r="O63" s="23" t="s">
        <v>387</v>
      </c>
      <c r="P63" s="23" t="s">
        <v>40</v>
      </c>
      <c r="Q63" s="23" t="s">
        <v>40</v>
      </c>
      <c r="R63" s="23" t="s">
        <v>186</v>
      </c>
      <c r="S63" s="23" t="s">
        <v>1710</v>
      </c>
      <c r="T63" s="23" t="s">
        <v>40</v>
      </c>
    </row>
    <row r="64" spans="1:20" x14ac:dyDescent="0.25">
      <c r="A64" s="23" t="s">
        <v>6904</v>
      </c>
      <c r="B64" s="23" t="s">
        <v>185</v>
      </c>
      <c r="C64" s="23" t="s">
        <v>466</v>
      </c>
      <c r="D64" s="23" t="s">
        <v>6905</v>
      </c>
      <c r="E64" s="23" t="s">
        <v>6906</v>
      </c>
      <c r="F64" s="23" t="s">
        <v>40</v>
      </c>
      <c r="G64" s="23" t="s">
        <v>6907</v>
      </c>
      <c r="H64" s="23" t="s">
        <v>6908</v>
      </c>
      <c r="I64" s="23" t="s">
        <v>6909</v>
      </c>
      <c r="J64" s="23" t="s">
        <v>489</v>
      </c>
      <c r="K64" s="27" t="s">
        <v>404</v>
      </c>
      <c r="L64" s="23" t="s">
        <v>405</v>
      </c>
      <c r="M64" s="25" t="s">
        <v>18</v>
      </c>
      <c r="N64" s="23" t="s">
        <v>40</v>
      </c>
      <c r="O64" s="23" t="s">
        <v>387</v>
      </c>
      <c r="P64" s="23" t="s">
        <v>40</v>
      </c>
      <c r="Q64" s="23" t="s">
        <v>40</v>
      </c>
      <c r="R64" s="23" t="s">
        <v>186</v>
      </c>
      <c r="S64" s="23" t="s">
        <v>1710</v>
      </c>
      <c r="T64" s="23" t="s">
        <v>40</v>
      </c>
    </row>
    <row r="65" spans="1:20" x14ac:dyDescent="0.25">
      <c r="A65" s="23" t="s">
        <v>6910</v>
      </c>
      <c r="B65" s="23" t="s">
        <v>185</v>
      </c>
      <c r="C65" s="23" t="s">
        <v>466</v>
      </c>
      <c r="D65" s="23" t="s">
        <v>6911</v>
      </c>
      <c r="E65" s="23" t="s">
        <v>6912</v>
      </c>
      <c r="F65" s="23" t="s">
        <v>40</v>
      </c>
      <c r="G65" s="23" t="s">
        <v>6913</v>
      </c>
      <c r="H65" s="23" t="s">
        <v>6914</v>
      </c>
      <c r="I65" s="23" t="s">
        <v>6915</v>
      </c>
      <c r="J65" s="23" t="s">
        <v>15</v>
      </c>
      <c r="K65" s="27" t="s">
        <v>404</v>
      </c>
      <c r="L65" s="23" t="s">
        <v>490</v>
      </c>
      <c r="M65" s="25" t="s">
        <v>18</v>
      </c>
      <c r="N65" s="23" t="s">
        <v>40</v>
      </c>
      <c r="O65" s="23" t="s">
        <v>387</v>
      </c>
      <c r="P65" s="23" t="s">
        <v>40</v>
      </c>
      <c r="Q65" s="23" t="s">
        <v>40</v>
      </c>
      <c r="R65" s="23" t="s">
        <v>186</v>
      </c>
      <c r="S65" s="23" t="s">
        <v>1710</v>
      </c>
      <c r="T65" s="23" t="s">
        <v>40</v>
      </c>
    </row>
    <row r="66" spans="1:20" x14ac:dyDescent="0.25">
      <c r="A66" s="23" t="s">
        <v>6916</v>
      </c>
      <c r="B66" s="23" t="s">
        <v>185</v>
      </c>
      <c r="C66" s="23" t="s">
        <v>783</v>
      </c>
      <c r="D66" s="23" t="s">
        <v>6917</v>
      </c>
      <c r="E66" s="23" t="s">
        <v>6918</v>
      </c>
      <c r="F66" s="23" t="s">
        <v>40</v>
      </c>
      <c r="G66" s="23" t="s">
        <v>6919</v>
      </c>
      <c r="H66" s="23" t="s">
        <v>6920</v>
      </c>
      <c r="I66" s="23" t="s">
        <v>6921</v>
      </c>
      <c r="J66" s="23" t="s">
        <v>801</v>
      </c>
      <c r="K66" s="27" t="s">
        <v>404</v>
      </c>
      <c r="L66" s="23" t="s">
        <v>490</v>
      </c>
      <c r="M66" s="25" t="s">
        <v>18</v>
      </c>
      <c r="N66" s="23" t="s">
        <v>40</v>
      </c>
      <c r="O66" s="23" t="s">
        <v>387</v>
      </c>
      <c r="P66" s="23" t="s">
        <v>40</v>
      </c>
      <c r="Q66" s="23" t="s">
        <v>40</v>
      </c>
      <c r="R66" s="23" t="s">
        <v>186</v>
      </c>
      <c r="S66" s="23" t="s">
        <v>1710</v>
      </c>
      <c r="T66" s="23" t="s">
        <v>40</v>
      </c>
    </row>
    <row r="67" spans="1:20" x14ac:dyDescent="0.25">
      <c r="A67" s="23" t="s">
        <v>6922</v>
      </c>
      <c r="B67" s="23" t="s">
        <v>185</v>
      </c>
      <c r="C67" s="23" t="s">
        <v>951</v>
      </c>
      <c r="D67" s="23" t="s">
        <v>6923</v>
      </c>
      <c r="E67" s="23" t="s">
        <v>3835</v>
      </c>
      <c r="F67" s="23" t="s">
        <v>40</v>
      </c>
      <c r="G67" s="23" t="s">
        <v>6924</v>
      </c>
      <c r="H67" s="23" t="s">
        <v>6925</v>
      </c>
      <c r="I67" s="23" t="s">
        <v>6926</v>
      </c>
      <c r="J67" s="23" t="s">
        <v>385</v>
      </c>
      <c r="K67" s="32" t="s">
        <v>747</v>
      </c>
      <c r="L67" s="23" t="s">
        <v>490</v>
      </c>
      <c r="M67" s="25" t="s">
        <v>18</v>
      </c>
      <c r="N67" s="23" t="s">
        <v>40</v>
      </c>
      <c r="O67" s="23" t="s">
        <v>387</v>
      </c>
      <c r="P67" s="23" t="s">
        <v>40</v>
      </c>
      <c r="Q67" s="23" t="s">
        <v>40</v>
      </c>
      <c r="R67" s="23" t="s">
        <v>186</v>
      </c>
      <c r="S67" s="23" t="s">
        <v>1710</v>
      </c>
      <c r="T67" s="23" t="s">
        <v>40</v>
      </c>
    </row>
    <row r="68" spans="1:20" x14ac:dyDescent="0.25">
      <c r="A68" s="23" t="s">
        <v>6927</v>
      </c>
      <c r="B68" s="23" t="s">
        <v>185</v>
      </c>
      <c r="C68" s="23" t="s">
        <v>951</v>
      </c>
      <c r="D68" s="23" t="s">
        <v>6928</v>
      </c>
      <c r="E68" s="23" t="s">
        <v>3835</v>
      </c>
      <c r="F68" s="23" t="s">
        <v>40</v>
      </c>
      <c r="G68" s="23" t="s">
        <v>6929</v>
      </c>
      <c r="H68" s="23" t="s">
        <v>6930</v>
      </c>
      <c r="I68" s="23" t="s">
        <v>6931</v>
      </c>
      <c r="J68" s="23" t="s">
        <v>385</v>
      </c>
      <c r="K68" s="32" t="s">
        <v>747</v>
      </c>
      <c r="L68" s="23" t="s">
        <v>490</v>
      </c>
      <c r="M68" s="25" t="s">
        <v>18</v>
      </c>
      <c r="N68" s="23" t="s">
        <v>40</v>
      </c>
      <c r="O68" s="23" t="s">
        <v>387</v>
      </c>
      <c r="P68" s="23" t="s">
        <v>40</v>
      </c>
      <c r="Q68" s="23" t="s">
        <v>40</v>
      </c>
      <c r="R68" s="23" t="s">
        <v>186</v>
      </c>
      <c r="S68" s="23" t="s">
        <v>1710</v>
      </c>
      <c r="T68" s="23" t="s">
        <v>40</v>
      </c>
    </row>
    <row r="69" spans="1:20" x14ac:dyDescent="0.25">
      <c r="A69" s="23" t="s">
        <v>6932</v>
      </c>
      <c r="B69" s="23" t="s">
        <v>185</v>
      </c>
      <c r="C69" s="23" t="s">
        <v>6700</v>
      </c>
      <c r="D69" s="23" t="s">
        <v>6933</v>
      </c>
      <c r="E69" s="23" t="s">
        <v>6821</v>
      </c>
      <c r="F69" s="23" t="s">
        <v>40</v>
      </c>
      <c r="G69" s="23" t="s">
        <v>6934</v>
      </c>
      <c r="H69" s="23" t="s">
        <v>6935</v>
      </c>
      <c r="I69" s="23" t="s">
        <v>6936</v>
      </c>
      <c r="J69" s="23" t="s">
        <v>525</v>
      </c>
      <c r="K69" s="24" t="s">
        <v>386</v>
      </c>
      <c r="L69" s="23" t="s">
        <v>405</v>
      </c>
      <c r="M69" s="25" t="s">
        <v>18</v>
      </c>
      <c r="N69" s="23" t="s">
        <v>40</v>
      </c>
      <c r="O69" s="23" t="s">
        <v>387</v>
      </c>
      <c r="P69" s="23" t="s">
        <v>40</v>
      </c>
      <c r="Q69" s="23" t="s">
        <v>40</v>
      </c>
      <c r="R69" s="23" t="s">
        <v>186</v>
      </c>
      <c r="S69" s="23" t="s">
        <v>1710</v>
      </c>
      <c r="T69" s="23" t="s">
        <v>40</v>
      </c>
    </row>
    <row r="70" spans="1:20" x14ac:dyDescent="0.25">
      <c r="A70" s="23" t="s">
        <v>6937</v>
      </c>
      <c r="B70" s="23" t="s">
        <v>187</v>
      </c>
      <c r="C70" s="23" t="s">
        <v>944</v>
      </c>
      <c r="D70" s="23" t="s">
        <v>6938</v>
      </c>
      <c r="E70" s="23" t="s">
        <v>3835</v>
      </c>
      <c r="F70" s="23" t="s">
        <v>6939</v>
      </c>
      <c r="G70" s="23" t="s">
        <v>6940</v>
      </c>
      <c r="H70" s="23" t="s">
        <v>6941</v>
      </c>
      <c r="I70" s="23" t="s">
        <v>6942</v>
      </c>
      <c r="J70" s="23" t="s">
        <v>385</v>
      </c>
      <c r="K70" s="24" t="s">
        <v>386</v>
      </c>
      <c r="L70" s="23" t="s">
        <v>13</v>
      </c>
      <c r="M70" s="31" t="s">
        <v>17</v>
      </c>
      <c r="N70" s="23" t="s">
        <v>6943</v>
      </c>
      <c r="O70" s="29" t="s">
        <v>87</v>
      </c>
      <c r="P70" s="23" t="s">
        <v>40</v>
      </c>
      <c r="Q70" s="23" t="s">
        <v>40</v>
      </c>
      <c r="R70" s="23" t="s">
        <v>188</v>
      </c>
      <c r="S70" s="23" t="s">
        <v>40</v>
      </c>
      <c r="T70" s="23" t="s">
        <v>40</v>
      </c>
    </row>
    <row r="71" spans="1:20" x14ac:dyDescent="0.25">
      <c r="A71" s="23" t="s">
        <v>6944</v>
      </c>
      <c r="B71" s="23" t="s">
        <v>187</v>
      </c>
      <c r="C71" s="23" t="s">
        <v>6945</v>
      </c>
      <c r="D71" s="23" t="s">
        <v>6946</v>
      </c>
      <c r="E71" s="23" t="s">
        <v>3835</v>
      </c>
      <c r="F71" s="23" t="s">
        <v>6947</v>
      </c>
      <c r="G71" s="23" t="s">
        <v>6948</v>
      </c>
      <c r="H71" s="23" t="s">
        <v>6949</v>
      </c>
      <c r="I71" s="23" t="s">
        <v>6950</v>
      </c>
      <c r="J71" s="23" t="s">
        <v>14</v>
      </c>
      <c r="K71" s="24" t="s">
        <v>386</v>
      </c>
      <c r="L71" s="23" t="s">
        <v>405</v>
      </c>
      <c r="M71" s="25" t="s">
        <v>18</v>
      </c>
      <c r="N71" s="23" t="s">
        <v>40</v>
      </c>
      <c r="O71" s="23" t="s">
        <v>387</v>
      </c>
      <c r="P71" s="23" t="s">
        <v>40</v>
      </c>
      <c r="Q71" s="23" t="s">
        <v>40</v>
      </c>
      <c r="R71" s="23" t="s">
        <v>188</v>
      </c>
      <c r="S71" s="23" t="s">
        <v>1710</v>
      </c>
      <c r="T71" s="23" t="s">
        <v>40</v>
      </c>
    </row>
    <row r="72" spans="1:20" x14ac:dyDescent="0.25">
      <c r="A72" s="23" t="s">
        <v>6951</v>
      </c>
      <c r="B72" s="23" t="s">
        <v>187</v>
      </c>
      <c r="C72" s="23" t="s">
        <v>6945</v>
      </c>
      <c r="D72" s="23" t="s">
        <v>6952</v>
      </c>
      <c r="E72" s="23" t="s">
        <v>6953</v>
      </c>
      <c r="F72" s="23" t="s">
        <v>6954</v>
      </c>
      <c r="G72" s="23" t="s">
        <v>6955</v>
      </c>
      <c r="H72" s="23" t="s">
        <v>6956</v>
      </c>
      <c r="I72" s="23" t="s">
        <v>6957</v>
      </c>
      <c r="J72" s="23" t="s">
        <v>14</v>
      </c>
      <c r="K72" s="24" t="s">
        <v>386</v>
      </c>
      <c r="L72" s="23" t="s">
        <v>405</v>
      </c>
      <c r="M72" s="25" t="s">
        <v>18</v>
      </c>
      <c r="N72" s="23" t="s">
        <v>40</v>
      </c>
      <c r="O72" s="23" t="s">
        <v>387</v>
      </c>
      <c r="P72" s="23" t="s">
        <v>40</v>
      </c>
      <c r="Q72" s="23" t="s">
        <v>40</v>
      </c>
      <c r="R72" s="23" t="s">
        <v>188</v>
      </c>
      <c r="S72" s="23" t="s">
        <v>1710</v>
      </c>
      <c r="T72" s="23" t="s">
        <v>40</v>
      </c>
    </row>
    <row r="73" spans="1:20" x14ac:dyDescent="0.25">
      <c r="A73" s="23" t="s">
        <v>6958</v>
      </c>
      <c r="B73" s="23" t="s">
        <v>187</v>
      </c>
      <c r="C73" s="23" t="s">
        <v>6959</v>
      </c>
      <c r="D73" s="23" t="s">
        <v>6960</v>
      </c>
      <c r="E73" s="23" t="s">
        <v>6961</v>
      </c>
      <c r="F73" s="23" t="s">
        <v>40</v>
      </c>
      <c r="G73" s="23" t="s">
        <v>6962</v>
      </c>
      <c r="H73" s="23" t="s">
        <v>6963</v>
      </c>
      <c r="I73" s="23" t="s">
        <v>6964</v>
      </c>
      <c r="J73" s="23" t="s">
        <v>14</v>
      </c>
      <c r="K73" s="26" t="s">
        <v>396</v>
      </c>
      <c r="L73" s="23" t="s">
        <v>13</v>
      </c>
      <c r="M73" s="30" t="s">
        <v>19</v>
      </c>
      <c r="N73" s="23" t="s">
        <v>40</v>
      </c>
      <c r="O73" s="23" t="s">
        <v>387</v>
      </c>
      <c r="P73" s="23" t="s">
        <v>40</v>
      </c>
      <c r="Q73" s="23" t="s">
        <v>40</v>
      </c>
      <c r="R73" s="23" t="s">
        <v>188</v>
      </c>
      <c r="S73" s="23" t="s">
        <v>6698</v>
      </c>
      <c r="T73" s="23" t="s">
        <v>40</v>
      </c>
    </row>
    <row r="74" spans="1:20" x14ac:dyDescent="0.25">
      <c r="A74" s="23" t="s">
        <v>6965</v>
      </c>
      <c r="B74" s="23" t="s">
        <v>187</v>
      </c>
      <c r="C74" s="23" t="s">
        <v>6959</v>
      </c>
      <c r="D74" s="23" t="s">
        <v>6966</v>
      </c>
      <c r="E74" s="23" t="s">
        <v>6967</v>
      </c>
      <c r="F74" s="23" t="s">
        <v>40</v>
      </c>
      <c r="G74" s="23" t="s">
        <v>6968</v>
      </c>
      <c r="H74" s="23" t="s">
        <v>6969</v>
      </c>
      <c r="I74" s="23" t="s">
        <v>6970</v>
      </c>
      <c r="J74" s="23" t="s">
        <v>14</v>
      </c>
      <c r="K74" s="24" t="s">
        <v>386</v>
      </c>
      <c r="L74" s="23" t="s">
        <v>405</v>
      </c>
      <c r="M74" s="25" t="s">
        <v>18</v>
      </c>
      <c r="N74" s="23" t="s">
        <v>40</v>
      </c>
      <c r="O74" s="23" t="s">
        <v>387</v>
      </c>
      <c r="P74" s="23" t="s">
        <v>40</v>
      </c>
      <c r="Q74" s="23" t="s">
        <v>40</v>
      </c>
      <c r="R74" s="23" t="s">
        <v>188</v>
      </c>
      <c r="S74" s="23" t="s">
        <v>1710</v>
      </c>
      <c r="T74" s="23" t="s">
        <v>40</v>
      </c>
    </row>
    <row r="75" spans="1:20" x14ac:dyDescent="0.25">
      <c r="A75" s="23" t="s">
        <v>6971</v>
      </c>
      <c r="B75" s="23" t="s">
        <v>187</v>
      </c>
      <c r="C75" s="23" t="s">
        <v>1971</v>
      </c>
      <c r="D75" s="23" t="s">
        <v>6972</v>
      </c>
      <c r="E75" s="23" t="s">
        <v>6973</v>
      </c>
      <c r="F75" s="23" t="s">
        <v>40</v>
      </c>
      <c r="G75" s="23" t="s">
        <v>6974</v>
      </c>
      <c r="H75" s="23" t="s">
        <v>6975</v>
      </c>
      <c r="I75" s="23" t="s">
        <v>6976</v>
      </c>
      <c r="J75" s="23" t="s">
        <v>489</v>
      </c>
      <c r="K75" s="24" t="s">
        <v>386</v>
      </c>
      <c r="L75" s="23" t="s">
        <v>13</v>
      </c>
      <c r="M75" s="30" t="s">
        <v>19</v>
      </c>
      <c r="N75" s="23" t="s">
        <v>40</v>
      </c>
      <c r="O75" s="23" t="s">
        <v>387</v>
      </c>
      <c r="P75" s="23" t="s">
        <v>40</v>
      </c>
      <c r="Q75" s="23" t="s">
        <v>40</v>
      </c>
      <c r="R75" s="23" t="s">
        <v>188</v>
      </c>
      <c r="S75" s="23" t="s">
        <v>6698</v>
      </c>
      <c r="T75" s="23" t="s">
        <v>6784</v>
      </c>
    </row>
    <row r="76" spans="1:20" x14ac:dyDescent="0.25">
      <c r="A76" s="23" t="s">
        <v>6977</v>
      </c>
      <c r="B76" s="23" t="s">
        <v>187</v>
      </c>
      <c r="C76" s="23" t="s">
        <v>1971</v>
      </c>
      <c r="D76" s="23" t="s">
        <v>6978</v>
      </c>
      <c r="E76" s="23" t="s">
        <v>6979</v>
      </c>
      <c r="F76" s="23" t="s">
        <v>40</v>
      </c>
      <c r="G76" s="23" t="s">
        <v>6980</v>
      </c>
      <c r="H76" s="23" t="s">
        <v>6981</v>
      </c>
      <c r="I76" s="23" t="s">
        <v>6982</v>
      </c>
      <c r="J76" s="23" t="s">
        <v>14</v>
      </c>
      <c r="K76" s="26" t="s">
        <v>396</v>
      </c>
      <c r="L76" s="23" t="s">
        <v>13</v>
      </c>
      <c r="M76" s="30" t="s">
        <v>19</v>
      </c>
      <c r="N76" s="23" t="s">
        <v>40</v>
      </c>
      <c r="O76" s="23" t="s">
        <v>387</v>
      </c>
      <c r="P76" s="23" t="s">
        <v>40</v>
      </c>
      <c r="Q76" s="23" t="s">
        <v>40</v>
      </c>
      <c r="R76" s="23" t="s">
        <v>188</v>
      </c>
      <c r="S76" s="23" t="s">
        <v>6698</v>
      </c>
      <c r="T76" s="23" t="s">
        <v>6784</v>
      </c>
    </row>
    <row r="77" spans="1:20" x14ac:dyDescent="0.25">
      <c r="A77" s="23" t="s">
        <v>6983</v>
      </c>
      <c r="B77" s="23" t="s">
        <v>187</v>
      </c>
      <c r="C77" s="23" t="s">
        <v>1971</v>
      </c>
      <c r="D77" s="23" t="s">
        <v>6984</v>
      </c>
      <c r="E77" s="23" t="s">
        <v>6985</v>
      </c>
      <c r="F77" s="23" t="s">
        <v>40</v>
      </c>
      <c r="G77" s="23" t="s">
        <v>6986</v>
      </c>
      <c r="H77" s="23" t="s">
        <v>6987</v>
      </c>
      <c r="I77" s="23" t="s">
        <v>6988</v>
      </c>
      <c r="J77" s="23" t="s">
        <v>14</v>
      </c>
      <c r="K77" s="27" t="s">
        <v>404</v>
      </c>
      <c r="L77" s="23" t="s">
        <v>490</v>
      </c>
      <c r="M77" s="30" t="s">
        <v>19</v>
      </c>
      <c r="N77" s="23" t="s">
        <v>40</v>
      </c>
      <c r="O77" s="23" t="s">
        <v>387</v>
      </c>
      <c r="P77" s="23" t="s">
        <v>40</v>
      </c>
      <c r="Q77" s="23" t="s">
        <v>40</v>
      </c>
      <c r="R77" s="23" t="s">
        <v>188</v>
      </c>
      <c r="S77" s="23" t="s">
        <v>6698</v>
      </c>
      <c r="T77" s="23" t="s">
        <v>40</v>
      </c>
    </row>
    <row r="78" spans="1:20" x14ac:dyDescent="0.25">
      <c r="A78" s="23" t="s">
        <v>6989</v>
      </c>
      <c r="B78" s="23" t="s">
        <v>187</v>
      </c>
      <c r="C78" s="23" t="s">
        <v>466</v>
      </c>
      <c r="D78" s="23" t="s">
        <v>6990</v>
      </c>
      <c r="E78" s="23" t="s">
        <v>3835</v>
      </c>
      <c r="F78" s="23" t="s">
        <v>40</v>
      </c>
      <c r="G78" s="23" t="s">
        <v>6991</v>
      </c>
      <c r="H78" s="23" t="s">
        <v>6992</v>
      </c>
      <c r="I78" s="23" t="s">
        <v>6623</v>
      </c>
      <c r="J78" s="23" t="s">
        <v>15</v>
      </c>
      <c r="K78" s="27" t="s">
        <v>404</v>
      </c>
      <c r="L78" s="23" t="s">
        <v>490</v>
      </c>
      <c r="M78" s="25" t="s">
        <v>18</v>
      </c>
      <c r="N78" s="23" t="s">
        <v>40</v>
      </c>
      <c r="O78" s="23" t="s">
        <v>387</v>
      </c>
      <c r="P78" s="23" t="s">
        <v>40</v>
      </c>
      <c r="Q78" s="23" t="s">
        <v>40</v>
      </c>
      <c r="R78" s="23" t="s">
        <v>188</v>
      </c>
      <c r="S78" s="23" t="s">
        <v>1710</v>
      </c>
      <c r="T78" s="23" t="s">
        <v>40</v>
      </c>
    </row>
    <row r="79" spans="1:20" x14ac:dyDescent="0.25">
      <c r="A79" s="23" t="s">
        <v>6993</v>
      </c>
      <c r="B79" s="23" t="s">
        <v>187</v>
      </c>
      <c r="C79" s="23" t="s">
        <v>466</v>
      </c>
      <c r="D79" s="23" t="s">
        <v>6994</v>
      </c>
      <c r="E79" s="23" t="s">
        <v>6995</v>
      </c>
      <c r="F79" s="23" t="s">
        <v>40</v>
      </c>
      <c r="G79" s="23" t="s">
        <v>6996</v>
      </c>
      <c r="H79" s="23" t="s">
        <v>6997</v>
      </c>
      <c r="I79" s="23" t="s">
        <v>6998</v>
      </c>
      <c r="J79" s="23" t="s">
        <v>15</v>
      </c>
      <c r="K79" s="27" t="s">
        <v>404</v>
      </c>
      <c r="L79" s="23" t="s">
        <v>405</v>
      </c>
      <c r="M79" s="25" t="s">
        <v>18</v>
      </c>
      <c r="N79" s="23" t="s">
        <v>40</v>
      </c>
      <c r="O79" s="23" t="s">
        <v>387</v>
      </c>
      <c r="P79" s="23" t="s">
        <v>40</v>
      </c>
      <c r="Q79" s="23" t="s">
        <v>40</v>
      </c>
      <c r="R79" s="23" t="s">
        <v>188</v>
      </c>
      <c r="S79" s="23" t="s">
        <v>1710</v>
      </c>
      <c r="T79" s="23" t="s">
        <v>40</v>
      </c>
    </row>
    <row r="80" spans="1:20" x14ac:dyDescent="0.25">
      <c r="A80" s="23" t="s">
        <v>6999</v>
      </c>
      <c r="B80" s="23" t="s">
        <v>187</v>
      </c>
      <c r="C80" s="23" t="s">
        <v>466</v>
      </c>
      <c r="D80" s="23" t="s">
        <v>7000</v>
      </c>
      <c r="E80" s="23" t="s">
        <v>3835</v>
      </c>
      <c r="F80" s="23" t="s">
        <v>40</v>
      </c>
      <c r="G80" s="23" t="s">
        <v>7001</v>
      </c>
      <c r="H80" s="23" t="s">
        <v>7002</v>
      </c>
      <c r="I80" s="23" t="s">
        <v>7003</v>
      </c>
      <c r="J80" s="23" t="s">
        <v>466</v>
      </c>
      <c r="K80" s="27" t="s">
        <v>404</v>
      </c>
      <c r="L80" s="23" t="s">
        <v>405</v>
      </c>
      <c r="M80" s="25" t="s">
        <v>18</v>
      </c>
      <c r="N80" s="23" t="s">
        <v>40</v>
      </c>
      <c r="O80" s="23" t="s">
        <v>387</v>
      </c>
      <c r="P80" s="23" t="s">
        <v>40</v>
      </c>
      <c r="Q80" s="23" t="s">
        <v>40</v>
      </c>
      <c r="R80" s="23" t="s">
        <v>188</v>
      </c>
      <c r="S80" s="23" t="s">
        <v>1710</v>
      </c>
      <c r="T80" s="23" t="s">
        <v>40</v>
      </c>
    </row>
    <row r="81" spans="1:20" x14ac:dyDescent="0.25">
      <c r="A81" s="23" t="s">
        <v>7004</v>
      </c>
      <c r="B81" s="23" t="s">
        <v>187</v>
      </c>
      <c r="C81" s="23" t="s">
        <v>951</v>
      </c>
      <c r="D81" s="23" t="s">
        <v>7005</v>
      </c>
      <c r="E81" s="23" t="s">
        <v>3835</v>
      </c>
      <c r="F81" s="23" t="s">
        <v>40</v>
      </c>
      <c r="G81" s="23" t="s">
        <v>7006</v>
      </c>
      <c r="H81" s="23" t="s">
        <v>7007</v>
      </c>
      <c r="I81" s="23" t="s">
        <v>7008</v>
      </c>
      <c r="J81" s="23" t="s">
        <v>385</v>
      </c>
      <c r="K81" s="32" t="s">
        <v>747</v>
      </c>
      <c r="L81" s="23" t="s">
        <v>490</v>
      </c>
      <c r="M81" s="25" t="s">
        <v>18</v>
      </c>
      <c r="N81" s="23" t="s">
        <v>40</v>
      </c>
      <c r="O81" s="23" t="s">
        <v>387</v>
      </c>
      <c r="P81" s="23" t="s">
        <v>40</v>
      </c>
      <c r="Q81" s="23" t="s">
        <v>40</v>
      </c>
      <c r="R81" s="23" t="s">
        <v>188</v>
      </c>
      <c r="S81" s="23" t="s">
        <v>1710</v>
      </c>
      <c r="T81" s="23" t="s">
        <v>40</v>
      </c>
    </row>
    <row r="82" spans="1:20" x14ac:dyDescent="0.25">
      <c r="A82" s="23" t="s">
        <v>7009</v>
      </c>
      <c r="B82" s="23" t="s">
        <v>187</v>
      </c>
      <c r="C82" s="23" t="s">
        <v>6700</v>
      </c>
      <c r="D82" s="23" t="s">
        <v>7010</v>
      </c>
      <c r="E82" s="23" t="s">
        <v>6821</v>
      </c>
      <c r="F82" s="23" t="s">
        <v>40</v>
      </c>
      <c r="G82" s="23" t="s">
        <v>7011</v>
      </c>
      <c r="H82" s="23" t="s">
        <v>7012</v>
      </c>
      <c r="I82" s="23" t="s">
        <v>7013</v>
      </c>
      <c r="J82" s="23" t="s">
        <v>525</v>
      </c>
      <c r="K82" s="24" t="s">
        <v>386</v>
      </c>
      <c r="L82" s="23" t="s">
        <v>405</v>
      </c>
      <c r="M82" s="25" t="s">
        <v>18</v>
      </c>
      <c r="N82" s="23" t="s">
        <v>40</v>
      </c>
      <c r="O82" s="23" t="s">
        <v>387</v>
      </c>
      <c r="P82" s="23" t="s">
        <v>40</v>
      </c>
      <c r="Q82" s="23" t="s">
        <v>40</v>
      </c>
      <c r="R82" s="23" t="s">
        <v>188</v>
      </c>
      <c r="S82" s="23" t="s">
        <v>1710</v>
      </c>
      <c r="T82" s="23" t="s">
        <v>40</v>
      </c>
    </row>
    <row r="83" spans="1:20" x14ac:dyDescent="0.25">
      <c r="A83" s="23" t="s">
        <v>7014</v>
      </c>
      <c r="B83" s="23" t="s">
        <v>189</v>
      </c>
      <c r="C83" s="23" t="s">
        <v>944</v>
      </c>
      <c r="D83" s="23" t="s">
        <v>7015</v>
      </c>
      <c r="E83" s="23" t="s">
        <v>3835</v>
      </c>
      <c r="F83" s="23" t="s">
        <v>7016</v>
      </c>
      <c r="G83" s="23" t="s">
        <v>7017</v>
      </c>
      <c r="H83" s="23" t="s">
        <v>7018</v>
      </c>
      <c r="I83" s="23" t="s">
        <v>7019</v>
      </c>
      <c r="J83" s="23" t="s">
        <v>385</v>
      </c>
      <c r="K83" s="24" t="s">
        <v>386</v>
      </c>
      <c r="L83" s="23" t="s">
        <v>13</v>
      </c>
      <c r="M83" s="31" t="s">
        <v>17</v>
      </c>
      <c r="N83" s="23" t="s">
        <v>7020</v>
      </c>
      <c r="O83" s="29" t="s">
        <v>87</v>
      </c>
      <c r="P83" s="23" t="s">
        <v>40</v>
      </c>
      <c r="Q83" s="23" t="s">
        <v>40</v>
      </c>
      <c r="R83" s="23" t="s">
        <v>190</v>
      </c>
      <c r="S83" s="23" t="s">
        <v>40</v>
      </c>
      <c r="T83" s="23" t="s">
        <v>40</v>
      </c>
    </row>
    <row r="84" spans="1:20" x14ac:dyDescent="0.25">
      <c r="A84" s="23" t="s">
        <v>7021</v>
      </c>
      <c r="B84" s="23" t="s">
        <v>189</v>
      </c>
      <c r="C84" s="23" t="s">
        <v>7022</v>
      </c>
      <c r="D84" s="23" t="s">
        <v>7023</v>
      </c>
      <c r="E84" s="23" t="s">
        <v>3835</v>
      </c>
      <c r="F84" s="23" t="s">
        <v>7024</v>
      </c>
      <c r="G84" s="23" t="s">
        <v>7025</v>
      </c>
      <c r="H84" s="23" t="s">
        <v>7026</v>
      </c>
      <c r="I84" s="23" t="s">
        <v>7027</v>
      </c>
      <c r="J84" s="23" t="s">
        <v>14</v>
      </c>
      <c r="K84" s="24" t="s">
        <v>386</v>
      </c>
      <c r="L84" s="23" t="s">
        <v>405</v>
      </c>
      <c r="M84" s="25" t="s">
        <v>18</v>
      </c>
      <c r="N84" s="23" t="s">
        <v>40</v>
      </c>
      <c r="O84" s="23" t="s">
        <v>387</v>
      </c>
      <c r="P84" s="23" t="s">
        <v>40</v>
      </c>
      <c r="Q84" s="23" t="s">
        <v>40</v>
      </c>
      <c r="R84" s="23" t="s">
        <v>190</v>
      </c>
      <c r="S84" s="23" t="s">
        <v>1710</v>
      </c>
      <c r="T84" s="23" t="s">
        <v>40</v>
      </c>
    </row>
    <row r="85" spans="1:20" x14ac:dyDescent="0.25">
      <c r="A85" s="23" t="s">
        <v>7028</v>
      </c>
      <c r="B85" s="23" t="s">
        <v>189</v>
      </c>
      <c r="C85" s="23" t="s">
        <v>7029</v>
      </c>
      <c r="D85" s="23" t="s">
        <v>7030</v>
      </c>
      <c r="E85" s="23" t="s">
        <v>7031</v>
      </c>
      <c r="F85" s="23" t="s">
        <v>40</v>
      </c>
      <c r="G85" s="23" t="s">
        <v>7032</v>
      </c>
      <c r="H85" s="23" t="s">
        <v>7033</v>
      </c>
      <c r="I85" s="23" t="s">
        <v>7034</v>
      </c>
      <c r="J85" s="23" t="s">
        <v>14</v>
      </c>
      <c r="K85" s="26" t="s">
        <v>396</v>
      </c>
      <c r="L85" s="23" t="s">
        <v>13</v>
      </c>
      <c r="M85" s="30" t="s">
        <v>19</v>
      </c>
      <c r="N85" s="23" t="s">
        <v>40</v>
      </c>
      <c r="O85" s="23" t="s">
        <v>387</v>
      </c>
      <c r="P85" s="23" t="s">
        <v>40</v>
      </c>
      <c r="Q85" s="23" t="s">
        <v>40</v>
      </c>
      <c r="R85" s="23" t="s">
        <v>190</v>
      </c>
      <c r="S85" s="23" t="s">
        <v>6698</v>
      </c>
      <c r="T85" s="23" t="s">
        <v>7035</v>
      </c>
    </row>
    <row r="86" spans="1:20" x14ac:dyDescent="0.25">
      <c r="A86" s="23" t="s">
        <v>7036</v>
      </c>
      <c r="B86" s="23" t="s">
        <v>189</v>
      </c>
      <c r="C86" s="23" t="s">
        <v>7029</v>
      </c>
      <c r="D86" s="23" t="s">
        <v>7037</v>
      </c>
      <c r="E86" s="23" t="s">
        <v>7038</v>
      </c>
      <c r="F86" s="23" t="s">
        <v>40</v>
      </c>
      <c r="G86" s="23" t="s">
        <v>7039</v>
      </c>
      <c r="H86" s="23" t="s">
        <v>7040</v>
      </c>
      <c r="I86" s="23" t="s">
        <v>7041</v>
      </c>
      <c r="J86" s="23" t="s">
        <v>489</v>
      </c>
      <c r="K86" s="27" t="s">
        <v>404</v>
      </c>
      <c r="L86" s="23" t="s">
        <v>405</v>
      </c>
      <c r="M86" s="30" t="s">
        <v>19</v>
      </c>
      <c r="N86" s="23" t="s">
        <v>40</v>
      </c>
      <c r="O86" s="23" t="s">
        <v>387</v>
      </c>
      <c r="P86" s="23" t="s">
        <v>40</v>
      </c>
      <c r="Q86" s="23" t="s">
        <v>40</v>
      </c>
      <c r="R86" s="23" t="s">
        <v>190</v>
      </c>
      <c r="S86" s="23" t="s">
        <v>6698</v>
      </c>
      <c r="T86" s="23" t="s">
        <v>40</v>
      </c>
    </row>
    <row r="87" spans="1:20" x14ac:dyDescent="0.25">
      <c r="A87" s="23" t="s">
        <v>7042</v>
      </c>
      <c r="B87" s="23" t="s">
        <v>189</v>
      </c>
      <c r="C87" s="23" t="s">
        <v>7043</v>
      </c>
      <c r="D87" s="23" t="s">
        <v>7044</v>
      </c>
      <c r="E87" s="23" t="s">
        <v>7045</v>
      </c>
      <c r="F87" s="23" t="s">
        <v>40</v>
      </c>
      <c r="G87" s="23" t="s">
        <v>7046</v>
      </c>
      <c r="H87" s="23" t="s">
        <v>7047</v>
      </c>
      <c r="I87" s="23" t="s">
        <v>7048</v>
      </c>
      <c r="J87" s="23" t="s">
        <v>385</v>
      </c>
      <c r="K87" s="27" t="s">
        <v>404</v>
      </c>
      <c r="L87" s="23" t="s">
        <v>405</v>
      </c>
      <c r="M87" s="25" t="s">
        <v>18</v>
      </c>
      <c r="N87" s="23" t="s">
        <v>40</v>
      </c>
      <c r="O87" s="23" t="s">
        <v>387</v>
      </c>
      <c r="P87" s="23" t="s">
        <v>40</v>
      </c>
      <c r="Q87" s="23" t="s">
        <v>40</v>
      </c>
      <c r="R87" s="23" t="s">
        <v>190</v>
      </c>
      <c r="S87" s="23" t="s">
        <v>1710</v>
      </c>
      <c r="T87" s="23" t="s">
        <v>40</v>
      </c>
    </row>
    <row r="88" spans="1:20" x14ac:dyDescent="0.25">
      <c r="A88" s="23" t="s">
        <v>7049</v>
      </c>
      <c r="B88" s="23" t="s">
        <v>189</v>
      </c>
      <c r="C88" s="23" t="s">
        <v>6848</v>
      </c>
      <c r="D88" s="23" t="s">
        <v>7050</v>
      </c>
      <c r="E88" s="23" t="s">
        <v>7051</v>
      </c>
      <c r="F88" s="23" t="s">
        <v>40</v>
      </c>
      <c r="G88" s="23" t="s">
        <v>7052</v>
      </c>
      <c r="H88" s="23" t="s">
        <v>7053</v>
      </c>
      <c r="I88" s="23" t="s">
        <v>7054</v>
      </c>
      <c r="J88" s="23" t="s">
        <v>14</v>
      </c>
      <c r="K88" s="26" t="s">
        <v>396</v>
      </c>
      <c r="L88" s="23" t="s">
        <v>13</v>
      </c>
      <c r="M88" s="25" t="s">
        <v>18</v>
      </c>
      <c r="N88" s="23" t="s">
        <v>40</v>
      </c>
      <c r="O88" s="23" t="s">
        <v>387</v>
      </c>
      <c r="P88" s="23" t="s">
        <v>40</v>
      </c>
      <c r="Q88" s="23" t="s">
        <v>40</v>
      </c>
      <c r="R88" s="23" t="s">
        <v>190</v>
      </c>
      <c r="S88" s="23" t="s">
        <v>1710</v>
      </c>
      <c r="T88" s="23" t="s">
        <v>40</v>
      </c>
    </row>
    <row r="89" spans="1:20" x14ac:dyDescent="0.25">
      <c r="A89" s="23" t="s">
        <v>7055</v>
      </c>
      <c r="B89" s="23" t="s">
        <v>189</v>
      </c>
      <c r="C89" s="23" t="s">
        <v>6848</v>
      </c>
      <c r="D89" s="23" t="s">
        <v>7056</v>
      </c>
      <c r="E89" s="23" t="s">
        <v>7057</v>
      </c>
      <c r="F89" s="23" t="s">
        <v>40</v>
      </c>
      <c r="G89" s="23" t="s">
        <v>7058</v>
      </c>
      <c r="H89" s="23" t="s">
        <v>7059</v>
      </c>
      <c r="I89" s="23" t="s">
        <v>7060</v>
      </c>
      <c r="J89" s="23" t="s">
        <v>801</v>
      </c>
      <c r="K89" s="26" t="s">
        <v>396</v>
      </c>
      <c r="L89" s="23" t="s">
        <v>13</v>
      </c>
      <c r="M89" s="25" t="s">
        <v>18</v>
      </c>
      <c r="N89" s="23" t="s">
        <v>40</v>
      </c>
      <c r="O89" s="23" t="s">
        <v>387</v>
      </c>
      <c r="P89" s="23" t="s">
        <v>40</v>
      </c>
      <c r="Q89" s="23" t="s">
        <v>40</v>
      </c>
      <c r="R89" s="23" t="s">
        <v>190</v>
      </c>
      <c r="S89" s="23" t="s">
        <v>1710</v>
      </c>
      <c r="T89" s="23" t="s">
        <v>40</v>
      </c>
    </row>
    <row r="90" spans="1:20" x14ac:dyDescent="0.25">
      <c r="A90" s="23" t="s">
        <v>7061</v>
      </c>
      <c r="B90" s="23" t="s">
        <v>189</v>
      </c>
      <c r="C90" s="23" t="s">
        <v>6856</v>
      </c>
      <c r="D90" s="23" t="s">
        <v>7062</v>
      </c>
      <c r="E90" s="23" t="s">
        <v>7063</v>
      </c>
      <c r="F90" s="23" t="s">
        <v>40</v>
      </c>
      <c r="G90" s="23" t="s">
        <v>7064</v>
      </c>
      <c r="H90" s="23" t="s">
        <v>7065</v>
      </c>
      <c r="I90" s="23" t="s">
        <v>7066</v>
      </c>
      <c r="J90" s="23" t="s">
        <v>14</v>
      </c>
      <c r="K90" s="24" t="s">
        <v>386</v>
      </c>
      <c r="L90" s="23" t="s">
        <v>405</v>
      </c>
      <c r="M90" s="25" t="s">
        <v>18</v>
      </c>
      <c r="N90" s="23" t="s">
        <v>40</v>
      </c>
      <c r="O90" s="23" t="s">
        <v>387</v>
      </c>
      <c r="P90" s="23" t="s">
        <v>40</v>
      </c>
      <c r="Q90" s="23" t="s">
        <v>40</v>
      </c>
      <c r="R90" s="23" t="s">
        <v>190</v>
      </c>
      <c r="S90" s="23" t="s">
        <v>1710</v>
      </c>
      <c r="T90" s="23" t="s">
        <v>40</v>
      </c>
    </row>
    <row r="91" spans="1:20" x14ac:dyDescent="0.25">
      <c r="A91" s="23" t="s">
        <v>7067</v>
      </c>
      <c r="B91" s="23" t="s">
        <v>189</v>
      </c>
      <c r="C91" s="23" t="s">
        <v>1971</v>
      </c>
      <c r="D91" s="23" t="s">
        <v>7068</v>
      </c>
      <c r="E91" s="23" t="s">
        <v>7069</v>
      </c>
      <c r="F91" s="23" t="s">
        <v>40</v>
      </c>
      <c r="G91" s="23" t="s">
        <v>7070</v>
      </c>
      <c r="H91" s="23" t="s">
        <v>7071</v>
      </c>
      <c r="I91" s="23" t="s">
        <v>7072</v>
      </c>
      <c r="J91" s="23" t="s">
        <v>15</v>
      </c>
      <c r="K91" s="27" t="s">
        <v>404</v>
      </c>
      <c r="L91" s="23" t="s">
        <v>405</v>
      </c>
      <c r="M91" s="25" t="s">
        <v>18</v>
      </c>
      <c r="N91" s="23" t="s">
        <v>40</v>
      </c>
      <c r="O91" s="23" t="s">
        <v>387</v>
      </c>
      <c r="P91" s="23" t="s">
        <v>40</v>
      </c>
      <c r="Q91" s="23" t="s">
        <v>40</v>
      </c>
      <c r="R91" s="23" t="s">
        <v>190</v>
      </c>
      <c r="S91" s="23" t="s">
        <v>1710</v>
      </c>
      <c r="T91" s="23" t="s">
        <v>7035</v>
      </c>
    </row>
    <row r="92" spans="1:20" x14ac:dyDescent="0.25">
      <c r="A92" s="23" t="s">
        <v>7073</v>
      </c>
      <c r="B92" s="23" t="s">
        <v>189</v>
      </c>
      <c r="C92" s="23" t="s">
        <v>1971</v>
      </c>
      <c r="D92" s="23" t="s">
        <v>7074</v>
      </c>
      <c r="E92" s="23" t="s">
        <v>7075</v>
      </c>
      <c r="F92" s="23" t="s">
        <v>40</v>
      </c>
      <c r="G92" s="23" t="s">
        <v>7076</v>
      </c>
      <c r="H92" s="23" t="s">
        <v>7077</v>
      </c>
      <c r="I92" s="23" t="s">
        <v>7078</v>
      </c>
      <c r="J92" s="23" t="s">
        <v>15</v>
      </c>
      <c r="K92" s="24" t="s">
        <v>386</v>
      </c>
      <c r="L92" s="23" t="s">
        <v>13</v>
      </c>
      <c r="M92" s="25" t="s">
        <v>18</v>
      </c>
      <c r="N92" s="23" t="s">
        <v>40</v>
      </c>
      <c r="O92" s="23" t="s">
        <v>387</v>
      </c>
      <c r="P92" s="23" t="s">
        <v>40</v>
      </c>
      <c r="Q92" s="23" t="s">
        <v>40</v>
      </c>
      <c r="R92" s="23" t="s">
        <v>190</v>
      </c>
      <c r="S92" s="23" t="s">
        <v>1710</v>
      </c>
      <c r="T92" s="23" t="s">
        <v>7035</v>
      </c>
    </row>
    <row r="93" spans="1:20" x14ac:dyDescent="0.25">
      <c r="A93" s="23" t="s">
        <v>7079</v>
      </c>
      <c r="B93" s="23" t="s">
        <v>189</v>
      </c>
      <c r="C93" s="23" t="s">
        <v>1971</v>
      </c>
      <c r="D93" s="23" t="s">
        <v>7080</v>
      </c>
      <c r="E93" s="23" t="s">
        <v>7081</v>
      </c>
      <c r="F93" s="23" t="s">
        <v>40</v>
      </c>
      <c r="G93" s="23" t="s">
        <v>7082</v>
      </c>
      <c r="H93" s="23" t="s">
        <v>7083</v>
      </c>
      <c r="I93" s="23" t="s">
        <v>7084</v>
      </c>
      <c r="J93" s="23" t="s">
        <v>15</v>
      </c>
      <c r="K93" s="27" t="s">
        <v>404</v>
      </c>
      <c r="L93" s="23" t="s">
        <v>405</v>
      </c>
      <c r="M93" s="25" t="s">
        <v>18</v>
      </c>
      <c r="N93" s="23" t="s">
        <v>40</v>
      </c>
      <c r="O93" s="23" t="s">
        <v>387</v>
      </c>
      <c r="P93" s="23" t="s">
        <v>40</v>
      </c>
      <c r="Q93" s="23" t="s">
        <v>40</v>
      </c>
      <c r="R93" s="23" t="s">
        <v>190</v>
      </c>
      <c r="S93" s="23" t="s">
        <v>1710</v>
      </c>
      <c r="T93" s="23" t="s">
        <v>40</v>
      </c>
    </row>
    <row r="94" spans="1:20" x14ac:dyDescent="0.25">
      <c r="A94" s="23" t="s">
        <v>7085</v>
      </c>
      <c r="B94" s="23" t="s">
        <v>189</v>
      </c>
      <c r="C94" s="23" t="s">
        <v>1971</v>
      </c>
      <c r="D94" s="23" t="s">
        <v>7086</v>
      </c>
      <c r="E94" s="23" t="s">
        <v>7087</v>
      </c>
      <c r="F94" s="23" t="s">
        <v>40</v>
      </c>
      <c r="G94" s="23" t="s">
        <v>7088</v>
      </c>
      <c r="H94" s="23" t="s">
        <v>7089</v>
      </c>
      <c r="I94" s="23" t="s">
        <v>7090</v>
      </c>
      <c r="J94" s="23" t="s">
        <v>525</v>
      </c>
      <c r="K94" s="24" t="s">
        <v>386</v>
      </c>
      <c r="L94" s="23" t="s">
        <v>405</v>
      </c>
      <c r="M94" s="25" t="s">
        <v>18</v>
      </c>
      <c r="N94" s="23" t="s">
        <v>40</v>
      </c>
      <c r="O94" s="23" t="s">
        <v>387</v>
      </c>
      <c r="P94" s="23" t="s">
        <v>40</v>
      </c>
      <c r="Q94" s="23" t="s">
        <v>40</v>
      </c>
      <c r="R94" s="23" t="s">
        <v>190</v>
      </c>
      <c r="S94" s="23" t="s">
        <v>1710</v>
      </c>
      <c r="T94" s="23" t="s">
        <v>40</v>
      </c>
    </row>
    <row r="95" spans="1:20" x14ac:dyDescent="0.25">
      <c r="A95" s="23" t="s">
        <v>7091</v>
      </c>
      <c r="B95" s="23" t="s">
        <v>189</v>
      </c>
      <c r="C95" s="23" t="s">
        <v>1971</v>
      </c>
      <c r="D95" s="23" t="s">
        <v>7092</v>
      </c>
      <c r="E95" s="23" t="s">
        <v>7093</v>
      </c>
      <c r="F95" s="23" t="s">
        <v>40</v>
      </c>
      <c r="G95" s="23" t="s">
        <v>7032</v>
      </c>
      <c r="H95" s="23" t="s">
        <v>7094</v>
      </c>
      <c r="I95" s="23" t="s">
        <v>7095</v>
      </c>
      <c r="J95" s="23" t="s">
        <v>14</v>
      </c>
      <c r="K95" s="24" t="s">
        <v>386</v>
      </c>
      <c r="L95" s="23" t="s">
        <v>405</v>
      </c>
      <c r="M95" s="30" t="s">
        <v>19</v>
      </c>
      <c r="N95" s="23" t="s">
        <v>40</v>
      </c>
      <c r="O95" s="23" t="s">
        <v>387</v>
      </c>
      <c r="P95" s="23" t="s">
        <v>40</v>
      </c>
      <c r="Q95" s="23" t="s">
        <v>40</v>
      </c>
      <c r="R95" s="23" t="s">
        <v>190</v>
      </c>
      <c r="S95" s="23" t="s">
        <v>6698</v>
      </c>
      <c r="T95" s="23" t="s">
        <v>40</v>
      </c>
    </row>
    <row r="96" spans="1:20" x14ac:dyDescent="0.25">
      <c r="A96" s="23" t="s">
        <v>7096</v>
      </c>
      <c r="B96" s="23" t="s">
        <v>189</v>
      </c>
      <c r="C96" s="23" t="s">
        <v>951</v>
      </c>
      <c r="D96" s="23" t="s">
        <v>7097</v>
      </c>
      <c r="E96" s="23" t="s">
        <v>3835</v>
      </c>
      <c r="F96" s="23" t="s">
        <v>40</v>
      </c>
      <c r="G96" s="23" t="s">
        <v>7098</v>
      </c>
      <c r="H96" s="23" t="s">
        <v>7099</v>
      </c>
      <c r="I96" s="23" t="s">
        <v>6926</v>
      </c>
      <c r="J96" s="23" t="s">
        <v>385</v>
      </c>
      <c r="K96" s="32" t="s">
        <v>747</v>
      </c>
      <c r="L96" s="23" t="s">
        <v>490</v>
      </c>
      <c r="M96" s="25" t="s">
        <v>18</v>
      </c>
      <c r="N96" s="23" t="s">
        <v>40</v>
      </c>
      <c r="O96" s="23" t="s">
        <v>387</v>
      </c>
      <c r="P96" s="23" t="s">
        <v>40</v>
      </c>
      <c r="Q96" s="23" t="s">
        <v>40</v>
      </c>
      <c r="R96" s="23" t="s">
        <v>190</v>
      </c>
      <c r="S96" s="23" t="s">
        <v>1710</v>
      </c>
      <c r="T96" s="23" t="s">
        <v>40</v>
      </c>
    </row>
    <row r="97" spans="1:20" x14ac:dyDescent="0.25">
      <c r="A97" s="23" t="s">
        <v>7100</v>
      </c>
      <c r="B97" s="23" t="s">
        <v>189</v>
      </c>
      <c r="C97" s="23" t="s">
        <v>6700</v>
      </c>
      <c r="D97" s="23" t="s">
        <v>7101</v>
      </c>
      <c r="E97" s="23" t="s">
        <v>6821</v>
      </c>
      <c r="F97" s="23" t="s">
        <v>40</v>
      </c>
      <c r="G97" s="23" t="s">
        <v>7102</v>
      </c>
      <c r="H97" s="23" t="s">
        <v>7103</v>
      </c>
      <c r="I97" s="23" t="s">
        <v>7013</v>
      </c>
      <c r="J97" s="23" t="s">
        <v>525</v>
      </c>
      <c r="K97" s="24" t="s">
        <v>386</v>
      </c>
      <c r="L97" s="23" t="s">
        <v>405</v>
      </c>
      <c r="M97" s="25" t="s">
        <v>18</v>
      </c>
      <c r="N97" s="23" t="s">
        <v>40</v>
      </c>
      <c r="O97" s="23" t="s">
        <v>387</v>
      </c>
      <c r="P97" s="23" t="s">
        <v>40</v>
      </c>
      <c r="Q97" s="23" t="s">
        <v>40</v>
      </c>
      <c r="R97" s="23" t="s">
        <v>190</v>
      </c>
      <c r="S97" s="23" t="s">
        <v>1710</v>
      </c>
      <c r="T97" s="23" t="s">
        <v>40</v>
      </c>
    </row>
    <row r="98" spans="1:20" x14ac:dyDescent="0.25">
      <c r="A98" s="23" t="s">
        <v>7104</v>
      </c>
      <c r="B98" s="23" t="s">
        <v>191</v>
      </c>
      <c r="C98" s="23" t="s">
        <v>944</v>
      </c>
      <c r="D98" s="23" t="s">
        <v>7105</v>
      </c>
      <c r="E98" s="23" t="s">
        <v>3835</v>
      </c>
      <c r="F98" s="23" t="s">
        <v>7106</v>
      </c>
      <c r="G98" s="23" t="s">
        <v>7107</v>
      </c>
      <c r="H98" s="23" t="s">
        <v>7108</v>
      </c>
      <c r="I98" s="23" t="s">
        <v>7109</v>
      </c>
      <c r="J98" s="23" t="s">
        <v>385</v>
      </c>
      <c r="K98" s="24" t="s">
        <v>386</v>
      </c>
      <c r="L98" s="23" t="s">
        <v>13</v>
      </c>
      <c r="M98" s="31" t="s">
        <v>17</v>
      </c>
      <c r="N98" s="23" t="s">
        <v>7110</v>
      </c>
      <c r="O98" s="29" t="s">
        <v>87</v>
      </c>
      <c r="P98" s="23" t="s">
        <v>40</v>
      </c>
      <c r="Q98" s="23" t="s">
        <v>40</v>
      </c>
      <c r="R98" s="23" t="s">
        <v>192</v>
      </c>
      <c r="S98" s="23" t="s">
        <v>40</v>
      </c>
      <c r="T98" s="23" t="s">
        <v>40</v>
      </c>
    </row>
    <row r="99" spans="1:20" x14ac:dyDescent="0.25">
      <c r="A99" s="23" t="s">
        <v>7111</v>
      </c>
      <c r="B99" s="23" t="s">
        <v>191</v>
      </c>
      <c r="C99" s="23" t="s">
        <v>7112</v>
      </c>
      <c r="D99" s="23" t="s">
        <v>7113</v>
      </c>
      <c r="E99" s="23" t="s">
        <v>3835</v>
      </c>
      <c r="F99" s="23" t="s">
        <v>7114</v>
      </c>
      <c r="G99" s="23" t="s">
        <v>7115</v>
      </c>
      <c r="H99" s="23" t="s">
        <v>7116</v>
      </c>
      <c r="I99" s="23" t="s">
        <v>7117</v>
      </c>
      <c r="J99" s="23" t="s">
        <v>14</v>
      </c>
      <c r="K99" s="26" t="s">
        <v>396</v>
      </c>
      <c r="L99" s="23" t="s">
        <v>13</v>
      </c>
      <c r="M99" s="25" t="s">
        <v>18</v>
      </c>
      <c r="N99" s="23" t="s">
        <v>40</v>
      </c>
      <c r="O99" s="23" t="s">
        <v>387</v>
      </c>
      <c r="P99" s="23" t="s">
        <v>40</v>
      </c>
      <c r="Q99" s="23" t="s">
        <v>40</v>
      </c>
      <c r="R99" s="23" t="s">
        <v>192</v>
      </c>
      <c r="S99" s="23" t="s">
        <v>1710</v>
      </c>
      <c r="T99" s="23" t="s">
        <v>40</v>
      </c>
    </row>
    <row r="100" spans="1:20" x14ac:dyDescent="0.25">
      <c r="A100" s="23" t="s">
        <v>7118</v>
      </c>
      <c r="B100" s="23" t="s">
        <v>191</v>
      </c>
      <c r="C100" s="23" t="s">
        <v>7112</v>
      </c>
      <c r="D100" s="23" t="s">
        <v>7119</v>
      </c>
      <c r="E100" s="23" t="s">
        <v>7120</v>
      </c>
      <c r="F100" s="23" t="s">
        <v>40</v>
      </c>
      <c r="G100" s="23" t="s">
        <v>7121</v>
      </c>
      <c r="H100" s="23" t="s">
        <v>7122</v>
      </c>
      <c r="I100" s="23" t="s">
        <v>7123</v>
      </c>
      <c r="J100" s="23" t="s">
        <v>15</v>
      </c>
      <c r="K100" s="24" t="s">
        <v>386</v>
      </c>
      <c r="L100" s="23" t="s">
        <v>13</v>
      </c>
      <c r="M100" s="25" t="s">
        <v>18</v>
      </c>
      <c r="N100" s="23" t="s">
        <v>40</v>
      </c>
      <c r="O100" s="23" t="s">
        <v>387</v>
      </c>
      <c r="P100" s="23" t="s">
        <v>40</v>
      </c>
      <c r="Q100" s="23" t="s">
        <v>40</v>
      </c>
      <c r="R100" s="23" t="s">
        <v>192</v>
      </c>
      <c r="S100" s="23" t="s">
        <v>1710</v>
      </c>
      <c r="T100" s="23" t="s">
        <v>7124</v>
      </c>
    </row>
    <row r="101" spans="1:20" x14ac:dyDescent="0.25">
      <c r="A101" s="23" t="s">
        <v>7125</v>
      </c>
      <c r="B101" s="23" t="s">
        <v>191</v>
      </c>
      <c r="C101" s="23" t="s">
        <v>7126</v>
      </c>
      <c r="D101" s="23" t="s">
        <v>7127</v>
      </c>
      <c r="E101" s="23" t="s">
        <v>7128</v>
      </c>
      <c r="F101" s="23" t="s">
        <v>40</v>
      </c>
      <c r="G101" s="23" t="s">
        <v>7129</v>
      </c>
      <c r="H101" s="23" t="s">
        <v>7130</v>
      </c>
      <c r="I101" s="23" t="s">
        <v>7131</v>
      </c>
      <c r="J101" s="23" t="s">
        <v>14</v>
      </c>
      <c r="K101" s="26" t="s">
        <v>396</v>
      </c>
      <c r="L101" s="23" t="s">
        <v>13</v>
      </c>
      <c r="M101" s="25" t="s">
        <v>18</v>
      </c>
      <c r="N101" s="23" t="s">
        <v>40</v>
      </c>
      <c r="O101" s="23" t="s">
        <v>387</v>
      </c>
      <c r="P101" s="23" t="s">
        <v>40</v>
      </c>
      <c r="Q101" s="23" t="s">
        <v>40</v>
      </c>
      <c r="R101" s="23" t="s">
        <v>192</v>
      </c>
      <c r="S101" s="23" t="s">
        <v>1710</v>
      </c>
      <c r="T101" s="23" t="s">
        <v>40</v>
      </c>
    </row>
    <row r="102" spans="1:20" x14ac:dyDescent="0.25">
      <c r="A102" s="23" t="s">
        <v>7132</v>
      </c>
      <c r="B102" s="23" t="s">
        <v>191</v>
      </c>
      <c r="C102" s="23" t="s">
        <v>2651</v>
      </c>
      <c r="D102" s="23" t="s">
        <v>7133</v>
      </c>
      <c r="E102" s="23" t="s">
        <v>7134</v>
      </c>
      <c r="F102" s="23" t="s">
        <v>40</v>
      </c>
      <c r="G102" s="23" t="s">
        <v>7135</v>
      </c>
      <c r="H102" s="23" t="s">
        <v>7136</v>
      </c>
      <c r="I102" s="23" t="s">
        <v>7137</v>
      </c>
      <c r="J102" s="23" t="s">
        <v>14</v>
      </c>
      <c r="K102" s="26" t="s">
        <v>396</v>
      </c>
      <c r="L102" s="23" t="s">
        <v>13</v>
      </c>
      <c r="M102" s="25" t="s">
        <v>18</v>
      </c>
      <c r="N102" s="23" t="s">
        <v>40</v>
      </c>
      <c r="O102" s="23" t="s">
        <v>387</v>
      </c>
      <c r="P102" s="23" t="s">
        <v>40</v>
      </c>
      <c r="Q102" s="23" t="s">
        <v>40</v>
      </c>
      <c r="R102" s="23" t="s">
        <v>192</v>
      </c>
      <c r="S102" s="23" t="s">
        <v>1710</v>
      </c>
      <c r="T102" s="23" t="s">
        <v>40</v>
      </c>
    </row>
    <row r="103" spans="1:20" x14ac:dyDescent="0.25">
      <c r="A103" s="23" t="s">
        <v>7138</v>
      </c>
      <c r="B103" s="23" t="s">
        <v>191</v>
      </c>
      <c r="C103" s="23" t="s">
        <v>2651</v>
      </c>
      <c r="D103" s="23" t="s">
        <v>7139</v>
      </c>
      <c r="E103" s="23" t="s">
        <v>7140</v>
      </c>
      <c r="F103" s="23" t="s">
        <v>40</v>
      </c>
      <c r="G103" s="23" t="s">
        <v>7141</v>
      </c>
      <c r="H103" s="23" t="s">
        <v>7142</v>
      </c>
      <c r="I103" s="23" t="s">
        <v>7143</v>
      </c>
      <c r="J103" s="23" t="s">
        <v>15</v>
      </c>
      <c r="K103" s="24" t="s">
        <v>386</v>
      </c>
      <c r="L103" s="23" t="s">
        <v>13</v>
      </c>
      <c r="M103" s="25" t="s">
        <v>18</v>
      </c>
      <c r="N103" s="23" t="s">
        <v>40</v>
      </c>
      <c r="O103" s="23" t="s">
        <v>387</v>
      </c>
      <c r="P103" s="23" t="s">
        <v>40</v>
      </c>
      <c r="Q103" s="23" t="s">
        <v>40</v>
      </c>
      <c r="R103" s="23" t="s">
        <v>192</v>
      </c>
      <c r="S103" s="23" t="s">
        <v>1710</v>
      </c>
      <c r="T103" s="23" t="s">
        <v>7144</v>
      </c>
    </row>
    <row r="104" spans="1:20" x14ac:dyDescent="0.25">
      <c r="A104" s="23" t="s">
        <v>7145</v>
      </c>
      <c r="B104" s="23" t="s">
        <v>191</v>
      </c>
      <c r="C104" s="23" t="s">
        <v>7146</v>
      </c>
      <c r="D104" s="23" t="s">
        <v>7147</v>
      </c>
      <c r="E104" s="23" t="s">
        <v>7148</v>
      </c>
      <c r="F104" s="23" t="s">
        <v>40</v>
      </c>
      <c r="G104" s="23" t="s">
        <v>7149</v>
      </c>
      <c r="H104" s="23" t="s">
        <v>7150</v>
      </c>
      <c r="I104" s="23" t="s">
        <v>7151</v>
      </c>
      <c r="J104" s="23" t="s">
        <v>14</v>
      </c>
      <c r="K104" s="26" t="s">
        <v>396</v>
      </c>
      <c r="L104" s="23" t="s">
        <v>13</v>
      </c>
      <c r="M104" s="25" t="s">
        <v>18</v>
      </c>
      <c r="N104" s="23" t="s">
        <v>40</v>
      </c>
      <c r="O104" s="23" t="s">
        <v>387</v>
      </c>
      <c r="P104" s="23" t="s">
        <v>40</v>
      </c>
      <c r="Q104" s="23" t="s">
        <v>40</v>
      </c>
      <c r="R104" s="23" t="s">
        <v>192</v>
      </c>
      <c r="S104" s="23" t="s">
        <v>1710</v>
      </c>
      <c r="T104" s="23" t="s">
        <v>7124</v>
      </c>
    </row>
    <row r="105" spans="1:20" x14ac:dyDescent="0.25">
      <c r="A105" s="23" t="s">
        <v>7152</v>
      </c>
      <c r="B105" s="23" t="s">
        <v>191</v>
      </c>
      <c r="C105" s="23" t="s">
        <v>7146</v>
      </c>
      <c r="D105" s="23" t="s">
        <v>7153</v>
      </c>
      <c r="E105" s="23" t="s">
        <v>7154</v>
      </c>
      <c r="F105" s="23" t="s">
        <v>40</v>
      </c>
      <c r="G105" s="23" t="s">
        <v>7155</v>
      </c>
      <c r="H105" s="23" t="s">
        <v>7156</v>
      </c>
      <c r="I105" s="23" t="s">
        <v>7157</v>
      </c>
      <c r="J105" s="23" t="s">
        <v>15</v>
      </c>
      <c r="K105" s="27" t="s">
        <v>404</v>
      </c>
      <c r="L105" s="23" t="s">
        <v>405</v>
      </c>
      <c r="M105" s="25" t="s">
        <v>18</v>
      </c>
      <c r="N105" s="23" t="s">
        <v>40</v>
      </c>
      <c r="O105" s="23" t="s">
        <v>387</v>
      </c>
      <c r="P105" s="23" t="s">
        <v>40</v>
      </c>
      <c r="Q105" s="23" t="s">
        <v>40</v>
      </c>
      <c r="R105" s="23" t="s">
        <v>192</v>
      </c>
      <c r="S105" s="23" t="s">
        <v>1710</v>
      </c>
      <c r="T105" s="23" t="s">
        <v>7124</v>
      </c>
    </row>
    <row r="106" spans="1:20" x14ac:dyDescent="0.25">
      <c r="A106" s="23" t="s">
        <v>7158</v>
      </c>
      <c r="B106" s="23" t="s">
        <v>191</v>
      </c>
      <c r="C106" s="23" t="s">
        <v>7146</v>
      </c>
      <c r="D106" s="23" t="s">
        <v>7159</v>
      </c>
      <c r="E106" s="23" t="s">
        <v>7160</v>
      </c>
      <c r="F106" s="23" t="s">
        <v>40</v>
      </c>
      <c r="G106" s="23" t="s">
        <v>7161</v>
      </c>
      <c r="H106" s="23" t="s">
        <v>7162</v>
      </c>
      <c r="I106" s="23" t="s">
        <v>7163</v>
      </c>
      <c r="J106" s="23" t="s">
        <v>15</v>
      </c>
      <c r="K106" s="27" t="s">
        <v>404</v>
      </c>
      <c r="L106" s="23" t="s">
        <v>405</v>
      </c>
      <c r="M106" s="25" t="s">
        <v>18</v>
      </c>
      <c r="N106" s="23" t="s">
        <v>40</v>
      </c>
      <c r="O106" s="23" t="s">
        <v>387</v>
      </c>
      <c r="P106" s="23" t="s">
        <v>40</v>
      </c>
      <c r="Q106" s="23" t="s">
        <v>40</v>
      </c>
      <c r="R106" s="23" t="s">
        <v>192</v>
      </c>
      <c r="S106" s="23" t="s">
        <v>1710</v>
      </c>
      <c r="T106" s="23" t="s">
        <v>40</v>
      </c>
    </row>
    <row r="107" spans="1:20" x14ac:dyDescent="0.25">
      <c r="A107" s="23" t="s">
        <v>7164</v>
      </c>
      <c r="B107" s="23" t="s">
        <v>191</v>
      </c>
      <c r="C107" s="23" t="s">
        <v>7146</v>
      </c>
      <c r="D107" s="23" t="s">
        <v>7165</v>
      </c>
      <c r="E107" s="23" t="s">
        <v>7166</v>
      </c>
      <c r="F107" s="23" t="s">
        <v>40</v>
      </c>
      <c r="G107" s="23" t="s">
        <v>7167</v>
      </c>
      <c r="H107" s="23" t="s">
        <v>7168</v>
      </c>
      <c r="I107" s="23" t="s">
        <v>7169</v>
      </c>
      <c r="J107" s="23" t="s">
        <v>801</v>
      </c>
      <c r="K107" s="26" t="s">
        <v>396</v>
      </c>
      <c r="L107" s="23" t="s">
        <v>13</v>
      </c>
      <c r="M107" s="25" t="s">
        <v>18</v>
      </c>
      <c r="N107" s="23" t="s">
        <v>40</v>
      </c>
      <c r="O107" s="23" t="s">
        <v>387</v>
      </c>
      <c r="P107" s="23" t="s">
        <v>40</v>
      </c>
      <c r="Q107" s="23" t="s">
        <v>40</v>
      </c>
      <c r="R107" s="23" t="s">
        <v>192</v>
      </c>
      <c r="S107" s="23" t="s">
        <v>1710</v>
      </c>
      <c r="T107" s="23" t="s">
        <v>7124</v>
      </c>
    </row>
    <row r="108" spans="1:20" x14ac:dyDescent="0.25">
      <c r="A108" s="23" t="s">
        <v>7170</v>
      </c>
      <c r="B108" s="23" t="s">
        <v>191</v>
      </c>
      <c r="C108" s="23" t="s">
        <v>7146</v>
      </c>
      <c r="D108" s="23" t="s">
        <v>7171</v>
      </c>
      <c r="E108" s="23" t="s">
        <v>7172</v>
      </c>
      <c r="F108" s="23" t="s">
        <v>40</v>
      </c>
      <c r="G108" s="23" t="s">
        <v>7173</v>
      </c>
      <c r="H108" s="23" t="s">
        <v>7174</v>
      </c>
      <c r="I108" s="23" t="s">
        <v>7175</v>
      </c>
      <c r="J108" s="23" t="s">
        <v>801</v>
      </c>
      <c r="K108" s="26" t="s">
        <v>396</v>
      </c>
      <c r="L108" s="23" t="s">
        <v>13</v>
      </c>
      <c r="M108" s="25" t="s">
        <v>18</v>
      </c>
      <c r="N108" s="23" t="s">
        <v>40</v>
      </c>
      <c r="O108" s="23" t="s">
        <v>387</v>
      </c>
      <c r="P108" s="23" t="s">
        <v>40</v>
      </c>
      <c r="Q108" s="23" t="s">
        <v>40</v>
      </c>
      <c r="R108" s="23" t="s">
        <v>192</v>
      </c>
      <c r="S108" s="23" t="s">
        <v>1710</v>
      </c>
      <c r="T108" s="23" t="s">
        <v>7176</v>
      </c>
    </row>
    <row r="109" spans="1:20" x14ac:dyDescent="0.25">
      <c r="A109" s="23" t="s">
        <v>7177</v>
      </c>
      <c r="B109" s="23" t="s">
        <v>191</v>
      </c>
      <c r="C109" s="23" t="s">
        <v>7178</v>
      </c>
      <c r="D109" s="23" t="s">
        <v>7179</v>
      </c>
      <c r="E109" s="23" t="s">
        <v>7160</v>
      </c>
      <c r="F109" s="23" t="s">
        <v>40</v>
      </c>
      <c r="G109" s="23" t="s">
        <v>7180</v>
      </c>
      <c r="H109" s="23" t="s">
        <v>7181</v>
      </c>
      <c r="I109" s="23" t="s">
        <v>7182</v>
      </c>
      <c r="J109" s="23" t="s">
        <v>801</v>
      </c>
      <c r="K109" s="26" t="s">
        <v>396</v>
      </c>
      <c r="L109" s="23" t="s">
        <v>13</v>
      </c>
      <c r="M109" s="25" t="s">
        <v>18</v>
      </c>
      <c r="N109" s="23" t="s">
        <v>40</v>
      </c>
      <c r="O109" s="23" t="s">
        <v>387</v>
      </c>
      <c r="P109" s="23" t="s">
        <v>40</v>
      </c>
      <c r="Q109" s="23" t="s">
        <v>40</v>
      </c>
      <c r="R109" s="23" t="s">
        <v>192</v>
      </c>
      <c r="S109" s="23" t="s">
        <v>1710</v>
      </c>
      <c r="T109" s="23" t="s">
        <v>40</v>
      </c>
    </row>
    <row r="110" spans="1:20" x14ac:dyDescent="0.25">
      <c r="A110" s="23" t="s">
        <v>7183</v>
      </c>
      <c r="B110" s="23" t="s">
        <v>191</v>
      </c>
      <c r="C110" s="23" t="s">
        <v>951</v>
      </c>
      <c r="D110" s="23" t="s">
        <v>7184</v>
      </c>
      <c r="E110" s="23" t="s">
        <v>3835</v>
      </c>
      <c r="F110" s="23" t="s">
        <v>7185</v>
      </c>
      <c r="G110" s="23" t="s">
        <v>7186</v>
      </c>
      <c r="H110" s="23" t="s">
        <v>7187</v>
      </c>
      <c r="I110" s="23" t="s">
        <v>7188</v>
      </c>
      <c r="J110" s="23" t="s">
        <v>385</v>
      </c>
      <c r="K110" s="32" t="s">
        <v>747</v>
      </c>
      <c r="L110" s="23" t="s">
        <v>490</v>
      </c>
      <c r="M110" s="25" t="s">
        <v>18</v>
      </c>
      <c r="N110" s="23" t="s">
        <v>40</v>
      </c>
      <c r="O110" s="23" t="s">
        <v>387</v>
      </c>
      <c r="P110" s="23" t="s">
        <v>40</v>
      </c>
      <c r="Q110" s="23" t="s">
        <v>40</v>
      </c>
      <c r="R110" s="23" t="s">
        <v>192</v>
      </c>
      <c r="S110" s="23" t="s">
        <v>1710</v>
      </c>
      <c r="T110" s="23" t="s">
        <v>40</v>
      </c>
    </row>
    <row r="111" spans="1:20" x14ac:dyDescent="0.25">
      <c r="A111" s="23" t="s">
        <v>7189</v>
      </c>
      <c r="B111" s="23" t="s">
        <v>191</v>
      </c>
      <c r="C111" s="23" t="s">
        <v>951</v>
      </c>
      <c r="D111" s="23" t="s">
        <v>7190</v>
      </c>
      <c r="E111" s="23" t="s">
        <v>3835</v>
      </c>
      <c r="F111" s="23" t="s">
        <v>40</v>
      </c>
      <c r="G111" s="23" t="s">
        <v>7191</v>
      </c>
      <c r="H111" s="23" t="s">
        <v>7192</v>
      </c>
      <c r="I111" s="23" t="s">
        <v>7193</v>
      </c>
      <c r="J111" s="23" t="s">
        <v>385</v>
      </c>
      <c r="K111" s="32" t="s">
        <v>747</v>
      </c>
      <c r="L111" s="23" t="s">
        <v>490</v>
      </c>
      <c r="M111" s="25" t="s">
        <v>18</v>
      </c>
      <c r="N111" s="23" t="s">
        <v>40</v>
      </c>
      <c r="O111" s="23" t="s">
        <v>387</v>
      </c>
      <c r="P111" s="23" t="s">
        <v>40</v>
      </c>
      <c r="Q111" s="23" t="s">
        <v>40</v>
      </c>
      <c r="R111" s="23" t="s">
        <v>192</v>
      </c>
      <c r="S111" s="23" t="s">
        <v>1710</v>
      </c>
      <c r="T111" s="23" t="s">
        <v>40</v>
      </c>
    </row>
    <row r="112" spans="1:20" x14ac:dyDescent="0.25">
      <c r="A112" s="23" t="s">
        <v>7194</v>
      </c>
      <c r="B112" s="23" t="s">
        <v>191</v>
      </c>
      <c r="C112" s="23" t="s">
        <v>6700</v>
      </c>
      <c r="D112" s="23" t="s">
        <v>7195</v>
      </c>
      <c r="E112" s="23" t="s">
        <v>7196</v>
      </c>
      <c r="F112" s="23" t="s">
        <v>40</v>
      </c>
      <c r="G112" s="23" t="s">
        <v>7197</v>
      </c>
      <c r="H112" s="23" t="s">
        <v>7198</v>
      </c>
      <c r="I112" s="23" t="s">
        <v>7199</v>
      </c>
      <c r="J112" s="23" t="s">
        <v>525</v>
      </c>
      <c r="K112" s="24" t="s">
        <v>386</v>
      </c>
      <c r="L112" s="23" t="s">
        <v>13</v>
      </c>
      <c r="M112" s="25" t="s">
        <v>18</v>
      </c>
      <c r="N112" s="23" t="s">
        <v>40</v>
      </c>
      <c r="O112" s="23" t="s">
        <v>387</v>
      </c>
      <c r="P112" s="23" t="s">
        <v>40</v>
      </c>
      <c r="Q112" s="23" t="s">
        <v>40</v>
      </c>
      <c r="R112" s="23" t="s">
        <v>192</v>
      </c>
      <c r="S112" s="23" t="s">
        <v>1710</v>
      </c>
      <c r="T112" s="23" t="s">
        <v>40</v>
      </c>
    </row>
    <row r="113" spans="1:20" x14ac:dyDescent="0.25">
      <c r="A113" s="23" t="s">
        <v>7200</v>
      </c>
      <c r="B113" s="23" t="s">
        <v>193</v>
      </c>
      <c r="C113" s="23" t="s">
        <v>944</v>
      </c>
      <c r="D113" s="23" t="s">
        <v>7201</v>
      </c>
      <c r="E113" s="23" t="s">
        <v>3835</v>
      </c>
      <c r="F113" s="23" t="s">
        <v>7202</v>
      </c>
      <c r="G113" s="23" t="s">
        <v>7203</v>
      </c>
      <c r="H113" s="23" t="s">
        <v>7204</v>
      </c>
      <c r="I113" s="23" t="s">
        <v>7205</v>
      </c>
      <c r="J113" s="23" t="s">
        <v>385</v>
      </c>
      <c r="K113" s="24" t="s">
        <v>386</v>
      </c>
      <c r="L113" s="23" t="s">
        <v>13</v>
      </c>
      <c r="M113" s="31" t="s">
        <v>17</v>
      </c>
      <c r="N113" s="23" t="s">
        <v>7206</v>
      </c>
      <c r="O113" s="29" t="s">
        <v>87</v>
      </c>
      <c r="P113" s="23" t="s">
        <v>40</v>
      </c>
      <c r="Q113" s="23" t="s">
        <v>40</v>
      </c>
      <c r="R113" s="23" t="s">
        <v>194</v>
      </c>
      <c r="S113" s="23" t="s">
        <v>40</v>
      </c>
      <c r="T113" s="23" t="s">
        <v>40</v>
      </c>
    </row>
    <row r="114" spans="1:20" x14ac:dyDescent="0.25">
      <c r="A114" s="23" t="s">
        <v>7207</v>
      </c>
      <c r="B114" s="23" t="s">
        <v>193</v>
      </c>
      <c r="C114" s="23" t="s">
        <v>2327</v>
      </c>
      <c r="D114" s="23" t="s">
        <v>7208</v>
      </c>
      <c r="E114" s="23" t="s">
        <v>3835</v>
      </c>
      <c r="F114" s="23" t="s">
        <v>7209</v>
      </c>
      <c r="G114" s="23" t="s">
        <v>7210</v>
      </c>
      <c r="H114" s="23" t="s">
        <v>7211</v>
      </c>
      <c r="I114" s="23" t="s">
        <v>7212</v>
      </c>
      <c r="J114" s="23" t="s">
        <v>14</v>
      </c>
      <c r="K114" s="26" t="s">
        <v>396</v>
      </c>
      <c r="L114" s="23" t="s">
        <v>13</v>
      </c>
      <c r="M114" s="25" t="s">
        <v>18</v>
      </c>
      <c r="N114" s="23" t="s">
        <v>40</v>
      </c>
      <c r="O114" s="23" t="s">
        <v>387</v>
      </c>
      <c r="P114" s="23" t="s">
        <v>40</v>
      </c>
      <c r="Q114" s="23" t="s">
        <v>40</v>
      </c>
      <c r="R114" s="23" t="s">
        <v>194</v>
      </c>
      <c r="S114" s="23" t="s">
        <v>1710</v>
      </c>
      <c r="T114" s="23" t="s">
        <v>40</v>
      </c>
    </row>
    <row r="115" spans="1:20" x14ac:dyDescent="0.25">
      <c r="A115" s="23" t="s">
        <v>7213</v>
      </c>
      <c r="B115" s="23" t="s">
        <v>193</v>
      </c>
      <c r="C115" s="23" t="s">
        <v>2327</v>
      </c>
      <c r="D115" s="23" t="s">
        <v>7214</v>
      </c>
      <c r="E115" s="23" t="s">
        <v>3835</v>
      </c>
      <c r="F115" s="23" t="s">
        <v>7185</v>
      </c>
      <c r="G115" s="23" t="s">
        <v>7215</v>
      </c>
      <c r="H115" s="23" t="s">
        <v>7216</v>
      </c>
      <c r="I115" s="23" t="s">
        <v>7217</v>
      </c>
      <c r="J115" s="23" t="s">
        <v>14</v>
      </c>
      <c r="K115" s="24" t="s">
        <v>386</v>
      </c>
      <c r="L115" s="23" t="s">
        <v>405</v>
      </c>
      <c r="M115" s="25" t="s">
        <v>18</v>
      </c>
      <c r="N115" s="23" t="s">
        <v>40</v>
      </c>
      <c r="O115" s="23" t="s">
        <v>387</v>
      </c>
      <c r="P115" s="23" t="s">
        <v>40</v>
      </c>
      <c r="Q115" s="23" t="s">
        <v>40</v>
      </c>
      <c r="R115" s="23" t="s">
        <v>194</v>
      </c>
      <c r="S115" s="23" t="s">
        <v>1710</v>
      </c>
      <c r="T115" s="23" t="s">
        <v>40</v>
      </c>
    </row>
    <row r="116" spans="1:20" x14ac:dyDescent="0.25">
      <c r="A116" s="23" t="s">
        <v>7218</v>
      </c>
      <c r="B116" s="23" t="s">
        <v>193</v>
      </c>
      <c r="C116" s="23" t="s">
        <v>2327</v>
      </c>
      <c r="D116" s="23" t="s">
        <v>7219</v>
      </c>
      <c r="E116" s="23" t="s">
        <v>3835</v>
      </c>
      <c r="F116" s="23" t="s">
        <v>7220</v>
      </c>
      <c r="G116" s="23" t="s">
        <v>7221</v>
      </c>
      <c r="H116" s="23" t="s">
        <v>7222</v>
      </c>
      <c r="I116" s="23" t="s">
        <v>7223</v>
      </c>
      <c r="J116" s="23" t="s">
        <v>14</v>
      </c>
      <c r="K116" s="27" t="s">
        <v>404</v>
      </c>
      <c r="L116" s="23" t="s">
        <v>490</v>
      </c>
      <c r="M116" s="25" t="s">
        <v>18</v>
      </c>
      <c r="N116" s="23" t="s">
        <v>40</v>
      </c>
      <c r="O116" s="23" t="s">
        <v>387</v>
      </c>
      <c r="P116" s="23" t="s">
        <v>40</v>
      </c>
      <c r="Q116" s="23" t="s">
        <v>40</v>
      </c>
      <c r="R116" s="23" t="s">
        <v>194</v>
      </c>
      <c r="S116" s="23" t="s">
        <v>1710</v>
      </c>
      <c r="T116" s="23" t="s">
        <v>40</v>
      </c>
    </row>
    <row r="117" spans="1:20" x14ac:dyDescent="0.25">
      <c r="A117" s="23" t="s">
        <v>7224</v>
      </c>
      <c r="B117" s="23" t="s">
        <v>193</v>
      </c>
      <c r="C117" s="23" t="s">
        <v>2327</v>
      </c>
      <c r="D117" s="23" t="s">
        <v>7225</v>
      </c>
      <c r="E117" s="23" t="s">
        <v>3835</v>
      </c>
      <c r="F117" s="23" t="s">
        <v>7226</v>
      </c>
      <c r="G117" s="23" t="s">
        <v>7227</v>
      </c>
      <c r="H117" s="23" t="s">
        <v>7228</v>
      </c>
      <c r="I117" s="23" t="s">
        <v>7229</v>
      </c>
      <c r="J117" s="23" t="s">
        <v>14</v>
      </c>
      <c r="K117" s="24" t="s">
        <v>386</v>
      </c>
      <c r="L117" s="23" t="s">
        <v>405</v>
      </c>
      <c r="M117" s="25" t="s">
        <v>18</v>
      </c>
      <c r="N117" s="23" t="s">
        <v>40</v>
      </c>
      <c r="O117" s="23" t="s">
        <v>387</v>
      </c>
      <c r="P117" s="23" t="s">
        <v>40</v>
      </c>
      <c r="Q117" s="23" t="s">
        <v>40</v>
      </c>
      <c r="R117" s="23" t="s">
        <v>194</v>
      </c>
      <c r="S117" s="23" t="s">
        <v>1710</v>
      </c>
      <c r="T117" s="23" t="s">
        <v>40</v>
      </c>
    </row>
    <row r="118" spans="1:20" x14ac:dyDescent="0.25">
      <c r="A118" s="23" t="s">
        <v>7230</v>
      </c>
      <c r="B118" s="23" t="s">
        <v>193</v>
      </c>
      <c r="C118" s="23" t="s">
        <v>2327</v>
      </c>
      <c r="D118" s="23" t="s">
        <v>7231</v>
      </c>
      <c r="E118" s="23" t="s">
        <v>3835</v>
      </c>
      <c r="F118" s="23" t="s">
        <v>7232</v>
      </c>
      <c r="G118" s="23" t="s">
        <v>7233</v>
      </c>
      <c r="H118" s="23" t="s">
        <v>7234</v>
      </c>
      <c r="I118" s="23" t="s">
        <v>7235</v>
      </c>
      <c r="J118" s="23" t="s">
        <v>385</v>
      </c>
      <c r="K118" s="27" t="s">
        <v>404</v>
      </c>
      <c r="L118" s="23" t="s">
        <v>405</v>
      </c>
      <c r="M118" s="25" t="s">
        <v>18</v>
      </c>
      <c r="N118" s="23" t="s">
        <v>40</v>
      </c>
      <c r="O118" s="23" t="s">
        <v>387</v>
      </c>
      <c r="P118" s="23" t="s">
        <v>40</v>
      </c>
      <c r="Q118" s="23" t="s">
        <v>40</v>
      </c>
      <c r="R118" s="23" t="s">
        <v>194</v>
      </c>
      <c r="S118" s="23" t="s">
        <v>1710</v>
      </c>
      <c r="T118" s="23" t="s">
        <v>40</v>
      </c>
    </row>
    <row r="119" spans="1:20" x14ac:dyDescent="0.25">
      <c r="A119" s="23" t="s">
        <v>7236</v>
      </c>
      <c r="B119" s="23" t="s">
        <v>193</v>
      </c>
      <c r="C119" s="23" t="s">
        <v>466</v>
      </c>
      <c r="D119" s="23" t="s">
        <v>7237</v>
      </c>
      <c r="E119" s="23" t="s">
        <v>3835</v>
      </c>
      <c r="F119" s="23" t="s">
        <v>40</v>
      </c>
      <c r="G119" s="23" t="s">
        <v>7238</v>
      </c>
      <c r="H119" s="23" t="s">
        <v>7239</v>
      </c>
      <c r="I119" s="23" t="s">
        <v>7240</v>
      </c>
      <c r="J119" s="23" t="s">
        <v>466</v>
      </c>
      <c r="K119" s="27" t="s">
        <v>404</v>
      </c>
      <c r="L119" s="23" t="s">
        <v>405</v>
      </c>
      <c r="M119" s="25" t="s">
        <v>18</v>
      </c>
      <c r="N119" s="23" t="s">
        <v>40</v>
      </c>
      <c r="O119" s="23" t="s">
        <v>387</v>
      </c>
      <c r="P119" s="23" t="s">
        <v>40</v>
      </c>
      <c r="Q119" s="23" t="s">
        <v>40</v>
      </c>
      <c r="R119" s="23" t="s">
        <v>194</v>
      </c>
      <c r="S119" s="23" t="s">
        <v>1710</v>
      </c>
      <c r="T119" s="23" t="s">
        <v>40</v>
      </c>
    </row>
    <row r="120" spans="1:20" x14ac:dyDescent="0.25">
      <c r="A120" s="23" t="s">
        <v>7241</v>
      </c>
      <c r="B120" s="23" t="s">
        <v>193</v>
      </c>
      <c r="C120" s="23" t="s">
        <v>466</v>
      </c>
      <c r="D120" s="23" t="s">
        <v>7242</v>
      </c>
      <c r="E120" s="23" t="s">
        <v>3835</v>
      </c>
      <c r="F120" s="23" t="s">
        <v>40</v>
      </c>
      <c r="G120" s="23" t="s">
        <v>7243</v>
      </c>
      <c r="H120" s="23" t="s">
        <v>7244</v>
      </c>
      <c r="I120" s="23" t="s">
        <v>7245</v>
      </c>
      <c r="J120" s="23" t="s">
        <v>466</v>
      </c>
      <c r="K120" s="27" t="s">
        <v>404</v>
      </c>
      <c r="L120" s="23" t="s">
        <v>405</v>
      </c>
      <c r="M120" s="25" t="s">
        <v>18</v>
      </c>
      <c r="N120" s="23" t="s">
        <v>40</v>
      </c>
      <c r="O120" s="23" t="s">
        <v>387</v>
      </c>
      <c r="P120" s="23" t="s">
        <v>40</v>
      </c>
      <c r="Q120" s="23" t="s">
        <v>40</v>
      </c>
      <c r="R120" s="23" t="s">
        <v>194</v>
      </c>
      <c r="S120" s="23" t="s">
        <v>1710</v>
      </c>
      <c r="T120" s="23" t="s">
        <v>40</v>
      </c>
    </row>
    <row r="121" spans="1:20" x14ac:dyDescent="0.25">
      <c r="A121" s="23" t="s">
        <v>7246</v>
      </c>
      <c r="B121" s="23" t="s">
        <v>193</v>
      </c>
      <c r="C121" s="23" t="s">
        <v>466</v>
      </c>
      <c r="D121" s="23" t="s">
        <v>7247</v>
      </c>
      <c r="E121" s="23" t="s">
        <v>3835</v>
      </c>
      <c r="F121" s="23" t="s">
        <v>40</v>
      </c>
      <c r="G121" s="23" t="s">
        <v>7248</v>
      </c>
      <c r="H121" s="23" t="s">
        <v>7249</v>
      </c>
      <c r="I121" s="23" t="s">
        <v>7250</v>
      </c>
      <c r="J121" s="23" t="s">
        <v>466</v>
      </c>
      <c r="K121" s="27" t="s">
        <v>404</v>
      </c>
      <c r="L121" s="23" t="s">
        <v>405</v>
      </c>
      <c r="M121" s="25" t="s">
        <v>18</v>
      </c>
      <c r="N121" s="23" t="s">
        <v>40</v>
      </c>
      <c r="O121" s="23" t="s">
        <v>387</v>
      </c>
      <c r="P121" s="23" t="s">
        <v>40</v>
      </c>
      <c r="Q121" s="23" t="s">
        <v>40</v>
      </c>
      <c r="R121" s="23" t="s">
        <v>194</v>
      </c>
      <c r="S121" s="23" t="s">
        <v>1710</v>
      </c>
      <c r="T121" s="23" t="s">
        <v>40</v>
      </c>
    </row>
    <row r="122" spans="1:20" x14ac:dyDescent="0.25">
      <c r="A122" s="23" t="s">
        <v>7251</v>
      </c>
      <c r="B122" s="23" t="s">
        <v>193</v>
      </c>
      <c r="C122" s="23" t="s">
        <v>466</v>
      </c>
      <c r="D122" s="23" t="s">
        <v>7252</v>
      </c>
      <c r="E122" s="23" t="s">
        <v>3835</v>
      </c>
      <c r="F122" s="23" t="s">
        <v>7253</v>
      </c>
      <c r="G122" s="23" t="s">
        <v>7254</v>
      </c>
      <c r="H122" s="23" t="s">
        <v>7255</v>
      </c>
      <c r="I122" s="23" t="s">
        <v>7256</v>
      </c>
      <c r="J122" s="23" t="s">
        <v>489</v>
      </c>
      <c r="K122" s="27" t="s">
        <v>404</v>
      </c>
      <c r="L122" s="23" t="s">
        <v>405</v>
      </c>
      <c r="M122" s="25" t="s">
        <v>18</v>
      </c>
      <c r="N122" s="23" t="s">
        <v>40</v>
      </c>
      <c r="O122" s="23" t="s">
        <v>387</v>
      </c>
      <c r="P122" s="23" t="s">
        <v>40</v>
      </c>
      <c r="Q122" s="23" t="s">
        <v>40</v>
      </c>
      <c r="R122" s="23" t="s">
        <v>194</v>
      </c>
      <c r="S122" s="23" t="s">
        <v>1710</v>
      </c>
      <c r="T122" s="23" t="s">
        <v>7257</v>
      </c>
    </row>
    <row r="123" spans="1:20" x14ac:dyDescent="0.25">
      <c r="A123" s="23" t="s">
        <v>7258</v>
      </c>
      <c r="B123" s="23" t="s">
        <v>193</v>
      </c>
      <c r="C123" s="23" t="s">
        <v>466</v>
      </c>
      <c r="D123" s="23" t="s">
        <v>7259</v>
      </c>
      <c r="E123" s="23" t="s">
        <v>3835</v>
      </c>
      <c r="F123" s="23" t="s">
        <v>7260</v>
      </c>
      <c r="G123" s="23" t="s">
        <v>7261</v>
      </c>
      <c r="H123" s="23" t="s">
        <v>7262</v>
      </c>
      <c r="I123" s="23" t="s">
        <v>7263</v>
      </c>
      <c r="J123" s="23" t="s">
        <v>489</v>
      </c>
      <c r="K123" s="27" t="s">
        <v>404</v>
      </c>
      <c r="L123" s="23" t="s">
        <v>405</v>
      </c>
      <c r="M123" s="25" t="s">
        <v>18</v>
      </c>
      <c r="N123" s="23" t="s">
        <v>40</v>
      </c>
      <c r="O123" s="23" t="s">
        <v>387</v>
      </c>
      <c r="P123" s="23" t="s">
        <v>40</v>
      </c>
      <c r="Q123" s="23" t="s">
        <v>40</v>
      </c>
      <c r="R123" s="23" t="s">
        <v>194</v>
      </c>
      <c r="S123" s="23" t="s">
        <v>1710</v>
      </c>
      <c r="T123" s="23" t="s">
        <v>7257</v>
      </c>
    </row>
    <row r="124" spans="1:20" x14ac:dyDescent="0.25">
      <c r="A124" s="23" t="s">
        <v>7264</v>
      </c>
      <c r="B124" s="23" t="s">
        <v>193</v>
      </c>
      <c r="C124" s="23" t="s">
        <v>466</v>
      </c>
      <c r="D124" s="23" t="s">
        <v>7265</v>
      </c>
      <c r="E124" s="23" t="s">
        <v>3835</v>
      </c>
      <c r="F124" s="23" t="s">
        <v>40</v>
      </c>
      <c r="G124" s="23" t="s">
        <v>7266</v>
      </c>
      <c r="H124" s="23" t="s">
        <v>7267</v>
      </c>
      <c r="I124" s="23" t="s">
        <v>7268</v>
      </c>
      <c r="J124" s="23" t="s">
        <v>489</v>
      </c>
      <c r="K124" s="27" t="s">
        <v>404</v>
      </c>
      <c r="L124" s="23" t="s">
        <v>405</v>
      </c>
      <c r="M124" s="25" t="s">
        <v>18</v>
      </c>
      <c r="N124" s="23" t="s">
        <v>40</v>
      </c>
      <c r="O124" s="23" t="s">
        <v>387</v>
      </c>
      <c r="P124" s="23" t="s">
        <v>40</v>
      </c>
      <c r="Q124" s="23" t="s">
        <v>40</v>
      </c>
      <c r="R124" s="23" t="s">
        <v>194</v>
      </c>
      <c r="S124" s="23" t="s">
        <v>1710</v>
      </c>
      <c r="T124" s="23" t="s">
        <v>7257</v>
      </c>
    </row>
    <row r="125" spans="1:20" x14ac:dyDescent="0.25">
      <c r="A125" s="23" t="s">
        <v>7269</v>
      </c>
      <c r="B125" s="23" t="s">
        <v>193</v>
      </c>
      <c r="C125" s="23" t="s">
        <v>7270</v>
      </c>
      <c r="D125" s="23" t="s">
        <v>7271</v>
      </c>
      <c r="E125" s="23" t="s">
        <v>3835</v>
      </c>
      <c r="F125" s="23" t="s">
        <v>40</v>
      </c>
      <c r="G125" s="23" t="s">
        <v>7272</v>
      </c>
      <c r="H125" s="23" t="s">
        <v>7273</v>
      </c>
      <c r="I125" s="23" t="s">
        <v>7274</v>
      </c>
      <c r="J125" s="23" t="s">
        <v>385</v>
      </c>
      <c r="K125" s="32" t="s">
        <v>747</v>
      </c>
      <c r="L125" s="23" t="s">
        <v>490</v>
      </c>
      <c r="M125" s="25" t="s">
        <v>18</v>
      </c>
      <c r="N125" s="23" t="s">
        <v>40</v>
      </c>
      <c r="O125" s="23" t="s">
        <v>387</v>
      </c>
      <c r="P125" s="23" t="s">
        <v>40</v>
      </c>
      <c r="Q125" s="23" t="s">
        <v>40</v>
      </c>
      <c r="R125" s="23" t="s">
        <v>194</v>
      </c>
      <c r="S125" s="23" t="s">
        <v>1710</v>
      </c>
      <c r="T125" s="23" t="s">
        <v>40</v>
      </c>
    </row>
    <row r="126" spans="1:20" x14ac:dyDescent="0.25">
      <c r="A126" s="23" t="s">
        <v>7275</v>
      </c>
      <c r="B126" s="23" t="s">
        <v>193</v>
      </c>
      <c r="C126" s="23" t="s">
        <v>7270</v>
      </c>
      <c r="D126" s="23" t="s">
        <v>7276</v>
      </c>
      <c r="E126" s="23" t="s">
        <v>3835</v>
      </c>
      <c r="F126" s="23" t="s">
        <v>40</v>
      </c>
      <c r="G126" s="23" t="s">
        <v>7277</v>
      </c>
      <c r="H126" s="23" t="s">
        <v>7278</v>
      </c>
      <c r="I126" s="23" t="s">
        <v>7279</v>
      </c>
      <c r="J126" s="23" t="s">
        <v>14</v>
      </c>
      <c r="K126" s="27" t="s">
        <v>404</v>
      </c>
      <c r="L126" s="23" t="s">
        <v>490</v>
      </c>
      <c r="M126" s="25" t="s">
        <v>18</v>
      </c>
      <c r="N126" s="23" t="s">
        <v>40</v>
      </c>
      <c r="O126" s="23" t="s">
        <v>387</v>
      </c>
      <c r="P126" s="23" t="s">
        <v>40</v>
      </c>
      <c r="Q126" s="23" t="s">
        <v>40</v>
      </c>
      <c r="R126" s="23" t="s">
        <v>194</v>
      </c>
      <c r="S126" s="23" t="s">
        <v>1710</v>
      </c>
      <c r="T126" s="23" t="s">
        <v>40</v>
      </c>
    </row>
    <row r="127" spans="1:20" x14ac:dyDescent="0.25">
      <c r="A127" s="23" t="s">
        <v>7280</v>
      </c>
      <c r="B127" s="23" t="s">
        <v>193</v>
      </c>
      <c r="C127" s="23" t="s">
        <v>7270</v>
      </c>
      <c r="D127" s="23" t="s">
        <v>7281</v>
      </c>
      <c r="E127" s="23" t="s">
        <v>3835</v>
      </c>
      <c r="F127" s="23" t="s">
        <v>40</v>
      </c>
      <c r="G127" s="23" t="s">
        <v>7282</v>
      </c>
      <c r="H127" s="23" t="s">
        <v>7283</v>
      </c>
      <c r="I127" s="23" t="s">
        <v>7284</v>
      </c>
      <c r="J127" s="23" t="s">
        <v>14</v>
      </c>
      <c r="K127" s="24" t="s">
        <v>386</v>
      </c>
      <c r="L127" s="23" t="s">
        <v>405</v>
      </c>
      <c r="M127" s="25" t="s">
        <v>18</v>
      </c>
      <c r="N127" s="23" t="s">
        <v>40</v>
      </c>
      <c r="O127" s="23" t="s">
        <v>387</v>
      </c>
      <c r="P127" s="23" t="s">
        <v>40</v>
      </c>
      <c r="Q127" s="23" t="s">
        <v>40</v>
      </c>
      <c r="R127" s="23" t="s">
        <v>194</v>
      </c>
      <c r="S127" s="23" t="s">
        <v>1710</v>
      </c>
      <c r="T127" s="23" t="s">
        <v>40</v>
      </c>
    </row>
    <row r="128" spans="1:20" x14ac:dyDescent="0.25">
      <c r="A128" s="23" t="s">
        <v>7285</v>
      </c>
      <c r="B128" s="23" t="s">
        <v>193</v>
      </c>
      <c r="C128" s="23" t="s">
        <v>7270</v>
      </c>
      <c r="D128" s="23" t="s">
        <v>7286</v>
      </c>
      <c r="E128" s="23" t="s">
        <v>3835</v>
      </c>
      <c r="F128" s="23" t="s">
        <v>40</v>
      </c>
      <c r="G128" s="23" t="s">
        <v>7287</v>
      </c>
      <c r="H128" s="23" t="s">
        <v>7288</v>
      </c>
      <c r="I128" s="23" t="s">
        <v>7289</v>
      </c>
      <c r="J128" s="23" t="s">
        <v>14</v>
      </c>
      <c r="K128" s="27" t="s">
        <v>404</v>
      </c>
      <c r="L128" s="23" t="s">
        <v>490</v>
      </c>
      <c r="M128" s="25" t="s">
        <v>18</v>
      </c>
      <c r="N128" s="23" t="s">
        <v>40</v>
      </c>
      <c r="O128" s="23" t="s">
        <v>387</v>
      </c>
      <c r="P128" s="23" t="s">
        <v>40</v>
      </c>
      <c r="Q128" s="23" t="s">
        <v>40</v>
      </c>
      <c r="R128" s="23" t="s">
        <v>194</v>
      </c>
      <c r="S128" s="23" t="s">
        <v>1710</v>
      </c>
      <c r="T128" s="23" t="s">
        <v>40</v>
      </c>
    </row>
    <row r="129" spans="1:20" x14ac:dyDescent="0.25">
      <c r="A129" s="23" t="s">
        <v>7290</v>
      </c>
      <c r="B129" s="23" t="s">
        <v>193</v>
      </c>
      <c r="C129" s="23" t="s">
        <v>7291</v>
      </c>
      <c r="D129" s="23" t="s">
        <v>7292</v>
      </c>
      <c r="E129" s="23" t="s">
        <v>6953</v>
      </c>
      <c r="F129" s="23" t="s">
        <v>40</v>
      </c>
      <c r="G129" s="23" t="s">
        <v>7293</v>
      </c>
      <c r="H129" s="23" t="s">
        <v>7294</v>
      </c>
      <c r="I129" s="23" t="s">
        <v>7295</v>
      </c>
      <c r="J129" s="23" t="s">
        <v>801</v>
      </c>
      <c r="K129" s="24" t="s">
        <v>386</v>
      </c>
      <c r="L129" s="23" t="s">
        <v>405</v>
      </c>
      <c r="M129" s="25" t="s">
        <v>18</v>
      </c>
      <c r="N129" s="23" t="s">
        <v>40</v>
      </c>
      <c r="O129" s="23" t="s">
        <v>387</v>
      </c>
      <c r="P129" s="23" t="s">
        <v>40</v>
      </c>
      <c r="Q129" s="23" t="s">
        <v>40</v>
      </c>
      <c r="R129" s="23" t="s">
        <v>194</v>
      </c>
      <c r="S129" s="23" t="s">
        <v>1710</v>
      </c>
      <c r="T129" s="23" t="s">
        <v>7257</v>
      </c>
    </row>
    <row r="130" spans="1:20" x14ac:dyDescent="0.25">
      <c r="A130" s="23" t="s">
        <v>7296</v>
      </c>
      <c r="B130" s="23" t="s">
        <v>193</v>
      </c>
      <c r="C130" s="23" t="s">
        <v>6700</v>
      </c>
      <c r="D130" s="23" t="s">
        <v>7297</v>
      </c>
      <c r="E130" s="23" t="s">
        <v>6821</v>
      </c>
      <c r="F130" s="23" t="s">
        <v>40</v>
      </c>
      <c r="G130" s="23" t="s">
        <v>7298</v>
      </c>
      <c r="H130" s="23" t="s">
        <v>7299</v>
      </c>
      <c r="I130" s="23" t="s">
        <v>7013</v>
      </c>
      <c r="J130" s="23" t="s">
        <v>525</v>
      </c>
      <c r="K130" s="24" t="s">
        <v>386</v>
      </c>
      <c r="L130" s="23" t="s">
        <v>405</v>
      </c>
      <c r="M130" s="25" t="s">
        <v>18</v>
      </c>
      <c r="N130" s="23" t="s">
        <v>40</v>
      </c>
      <c r="O130" s="23" t="s">
        <v>387</v>
      </c>
      <c r="P130" s="23" t="s">
        <v>40</v>
      </c>
      <c r="Q130" s="23" t="s">
        <v>40</v>
      </c>
      <c r="R130" s="23" t="s">
        <v>194</v>
      </c>
      <c r="S130" s="23" t="s">
        <v>1710</v>
      </c>
      <c r="T130" s="23" t="s">
        <v>40</v>
      </c>
    </row>
    <row r="131" spans="1:20" x14ac:dyDescent="0.25">
      <c r="A131" s="23" t="s">
        <v>7300</v>
      </c>
      <c r="B131" s="23" t="s">
        <v>195</v>
      </c>
      <c r="C131" s="23" t="s">
        <v>944</v>
      </c>
      <c r="D131" s="23" t="s">
        <v>7301</v>
      </c>
      <c r="E131" s="23" t="s">
        <v>3835</v>
      </c>
      <c r="F131" s="23" t="s">
        <v>7302</v>
      </c>
      <c r="G131" s="23" t="s">
        <v>7303</v>
      </c>
      <c r="H131" s="23" t="s">
        <v>7304</v>
      </c>
      <c r="I131" s="23" t="s">
        <v>7305</v>
      </c>
      <c r="J131" s="23" t="s">
        <v>385</v>
      </c>
      <c r="K131" s="24" t="s">
        <v>386</v>
      </c>
      <c r="L131" s="23" t="s">
        <v>13</v>
      </c>
      <c r="M131" s="31" t="s">
        <v>17</v>
      </c>
      <c r="N131" s="23" t="s">
        <v>7306</v>
      </c>
      <c r="O131" s="29" t="s">
        <v>87</v>
      </c>
      <c r="P131" s="23" t="s">
        <v>40</v>
      </c>
      <c r="Q131" s="23" t="s">
        <v>40</v>
      </c>
      <c r="R131" s="23" t="s">
        <v>196</v>
      </c>
      <c r="S131" s="23" t="s">
        <v>40</v>
      </c>
      <c r="T131" s="23" t="s">
        <v>40</v>
      </c>
    </row>
    <row r="132" spans="1:20" x14ac:dyDescent="0.25">
      <c r="A132" s="23" t="s">
        <v>7307</v>
      </c>
      <c r="B132" s="23" t="s">
        <v>195</v>
      </c>
      <c r="C132" s="23" t="s">
        <v>2222</v>
      </c>
      <c r="D132" s="23" t="s">
        <v>7308</v>
      </c>
      <c r="E132" s="23" t="s">
        <v>7309</v>
      </c>
      <c r="F132" s="23" t="s">
        <v>7310</v>
      </c>
      <c r="G132" s="23" t="s">
        <v>7311</v>
      </c>
      <c r="H132" s="23" t="s">
        <v>7312</v>
      </c>
      <c r="I132" s="23" t="s">
        <v>7313</v>
      </c>
      <c r="J132" s="23" t="s">
        <v>14</v>
      </c>
      <c r="K132" s="24" t="s">
        <v>386</v>
      </c>
      <c r="L132" s="23" t="s">
        <v>405</v>
      </c>
      <c r="M132" s="25" t="s">
        <v>18</v>
      </c>
      <c r="N132" s="23" t="s">
        <v>40</v>
      </c>
      <c r="O132" s="23" t="s">
        <v>387</v>
      </c>
      <c r="P132" s="23" t="s">
        <v>40</v>
      </c>
      <c r="Q132" s="23" t="s">
        <v>40</v>
      </c>
      <c r="R132" s="23" t="s">
        <v>196</v>
      </c>
      <c r="S132" s="23" t="s">
        <v>7314</v>
      </c>
      <c r="T132" s="23" t="s">
        <v>40</v>
      </c>
    </row>
    <row r="133" spans="1:20" x14ac:dyDescent="0.25">
      <c r="A133" s="23" t="s">
        <v>7315</v>
      </c>
      <c r="B133" s="23" t="s">
        <v>195</v>
      </c>
      <c r="C133" s="23" t="s">
        <v>2222</v>
      </c>
      <c r="D133" s="23" t="s">
        <v>7316</v>
      </c>
      <c r="E133" s="23" t="s">
        <v>7317</v>
      </c>
      <c r="F133" s="23" t="s">
        <v>40</v>
      </c>
      <c r="G133" s="23" t="s">
        <v>7318</v>
      </c>
      <c r="H133" s="23" t="s">
        <v>7319</v>
      </c>
      <c r="I133" s="23" t="s">
        <v>7320</v>
      </c>
      <c r="J133" s="23" t="s">
        <v>15</v>
      </c>
      <c r="K133" s="27" t="s">
        <v>404</v>
      </c>
      <c r="L133" s="23" t="s">
        <v>490</v>
      </c>
      <c r="M133" s="25" t="s">
        <v>18</v>
      </c>
      <c r="N133" s="23" t="s">
        <v>40</v>
      </c>
      <c r="O133" s="23" t="s">
        <v>387</v>
      </c>
      <c r="P133" s="23" t="s">
        <v>40</v>
      </c>
      <c r="Q133" s="23" t="s">
        <v>40</v>
      </c>
      <c r="R133" s="23" t="s">
        <v>196</v>
      </c>
      <c r="S133" s="23" t="s">
        <v>1710</v>
      </c>
      <c r="T133" s="23" t="s">
        <v>40</v>
      </c>
    </row>
    <row r="134" spans="1:20" x14ac:dyDescent="0.25">
      <c r="A134" s="23" t="s">
        <v>7321</v>
      </c>
      <c r="B134" s="23" t="s">
        <v>195</v>
      </c>
      <c r="C134" s="23" t="s">
        <v>2222</v>
      </c>
      <c r="D134" s="23" t="s">
        <v>7322</v>
      </c>
      <c r="E134" s="23" t="s">
        <v>7323</v>
      </c>
      <c r="F134" s="23" t="s">
        <v>40</v>
      </c>
      <c r="G134" s="23" t="s">
        <v>7324</v>
      </c>
      <c r="H134" s="23" t="s">
        <v>7325</v>
      </c>
      <c r="I134" s="23" t="s">
        <v>7326</v>
      </c>
      <c r="J134" s="23" t="s">
        <v>15</v>
      </c>
      <c r="K134" s="27" t="s">
        <v>404</v>
      </c>
      <c r="L134" s="23" t="s">
        <v>490</v>
      </c>
      <c r="M134" s="25" t="s">
        <v>18</v>
      </c>
      <c r="N134" s="23" t="s">
        <v>40</v>
      </c>
      <c r="O134" s="23" t="s">
        <v>387</v>
      </c>
      <c r="P134" s="23" t="s">
        <v>40</v>
      </c>
      <c r="Q134" s="23" t="s">
        <v>40</v>
      </c>
      <c r="R134" s="23" t="s">
        <v>196</v>
      </c>
      <c r="S134" s="23" t="s">
        <v>1710</v>
      </c>
      <c r="T134" s="23" t="s">
        <v>40</v>
      </c>
    </row>
    <row r="135" spans="1:20" x14ac:dyDescent="0.25">
      <c r="A135" s="23" t="s">
        <v>7327</v>
      </c>
      <c r="B135" s="23" t="s">
        <v>195</v>
      </c>
      <c r="C135" s="23" t="s">
        <v>6700</v>
      </c>
      <c r="D135" s="23" t="s">
        <v>7328</v>
      </c>
      <c r="E135" s="23" t="s">
        <v>5856</v>
      </c>
      <c r="F135" s="23" t="s">
        <v>40</v>
      </c>
      <c r="G135" s="23" t="s">
        <v>7329</v>
      </c>
      <c r="H135" s="23" t="s">
        <v>7330</v>
      </c>
      <c r="I135" s="23" t="s">
        <v>7013</v>
      </c>
      <c r="J135" s="23" t="s">
        <v>525</v>
      </c>
      <c r="K135" s="24" t="s">
        <v>386</v>
      </c>
      <c r="L135" s="23" t="s">
        <v>405</v>
      </c>
      <c r="M135" s="25" t="s">
        <v>18</v>
      </c>
      <c r="N135" s="23" t="s">
        <v>40</v>
      </c>
      <c r="O135" s="23" t="s">
        <v>387</v>
      </c>
      <c r="P135" s="23" t="s">
        <v>40</v>
      </c>
      <c r="Q135" s="23" t="s">
        <v>40</v>
      </c>
      <c r="R135" s="23" t="s">
        <v>196</v>
      </c>
      <c r="S135" s="23" t="s">
        <v>1710</v>
      </c>
      <c r="T135" s="23" t="s">
        <v>40</v>
      </c>
    </row>
    <row r="136" spans="1:20" x14ac:dyDescent="0.25">
      <c r="A136" s="23" t="s">
        <v>7331</v>
      </c>
      <c r="B136" s="23" t="s">
        <v>7332</v>
      </c>
      <c r="C136" s="23" t="s">
        <v>7333</v>
      </c>
      <c r="D136" s="23" t="s">
        <v>7334</v>
      </c>
      <c r="E136" s="23" t="s">
        <v>7335</v>
      </c>
      <c r="F136" s="23" t="s">
        <v>40</v>
      </c>
      <c r="G136" s="23" t="s">
        <v>7336</v>
      </c>
      <c r="H136" s="23" t="s">
        <v>7337</v>
      </c>
      <c r="I136" s="23" t="s">
        <v>7338</v>
      </c>
      <c r="J136" s="23" t="s">
        <v>385</v>
      </c>
      <c r="K136" s="27" t="s">
        <v>404</v>
      </c>
      <c r="L136" s="23" t="s">
        <v>405</v>
      </c>
      <c r="M136" s="25" t="s">
        <v>18</v>
      </c>
      <c r="N136" s="23" t="s">
        <v>40</v>
      </c>
      <c r="O136" s="23" t="s">
        <v>387</v>
      </c>
      <c r="P136" s="23" t="s">
        <v>40</v>
      </c>
      <c r="Q136" s="23" t="s">
        <v>40</v>
      </c>
      <c r="R136" s="23" t="s">
        <v>339</v>
      </c>
      <c r="S136" s="23" t="s">
        <v>7339</v>
      </c>
      <c r="T136" s="23" t="s">
        <v>40</v>
      </c>
    </row>
    <row r="137" spans="1:20" x14ac:dyDescent="0.25">
      <c r="A137" s="23" t="s">
        <v>7340</v>
      </c>
      <c r="B137" s="23" t="s">
        <v>7332</v>
      </c>
      <c r="C137" s="23" t="s">
        <v>7333</v>
      </c>
      <c r="D137" s="23" t="s">
        <v>7341</v>
      </c>
      <c r="E137" s="23" t="s">
        <v>7335</v>
      </c>
      <c r="F137" s="23" t="s">
        <v>40</v>
      </c>
      <c r="G137" s="23" t="s">
        <v>7342</v>
      </c>
      <c r="H137" s="23" t="s">
        <v>7343</v>
      </c>
      <c r="I137" s="23" t="s">
        <v>7344</v>
      </c>
      <c r="J137" s="23" t="s">
        <v>385</v>
      </c>
      <c r="K137" s="27" t="s">
        <v>404</v>
      </c>
      <c r="L137" s="23" t="s">
        <v>405</v>
      </c>
      <c r="M137" s="25" t="s">
        <v>18</v>
      </c>
      <c r="N137" s="23" t="s">
        <v>40</v>
      </c>
      <c r="O137" s="23" t="s">
        <v>387</v>
      </c>
      <c r="P137" s="23" t="s">
        <v>40</v>
      </c>
      <c r="Q137" s="23" t="s">
        <v>40</v>
      </c>
      <c r="R137" s="23" t="s">
        <v>339</v>
      </c>
      <c r="S137" s="23" t="s">
        <v>1710</v>
      </c>
      <c r="T137" s="23" t="s">
        <v>40</v>
      </c>
    </row>
    <row r="138" spans="1:20" x14ac:dyDescent="0.25">
      <c r="A138" s="23" t="s">
        <v>7345</v>
      </c>
      <c r="B138" s="23" t="s">
        <v>7332</v>
      </c>
      <c r="C138" s="23" t="s">
        <v>7346</v>
      </c>
      <c r="D138" s="23" t="s">
        <v>7347</v>
      </c>
      <c r="E138" s="23" t="s">
        <v>7348</v>
      </c>
      <c r="F138" s="23" t="s">
        <v>7349</v>
      </c>
      <c r="G138" s="23" t="s">
        <v>7350</v>
      </c>
      <c r="H138" s="23" t="s">
        <v>7351</v>
      </c>
      <c r="I138" s="23" t="s">
        <v>7352</v>
      </c>
      <c r="J138" s="23" t="s">
        <v>14</v>
      </c>
      <c r="K138" s="26" t="s">
        <v>396</v>
      </c>
      <c r="L138" s="23" t="s">
        <v>13</v>
      </c>
      <c r="M138" s="30" t="s">
        <v>19</v>
      </c>
      <c r="N138" s="23" t="s">
        <v>40</v>
      </c>
      <c r="O138" s="23" t="s">
        <v>387</v>
      </c>
      <c r="P138" s="23" t="s">
        <v>40</v>
      </c>
      <c r="Q138" s="23" t="s">
        <v>40</v>
      </c>
      <c r="R138" s="23" t="s">
        <v>339</v>
      </c>
      <c r="S138" s="23" t="s">
        <v>7353</v>
      </c>
      <c r="T138" s="23" t="s">
        <v>40</v>
      </c>
    </row>
    <row r="139" spans="1:20" x14ac:dyDescent="0.25">
      <c r="A139" s="23" t="s">
        <v>7354</v>
      </c>
      <c r="B139" s="23" t="s">
        <v>7332</v>
      </c>
      <c r="C139" s="23" t="s">
        <v>7346</v>
      </c>
      <c r="D139" s="23" t="s">
        <v>7355</v>
      </c>
      <c r="E139" s="23" t="s">
        <v>7356</v>
      </c>
      <c r="F139" s="23" t="s">
        <v>40</v>
      </c>
      <c r="G139" s="23" t="s">
        <v>7357</v>
      </c>
      <c r="H139" s="23" t="s">
        <v>7358</v>
      </c>
      <c r="I139" s="23" t="s">
        <v>7359</v>
      </c>
      <c r="J139" s="23" t="s">
        <v>15</v>
      </c>
      <c r="K139" s="24" t="s">
        <v>386</v>
      </c>
      <c r="L139" s="23" t="s">
        <v>13</v>
      </c>
      <c r="M139" s="30" t="s">
        <v>19</v>
      </c>
      <c r="N139" s="23" t="s">
        <v>40</v>
      </c>
      <c r="O139" s="23" t="s">
        <v>387</v>
      </c>
      <c r="P139" s="23" t="s">
        <v>40</v>
      </c>
      <c r="Q139" s="23" t="s">
        <v>40</v>
      </c>
      <c r="R139" s="23" t="s">
        <v>339</v>
      </c>
      <c r="S139" s="23" t="s">
        <v>7353</v>
      </c>
      <c r="T139" s="23" t="s">
        <v>40</v>
      </c>
    </row>
    <row r="140" spans="1:20" x14ac:dyDescent="0.25">
      <c r="A140" s="23" t="s">
        <v>7360</v>
      </c>
      <c r="B140" s="23" t="s">
        <v>7332</v>
      </c>
      <c r="C140" s="23" t="s">
        <v>7346</v>
      </c>
      <c r="D140" s="23" t="s">
        <v>7361</v>
      </c>
      <c r="E140" s="23" t="s">
        <v>7362</v>
      </c>
      <c r="F140" s="23" t="s">
        <v>40</v>
      </c>
      <c r="G140" s="23" t="s">
        <v>7363</v>
      </c>
      <c r="H140" s="23" t="s">
        <v>7364</v>
      </c>
      <c r="I140" s="23" t="s">
        <v>7365</v>
      </c>
      <c r="J140" s="23" t="s">
        <v>395</v>
      </c>
      <c r="K140" s="26" t="s">
        <v>396</v>
      </c>
      <c r="L140" s="23" t="s">
        <v>13</v>
      </c>
      <c r="M140" s="30" t="s">
        <v>19</v>
      </c>
      <c r="N140" s="23" t="s">
        <v>40</v>
      </c>
      <c r="O140" s="23" t="s">
        <v>387</v>
      </c>
      <c r="P140" s="23" t="s">
        <v>40</v>
      </c>
      <c r="Q140" s="23" t="s">
        <v>40</v>
      </c>
      <c r="R140" s="23" t="s">
        <v>339</v>
      </c>
      <c r="S140" s="23" t="s">
        <v>7353</v>
      </c>
      <c r="T140" s="23" t="s">
        <v>7366</v>
      </c>
    </row>
    <row r="141" spans="1:20" x14ac:dyDescent="0.25">
      <c r="A141" s="23" t="s">
        <v>7367</v>
      </c>
      <c r="B141" s="23" t="s">
        <v>7332</v>
      </c>
      <c r="C141" s="23" t="s">
        <v>7368</v>
      </c>
      <c r="D141" s="23" t="s">
        <v>7369</v>
      </c>
      <c r="E141" s="23" t="s">
        <v>7370</v>
      </c>
      <c r="F141" s="23" t="s">
        <v>40</v>
      </c>
      <c r="G141" s="23" t="s">
        <v>7371</v>
      </c>
      <c r="H141" s="23" t="s">
        <v>7372</v>
      </c>
      <c r="I141" s="23" t="s">
        <v>7373</v>
      </c>
      <c r="J141" s="23" t="s">
        <v>14</v>
      </c>
      <c r="K141" s="26" t="s">
        <v>396</v>
      </c>
      <c r="L141" s="23" t="s">
        <v>13</v>
      </c>
      <c r="M141" s="30" t="s">
        <v>19</v>
      </c>
      <c r="N141" s="23" t="s">
        <v>40</v>
      </c>
      <c r="O141" s="23" t="s">
        <v>387</v>
      </c>
      <c r="P141" s="23" t="s">
        <v>40</v>
      </c>
      <c r="Q141" s="23" t="s">
        <v>40</v>
      </c>
      <c r="R141" s="23" t="s">
        <v>339</v>
      </c>
      <c r="S141" s="23" t="s">
        <v>7353</v>
      </c>
      <c r="T141" s="23" t="s">
        <v>40</v>
      </c>
    </row>
    <row r="142" spans="1:20" x14ac:dyDescent="0.25">
      <c r="A142" s="23" t="s">
        <v>7374</v>
      </c>
      <c r="B142" s="23" t="s">
        <v>7332</v>
      </c>
      <c r="C142" s="23" t="s">
        <v>7346</v>
      </c>
      <c r="D142" s="23" t="s">
        <v>7375</v>
      </c>
      <c r="E142" s="23" t="s">
        <v>7376</v>
      </c>
      <c r="F142" s="23" t="s">
        <v>40</v>
      </c>
      <c r="G142" s="23" t="s">
        <v>7377</v>
      </c>
      <c r="H142" s="23" t="s">
        <v>7378</v>
      </c>
      <c r="I142" s="23" t="s">
        <v>7379</v>
      </c>
      <c r="J142" s="23" t="s">
        <v>15</v>
      </c>
      <c r="K142" s="27" t="s">
        <v>404</v>
      </c>
      <c r="L142" s="23" t="s">
        <v>405</v>
      </c>
      <c r="M142" s="30" t="s">
        <v>19</v>
      </c>
      <c r="N142" s="23" t="s">
        <v>40</v>
      </c>
      <c r="O142" s="23" t="s">
        <v>387</v>
      </c>
      <c r="P142" s="23" t="s">
        <v>40</v>
      </c>
      <c r="Q142" s="23" t="s">
        <v>40</v>
      </c>
      <c r="R142" s="23" t="s">
        <v>339</v>
      </c>
      <c r="S142" s="23" t="s">
        <v>7353</v>
      </c>
      <c r="T142" s="23" t="s">
        <v>7366</v>
      </c>
    </row>
    <row r="143" spans="1:20" x14ac:dyDescent="0.25">
      <c r="A143" s="23" t="s">
        <v>7380</v>
      </c>
      <c r="B143" s="23" t="s">
        <v>7332</v>
      </c>
      <c r="C143" s="23" t="s">
        <v>7381</v>
      </c>
      <c r="D143" s="23" t="s">
        <v>7382</v>
      </c>
      <c r="E143" s="23" t="s">
        <v>7383</v>
      </c>
      <c r="F143" s="23" t="s">
        <v>40</v>
      </c>
      <c r="G143" s="23" t="s">
        <v>7384</v>
      </c>
      <c r="H143" s="23" t="s">
        <v>7385</v>
      </c>
      <c r="I143" s="23" t="s">
        <v>7386</v>
      </c>
      <c r="J143" s="23" t="s">
        <v>14</v>
      </c>
      <c r="K143" s="24" t="s">
        <v>386</v>
      </c>
      <c r="L143" s="23" t="s">
        <v>405</v>
      </c>
      <c r="M143" s="30" t="s">
        <v>19</v>
      </c>
      <c r="N143" s="23" t="s">
        <v>40</v>
      </c>
      <c r="O143" s="23" t="s">
        <v>387</v>
      </c>
      <c r="P143" s="23" t="s">
        <v>40</v>
      </c>
      <c r="Q143" s="23" t="s">
        <v>40</v>
      </c>
      <c r="R143" s="23" t="s">
        <v>339</v>
      </c>
      <c r="S143" s="23" t="s">
        <v>7353</v>
      </c>
      <c r="T143" s="23" t="s">
        <v>40</v>
      </c>
    </row>
    <row r="144" spans="1:20" x14ac:dyDescent="0.25">
      <c r="A144" s="23" t="s">
        <v>7387</v>
      </c>
      <c r="B144" s="23" t="s">
        <v>7332</v>
      </c>
      <c r="C144" s="23" t="s">
        <v>7381</v>
      </c>
      <c r="D144" s="23" t="s">
        <v>7388</v>
      </c>
      <c r="E144" s="23" t="s">
        <v>7389</v>
      </c>
      <c r="F144" s="23" t="s">
        <v>40</v>
      </c>
      <c r="G144" s="23" t="s">
        <v>7390</v>
      </c>
      <c r="H144" s="23" t="s">
        <v>7391</v>
      </c>
      <c r="I144" s="23" t="s">
        <v>7392</v>
      </c>
      <c r="J144" s="23" t="s">
        <v>14</v>
      </c>
      <c r="K144" s="27" t="s">
        <v>404</v>
      </c>
      <c r="L144" s="23" t="s">
        <v>490</v>
      </c>
      <c r="M144" s="30" t="s">
        <v>19</v>
      </c>
      <c r="N144" s="23" t="s">
        <v>40</v>
      </c>
      <c r="O144" s="23" t="s">
        <v>387</v>
      </c>
      <c r="P144" s="23" t="s">
        <v>40</v>
      </c>
      <c r="Q144" s="23" t="s">
        <v>40</v>
      </c>
      <c r="R144" s="23" t="s">
        <v>339</v>
      </c>
      <c r="S144" s="23" t="s">
        <v>7353</v>
      </c>
      <c r="T144" s="23" t="s">
        <v>7393</v>
      </c>
    </row>
    <row r="145" spans="1:20" x14ac:dyDescent="0.25">
      <c r="A145" s="23" t="s">
        <v>7394</v>
      </c>
      <c r="B145" s="23" t="s">
        <v>7332</v>
      </c>
      <c r="C145" s="23" t="s">
        <v>7395</v>
      </c>
      <c r="D145" s="23" t="s">
        <v>7396</v>
      </c>
      <c r="E145" s="23" t="s">
        <v>7397</v>
      </c>
      <c r="F145" s="23" t="s">
        <v>40</v>
      </c>
      <c r="G145" s="23" t="s">
        <v>7398</v>
      </c>
      <c r="H145" s="23" t="s">
        <v>7399</v>
      </c>
      <c r="I145" s="23" t="s">
        <v>7400</v>
      </c>
      <c r="J145" s="23" t="s">
        <v>15</v>
      </c>
      <c r="K145" s="27" t="s">
        <v>404</v>
      </c>
      <c r="L145" s="23" t="s">
        <v>405</v>
      </c>
      <c r="M145" s="30" t="s">
        <v>19</v>
      </c>
      <c r="N145" s="23" t="s">
        <v>40</v>
      </c>
      <c r="O145" s="23" t="s">
        <v>387</v>
      </c>
      <c r="P145" s="23" t="s">
        <v>40</v>
      </c>
      <c r="Q145" s="23" t="s">
        <v>40</v>
      </c>
      <c r="R145" s="23" t="s">
        <v>339</v>
      </c>
      <c r="S145" s="23" t="s">
        <v>7353</v>
      </c>
      <c r="T145" s="23" t="s">
        <v>7401</v>
      </c>
    </row>
    <row r="146" spans="1:20" x14ac:dyDescent="0.25">
      <c r="A146" s="23" t="s">
        <v>7402</v>
      </c>
      <c r="B146" s="23" t="s">
        <v>7332</v>
      </c>
      <c r="C146" s="23" t="s">
        <v>7403</v>
      </c>
      <c r="D146" s="23" t="s">
        <v>7404</v>
      </c>
      <c r="E146" s="23" t="s">
        <v>7405</v>
      </c>
      <c r="F146" s="23" t="s">
        <v>40</v>
      </c>
      <c r="G146" s="23" t="s">
        <v>7406</v>
      </c>
      <c r="H146" s="23" t="s">
        <v>7407</v>
      </c>
      <c r="I146" s="23" t="s">
        <v>7408</v>
      </c>
      <c r="J146" s="23" t="s">
        <v>14</v>
      </c>
      <c r="K146" s="26" t="s">
        <v>396</v>
      </c>
      <c r="L146" s="23" t="s">
        <v>13</v>
      </c>
      <c r="M146" s="30" t="s">
        <v>19</v>
      </c>
      <c r="N146" s="23" t="s">
        <v>40</v>
      </c>
      <c r="O146" s="23" t="s">
        <v>387</v>
      </c>
      <c r="P146" s="23" t="s">
        <v>40</v>
      </c>
      <c r="Q146" s="23" t="s">
        <v>40</v>
      </c>
      <c r="R146" s="23" t="s">
        <v>339</v>
      </c>
      <c r="S146" s="23" t="s">
        <v>6698</v>
      </c>
      <c r="T146" s="23" t="s">
        <v>40</v>
      </c>
    </row>
    <row r="147" spans="1:20" x14ac:dyDescent="0.25">
      <c r="A147" s="23" t="s">
        <v>7409</v>
      </c>
      <c r="B147" s="23" t="s">
        <v>7332</v>
      </c>
      <c r="C147" s="23" t="s">
        <v>7403</v>
      </c>
      <c r="D147" s="23" t="s">
        <v>7410</v>
      </c>
      <c r="E147" s="23" t="s">
        <v>7411</v>
      </c>
      <c r="F147" s="23" t="s">
        <v>40</v>
      </c>
      <c r="G147" s="23" t="s">
        <v>7412</v>
      </c>
      <c r="H147" s="23" t="s">
        <v>7413</v>
      </c>
      <c r="I147" s="23" t="s">
        <v>7414</v>
      </c>
      <c r="J147" s="23" t="s">
        <v>489</v>
      </c>
      <c r="K147" s="27" t="s">
        <v>404</v>
      </c>
      <c r="L147" s="23" t="s">
        <v>405</v>
      </c>
      <c r="M147" s="30" t="s">
        <v>19</v>
      </c>
      <c r="N147" s="23" t="s">
        <v>40</v>
      </c>
      <c r="O147" s="23" t="s">
        <v>387</v>
      </c>
      <c r="P147" s="23" t="s">
        <v>40</v>
      </c>
      <c r="Q147" s="23" t="s">
        <v>40</v>
      </c>
      <c r="R147" s="23" t="s">
        <v>339</v>
      </c>
      <c r="S147" s="23" t="s">
        <v>6698</v>
      </c>
      <c r="T147" s="23" t="s">
        <v>40</v>
      </c>
    </row>
    <row r="148" spans="1:20" x14ac:dyDescent="0.25">
      <c r="A148" s="23" t="s">
        <v>7415</v>
      </c>
      <c r="B148" s="23" t="s">
        <v>7332</v>
      </c>
      <c r="C148" s="23" t="s">
        <v>7403</v>
      </c>
      <c r="D148" s="23" t="s">
        <v>7416</v>
      </c>
      <c r="E148" s="23" t="s">
        <v>7417</v>
      </c>
      <c r="F148" s="23" t="s">
        <v>40</v>
      </c>
      <c r="G148" s="23" t="s">
        <v>7418</v>
      </c>
      <c r="H148" s="23" t="s">
        <v>7419</v>
      </c>
      <c r="I148" s="23" t="s">
        <v>7420</v>
      </c>
      <c r="J148" s="23" t="s">
        <v>489</v>
      </c>
      <c r="K148" s="27" t="s">
        <v>404</v>
      </c>
      <c r="L148" s="23" t="s">
        <v>405</v>
      </c>
      <c r="M148" s="30" t="s">
        <v>19</v>
      </c>
      <c r="N148" s="23" t="s">
        <v>40</v>
      </c>
      <c r="O148" s="23" t="s">
        <v>387</v>
      </c>
      <c r="P148" s="23" t="s">
        <v>40</v>
      </c>
      <c r="Q148" s="23" t="s">
        <v>40</v>
      </c>
      <c r="R148" s="23" t="s">
        <v>339</v>
      </c>
      <c r="S148" s="23" t="s">
        <v>6698</v>
      </c>
      <c r="T148" s="23" t="s">
        <v>40</v>
      </c>
    </row>
    <row r="149" spans="1:20" x14ac:dyDescent="0.25">
      <c r="A149" s="23" t="s">
        <v>7421</v>
      </c>
      <c r="B149" s="23" t="s">
        <v>7332</v>
      </c>
      <c r="C149" s="23" t="s">
        <v>7403</v>
      </c>
      <c r="D149" s="23" t="s">
        <v>7422</v>
      </c>
      <c r="E149" s="23" t="s">
        <v>7423</v>
      </c>
      <c r="F149" s="23" t="s">
        <v>40</v>
      </c>
      <c r="G149" s="23" t="s">
        <v>7424</v>
      </c>
      <c r="H149" s="23" t="s">
        <v>7425</v>
      </c>
      <c r="I149" s="23" t="s">
        <v>7426</v>
      </c>
      <c r="J149" s="23" t="s">
        <v>14</v>
      </c>
      <c r="K149" s="24" t="s">
        <v>386</v>
      </c>
      <c r="L149" s="23" t="s">
        <v>405</v>
      </c>
      <c r="M149" s="30" t="s">
        <v>19</v>
      </c>
      <c r="N149" s="23" t="s">
        <v>40</v>
      </c>
      <c r="O149" s="23" t="s">
        <v>387</v>
      </c>
      <c r="P149" s="23" t="s">
        <v>40</v>
      </c>
      <c r="Q149" s="23" t="s">
        <v>40</v>
      </c>
      <c r="R149" s="23" t="s">
        <v>339</v>
      </c>
      <c r="S149" s="23" t="s">
        <v>6698</v>
      </c>
      <c r="T149" s="23" t="s">
        <v>40</v>
      </c>
    </row>
    <row r="150" spans="1:20" x14ac:dyDescent="0.25">
      <c r="A150" s="23" t="s">
        <v>7427</v>
      </c>
      <c r="B150" s="23" t="s">
        <v>7332</v>
      </c>
      <c r="C150" s="23" t="s">
        <v>7403</v>
      </c>
      <c r="D150" s="23" t="s">
        <v>7428</v>
      </c>
      <c r="E150" s="23" t="s">
        <v>7429</v>
      </c>
      <c r="F150" s="23" t="s">
        <v>40</v>
      </c>
      <c r="G150" s="23" t="s">
        <v>7430</v>
      </c>
      <c r="H150" s="23" t="s">
        <v>7431</v>
      </c>
      <c r="I150" s="23" t="s">
        <v>7432</v>
      </c>
      <c r="J150" s="23" t="s">
        <v>385</v>
      </c>
      <c r="K150" s="27" t="s">
        <v>404</v>
      </c>
      <c r="L150" s="23" t="s">
        <v>405</v>
      </c>
      <c r="M150" s="25" t="s">
        <v>18</v>
      </c>
      <c r="N150" s="23" t="s">
        <v>40</v>
      </c>
      <c r="O150" s="23" t="s">
        <v>387</v>
      </c>
      <c r="P150" s="23" t="s">
        <v>40</v>
      </c>
      <c r="Q150" s="23" t="s">
        <v>40</v>
      </c>
      <c r="R150" s="23" t="s">
        <v>339</v>
      </c>
      <c r="S150" s="23" t="s">
        <v>1710</v>
      </c>
      <c r="T150" s="23" t="s">
        <v>40</v>
      </c>
    </row>
    <row r="151" spans="1:20" x14ac:dyDescent="0.25">
      <c r="A151" s="23" t="s">
        <v>7433</v>
      </c>
      <c r="B151" s="23" t="s">
        <v>7332</v>
      </c>
      <c r="C151" s="23" t="s">
        <v>7403</v>
      </c>
      <c r="D151" s="23" t="s">
        <v>7434</v>
      </c>
      <c r="E151" s="23" t="s">
        <v>7435</v>
      </c>
      <c r="F151" s="23" t="s">
        <v>40</v>
      </c>
      <c r="G151" s="23" t="s">
        <v>7436</v>
      </c>
      <c r="H151" s="23" t="s">
        <v>7437</v>
      </c>
      <c r="I151" s="23" t="s">
        <v>7438</v>
      </c>
      <c r="J151" s="23" t="s">
        <v>801</v>
      </c>
      <c r="K151" s="24" t="s">
        <v>386</v>
      </c>
      <c r="L151" s="23" t="s">
        <v>405</v>
      </c>
      <c r="M151" s="25" t="s">
        <v>18</v>
      </c>
      <c r="N151" s="23" t="s">
        <v>40</v>
      </c>
      <c r="O151" s="23" t="s">
        <v>387</v>
      </c>
      <c r="P151" s="23" t="s">
        <v>40</v>
      </c>
      <c r="Q151" s="23" t="s">
        <v>40</v>
      </c>
      <c r="R151" s="23" t="s">
        <v>339</v>
      </c>
      <c r="S151" s="23" t="s">
        <v>1710</v>
      </c>
      <c r="T151" s="23" t="s">
        <v>40</v>
      </c>
    </row>
    <row r="152" spans="1:20" x14ac:dyDescent="0.25">
      <c r="A152" s="23" t="s">
        <v>7439</v>
      </c>
      <c r="B152" s="23" t="s">
        <v>7332</v>
      </c>
      <c r="C152" s="23" t="s">
        <v>801</v>
      </c>
      <c r="D152" s="23" t="s">
        <v>7440</v>
      </c>
      <c r="E152" s="23" t="s">
        <v>7441</v>
      </c>
      <c r="F152" s="23" t="s">
        <v>40</v>
      </c>
      <c r="G152" s="23" t="s">
        <v>7442</v>
      </c>
      <c r="H152" s="23" t="s">
        <v>7443</v>
      </c>
      <c r="I152" s="23" t="s">
        <v>7444</v>
      </c>
      <c r="J152" s="23" t="s">
        <v>801</v>
      </c>
      <c r="K152" s="26" t="s">
        <v>396</v>
      </c>
      <c r="L152" s="23" t="s">
        <v>13</v>
      </c>
      <c r="M152" s="25" t="s">
        <v>18</v>
      </c>
      <c r="N152" s="23" t="s">
        <v>40</v>
      </c>
      <c r="O152" s="23" t="s">
        <v>387</v>
      </c>
      <c r="P152" s="23" t="s">
        <v>40</v>
      </c>
      <c r="Q152" s="23" t="s">
        <v>40</v>
      </c>
      <c r="R152" s="23" t="s">
        <v>339</v>
      </c>
      <c r="S152" s="23" t="s">
        <v>1710</v>
      </c>
      <c r="T152" s="23" t="s">
        <v>40</v>
      </c>
    </row>
    <row r="153" spans="1:20" x14ac:dyDescent="0.25">
      <c r="A153" s="23" t="s">
        <v>7445</v>
      </c>
      <c r="B153" s="23" t="s">
        <v>7332</v>
      </c>
      <c r="C153" s="23" t="s">
        <v>7446</v>
      </c>
      <c r="D153" s="23" t="s">
        <v>7447</v>
      </c>
      <c r="E153" s="23" t="s">
        <v>7448</v>
      </c>
      <c r="F153" s="23" t="s">
        <v>40</v>
      </c>
      <c r="G153" s="23" t="s">
        <v>7449</v>
      </c>
      <c r="H153" s="23" t="s">
        <v>7450</v>
      </c>
      <c r="I153" s="23" t="s">
        <v>7451</v>
      </c>
      <c r="J153" s="23" t="s">
        <v>801</v>
      </c>
      <c r="K153" s="26" t="s">
        <v>396</v>
      </c>
      <c r="L153" s="23" t="s">
        <v>13</v>
      </c>
      <c r="M153" s="30" t="s">
        <v>19</v>
      </c>
      <c r="N153" s="23" t="s">
        <v>40</v>
      </c>
      <c r="O153" s="23" t="s">
        <v>387</v>
      </c>
      <c r="P153" s="23" t="s">
        <v>40</v>
      </c>
      <c r="Q153" s="23" t="s">
        <v>40</v>
      </c>
      <c r="R153" s="23" t="s">
        <v>339</v>
      </c>
      <c r="S153" s="23" t="s">
        <v>6698</v>
      </c>
      <c r="T153" s="23" t="s">
        <v>40</v>
      </c>
    </row>
    <row r="154" spans="1:20" x14ac:dyDescent="0.25">
      <c r="A154" s="23" t="s">
        <v>7452</v>
      </c>
      <c r="B154" s="23" t="s">
        <v>7332</v>
      </c>
      <c r="C154" s="23" t="s">
        <v>7446</v>
      </c>
      <c r="D154" s="23" t="s">
        <v>7453</v>
      </c>
      <c r="E154" s="23" t="s">
        <v>7454</v>
      </c>
      <c r="F154" s="23" t="s">
        <v>40</v>
      </c>
      <c r="G154" s="23" t="s">
        <v>7455</v>
      </c>
      <c r="H154" s="23" t="s">
        <v>7456</v>
      </c>
      <c r="I154" s="23" t="s">
        <v>7457</v>
      </c>
      <c r="J154" s="23" t="s">
        <v>15</v>
      </c>
      <c r="K154" s="27" t="s">
        <v>404</v>
      </c>
      <c r="L154" s="23" t="s">
        <v>405</v>
      </c>
      <c r="M154" s="30" t="s">
        <v>19</v>
      </c>
      <c r="N154" s="23" t="s">
        <v>40</v>
      </c>
      <c r="O154" s="23" t="s">
        <v>387</v>
      </c>
      <c r="P154" s="23" t="s">
        <v>40</v>
      </c>
      <c r="Q154" s="23" t="s">
        <v>40</v>
      </c>
      <c r="R154" s="23" t="s">
        <v>339</v>
      </c>
      <c r="S154" s="23" t="s">
        <v>6698</v>
      </c>
      <c r="T154" s="23" t="s">
        <v>40</v>
      </c>
    </row>
    <row r="155" spans="1:20" x14ac:dyDescent="0.25">
      <c r="A155" s="23" t="s">
        <v>7458</v>
      </c>
      <c r="B155" s="23" t="s">
        <v>7332</v>
      </c>
      <c r="C155" s="23" t="s">
        <v>6692</v>
      </c>
      <c r="D155" s="23" t="s">
        <v>7459</v>
      </c>
      <c r="E155" s="23" t="s">
        <v>7460</v>
      </c>
      <c r="F155" s="23" t="s">
        <v>40</v>
      </c>
      <c r="G155" s="23" t="s">
        <v>7461</v>
      </c>
      <c r="H155" s="23" t="s">
        <v>7462</v>
      </c>
      <c r="I155" s="23" t="s">
        <v>7463</v>
      </c>
      <c r="J155" s="23" t="s">
        <v>14</v>
      </c>
      <c r="K155" s="27" t="s">
        <v>404</v>
      </c>
      <c r="L155" s="23" t="s">
        <v>490</v>
      </c>
      <c r="M155" s="25" t="s">
        <v>18</v>
      </c>
      <c r="N155" s="23" t="s">
        <v>40</v>
      </c>
      <c r="O155" s="23" t="s">
        <v>387</v>
      </c>
      <c r="P155" s="23" t="s">
        <v>40</v>
      </c>
      <c r="Q155" s="23" t="s">
        <v>40</v>
      </c>
      <c r="R155" s="23" t="s">
        <v>339</v>
      </c>
      <c r="S155" s="23" t="s">
        <v>1710</v>
      </c>
      <c r="T155" s="23" t="s">
        <v>7464</v>
      </c>
    </row>
    <row r="156" spans="1:20" x14ac:dyDescent="0.25">
      <c r="A156" s="23" t="s">
        <v>7465</v>
      </c>
      <c r="B156" s="23" t="s">
        <v>7466</v>
      </c>
      <c r="C156" s="23" t="s">
        <v>7467</v>
      </c>
      <c r="D156" s="23" t="s">
        <v>7468</v>
      </c>
      <c r="E156" s="23" t="s">
        <v>7335</v>
      </c>
      <c r="F156" s="23" t="s">
        <v>40</v>
      </c>
      <c r="G156" s="23" t="s">
        <v>7469</v>
      </c>
      <c r="H156" s="23" t="s">
        <v>7470</v>
      </c>
      <c r="I156" s="23" t="s">
        <v>7471</v>
      </c>
      <c r="J156" s="23" t="s">
        <v>385</v>
      </c>
      <c r="K156" s="27" t="s">
        <v>404</v>
      </c>
      <c r="L156" s="23" t="s">
        <v>405</v>
      </c>
      <c r="M156" s="25" t="s">
        <v>18</v>
      </c>
      <c r="N156" s="23" t="s">
        <v>40</v>
      </c>
      <c r="O156" s="23" t="s">
        <v>387</v>
      </c>
      <c r="P156" s="23" t="s">
        <v>40</v>
      </c>
      <c r="Q156" s="23" t="s">
        <v>40</v>
      </c>
      <c r="R156" s="23" t="s">
        <v>341</v>
      </c>
      <c r="S156" s="23" t="s">
        <v>1710</v>
      </c>
      <c r="T156" s="23" t="s">
        <v>40</v>
      </c>
    </row>
    <row r="157" spans="1:20" x14ac:dyDescent="0.25">
      <c r="A157" s="23" t="s">
        <v>7472</v>
      </c>
      <c r="B157" s="23" t="s">
        <v>7332</v>
      </c>
      <c r="C157" s="23" t="s">
        <v>6700</v>
      </c>
      <c r="D157" s="23" t="s">
        <v>7473</v>
      </c>
      <c r="E157" s="23" t="s">
        <v>7335</v>
      </c>
      <c r="F157" s="23" t="s">
        <v>40</v>
      </c>
      <c r="G157" s="23" t="s">
        <v>7474</v>
      </c>
      <c r="H157" s="23" t="s">
        <v>7475</v>
      </c>
      <c r="I157" s="23" t="s">
        <v>7476</v>
      </c>
      <c r="J157" s="23" t="s">
        <v>395</v>
      </c>
      <c r="K157" s="26" t="s">
        <v>396</v>
      </c>
      <c r="L157" s="23" t="s">
        <v>13</v>
      </c>
      <c r="M157" s="25" t="s">
        <v>18</v>
      </c>
      <c r="N157" s="23" t="s">
        <v>40</v>
      </c>
      <c r="O157" s="23" t="s">
        <v>387</v>
      </c>
      <c r="P157" s="23" t="s">
        <v>40</v>
      </c>
      <c r="Q157" s="23" t="s">
        <v>40</v>
      </c>
      <c r="R157" s="23" t="s">
        <v>339</v>
      </c>
      <c r="S157" s="23" t="s">
        <v>1710</v>
      </c>
      <c r="T157" s="23" t="s">
        <v>40</v>
      </c>
    </row>
    <row r="158" spans="1:20" x14ac:dyDescent="0.25">
      <c r="A158" s="23" t="s">
        <v>7477</v>
      </c>
      <c r="B158" s="23" t="s">
        <v>183</v>
      </c>
      <c r="C158" s="23" t="s">
        <v>6700</v>
      </c>
      <c r="D158" s="23" t="s">
        <v>7478</v>
      </c>
      <c r="E158" s="23" t="s">
        <v>2951</v>
      </c>
      <c r="F158" s="23" t="s">
        <v>40</v>
      </c>
      <c r="G158" s="23" t="s">
        <v>7479</v>
      </c>
      <c r="H158" s="23" t="s">
        <v>7480</v>
      </c>
      <c r="I158" s="23" t="s">
        <v>7481</v>
      </c>
      <c r="J158" s="23" t="s">
        <v>395</v>
      </c>
      <c r="K158" s="24" t="s">
        <v>386</v>
      </c>
      <c r="L158" s="23" t="s">
        <v>405</v>
      </c>
      <c r="M158" s="25" t="s">
        <v>18</v>
      </c>
      <c r="N158" s="23" t="s">
        <v>40</v>
      </c>
      <c r="O158" s="23" t="s">
        <v>387</v>
      </c>
      <c r="P158" s="23" t="s">
        <v>40</v>
      </c>
      <c r="Q158" s="23" t="s">
        <v>40</v>
      </c>
      <c r="R158" s="23" t="s">
        <v>184</v>
      </c>
      <c r="S158" s="23" t="s">
        <v>1710</v>
      </c>
      <c r="T158" s="23" t="s">
        <v>40</v>
      </c>
    </row>
    <row r="159" spans="1:20" x14ac:dyDescent="0.25">
      <c r="A159" s="23" t="s">
        <v>7482</v>
      </c>
      <c r="B159" s="23" t="s">
        <v>185</v>
      </c>
      <c r="C159" s="23" t="s">
        <v>6700</v>
      </c>
      <c r="D159" s="23" t="s">
        <v>7483</v>
      </c>
      <c r="E159" s="23" t="s">
        <v>2951</v>
      </c>
      <c r="F159" s="23" t="s">
        <v>40</v>
      </c>
      <c r="G159" s="23" t="s">
        <v>7484</v>
      </c>
      <c r="H159" s="23" t="s">
        <v>7485</v>
      </c>
      <c r="I159" s="23" t="s">
        <v>7481</v>
      </c>
      <c r="J159" s="23" t="s">
        <v>395</v>
      </c>
      <c r="K159" s="24" t="s">
        <v>386</v>
      </c>
      <c r="L159" s="23" t="s">
        <v>405</v>
      </c>
      <c r="M159" s="25" t="s">
        <v>18</v>
      </c>
      <c r="N159" s="23" t="s">
        <v>40</v>
      </c>
      <c r="O159" s="23" t="s">
        <v>387</v>
      </c>
      <c r="P159" s="23" t="s">
        <v>40</v>
      </c>
      <c r="Q159" s="23" t="s">
        <v>40</v>
      </c>
      <c r="R159" s="23" t="s">
        <v>186</v>
      </c>
      <c r="S159" s="23" t="s">
        <v>1710</v>
      </c>
      <c r="T159" s="23" t="s">
        <v>40</v>
      </c>
    </row>
    <row r="160" spans="1:20" x14ac:dyDescent="0.25">
      <c r="A160" s="23" t="s">
        <v>7486</v>
      </c>
      <c r="B160" s="23" t="s">
        <v>189</v>
      </c>
      <c r="C160" s="23" t="s">
        <v>6700</v>
      </c>
      <c r="D160" s="23" t="s">
        <v>7487</v>
      </c>
      <c r="E160" s="23" t="s">
        <v>2951</v>
      </c>
      <c r="F160" s="23" t="s">
        <v>40</v>
      </c>
      <c r="G160" s="23" t="s">
        <v>7488</v>
      </c>
      <c r="H160" s="23" t="s">
        <v>7489</v>
      </c>
      <c r="I160" s="23" t="s">
        <v>7481</v>
      </c>
      <c r="J160" s="23" t="s">
        <v>395</v>
      </c>
      <c r="K160" s="24" t="s">
        <v>386</v>
      </c>
      <c r="L160" s="23" t="s">
        <v>405</v>
      </c>
      <c r="M160" s="25" t="s">
        <v>18</v>
      </c>
      <c r="N160" s="23" t="s">
        <v>40</v>
      </c>
      <c r="O160" s="23" t="s">
        <v>387</v>
      </c>
      <c r="P160" s="23" t="s">
        <v>40</v>
      </c>
      <c r="Q160" s="23" t="s">
        <v>40</v>
      </c>
      <c r="R160" s="23" t="s">
        <v>190</v>
      </c>
      <c r="S160" s="23" t="s">
        <v>1710</v>
      </c>
      <c r="T160" s="23" t="s">
        <v>40</v>
      </c>
    </row>
    <row r="161" spans="1:20" x14ac:dyDescent="0.25">
      <c r="A161" s="23" t="s">
        <v>7490</v>
      </c>
      <c r="B161" s="23" t="s">
        <v>191</v>
      </c>
      <c r="C161" s="23" t="s">
        <v>6700</v>
      </c>
      <c r="D161" s="23" t="s">
        <v>7491</v>
      </c>
      <c r="E161" s="23" t="s">
        <v>2951</v>
      </c>
      <c r="F161" s="23" t="s">
        <v>40</v>
      </c>
      <c r="G161" s="23" t="s">
        <v>7492</v>
      </c>
      <c r="H161" s="23" t="s">
        <v>7493</v>
      </c>
      <c r="I161" s="23" t="s">
        <v>7481</v>
      </c>
      <c r="J161" s="23" t="s">
        <v>395</v>
      </c>
      <c r="K161" s="24" t="s">
        <v>386</v>
      </c>
      <c r="L161" s="23" t="s">
        <v>405</v>
      </c>
      <c r="M161" s="25" t="s">
        <v>18</v>
      </c>
      <c r="N161" s="23" t="s">
        <v>40</v>
      </c>
      <c r="O161" s="23" t="s">
        <v>387</v>
      </c>
      <c r="P161" s="23" t="s">
        <v>40</v>
      </c>
      <c r="Q161" s="23" t="s">
        <v>40</v>
      </c>
      <c r="R161" s="23" t="s">
        <v>192</v>
      </c>
      <c r="S161" s="23" t="s">
        <v>1710</v>
      </c>
      <c r="T161" s="23" t="s">
        <v>40</v>
      </c>
    </row>
    <row r="162" spans="1:20" x14ac:dyDescent="0.25">
      <c r="A162" s="23" t="s">
        <v>7494</v>
      </c>
      <c r="B162" s="23" t="s">
        <v>193</v>
      </c>
      <c r="C162" s="23" t="s">
        <v>6700</v>
      </c>
      <c r="D162" s="23" t="s">
        <v>7495</v>
      </c>
      <c r="E162" s="23" t="s">
        <v>2951</v>
      </c>
      <c r="F162" s="23" t="s">
        <v>40</v>
      </c>
      <c r="G162" s="23" t="s">
        <v>7496</v>
      </c>
      <c r="H162" s="23" t="s">
        <v>7497</v>
      </c>
      <c r="I162" s="23" t="s">
        <v>7481</v>
      </c>
      <c r="J162" s="23" t="s">
        <v>395</v>
      </c>
      <c r="K162" s="24" t="s">
        <v>386</v>
      </c>
      <c r="L162" s="23" t="s">
        <v>405</v>
      </c>
      <c r="M162" s="25" t="s">
        <v>18</v>
      </c>
      <c r="N162" s="23" t="s">
        <v>40</v>
      </c>
      <c r="O162" s="23" t="s">
        <v>387</v>
      </c>
      <c r="P162" s="23" t="s">
        <v>40</v>
      </c>
      <c r="Q162" s="23" t="s">
        <v>40</v>
      </c>
      <c r="R162" s="23" t="s">
        <v>194</v>
      </c>
      <c r="S162" s="23" t="s">
        <v>1710</v>
      </c>
      <c r="T162" s="23" t="s">
        <v>40</v>
      </c>
    </row>
    <row r="163" spans="1:20" x14ac:dyDescent="0.25">
      <c r="A163" s="23" t="s">
        <v>7498</v>
      </c>
      <c r="B163" s="23" t="s">
        <v>185</v>
      </c>
      <c r="C163" s="23" t="s">
        <v>6864</v>
      </c>
      <c r="D163" s="23" t="s">
        <v>7499</v>
      </c>
      <c r="E163" s="23" t="s">
        <v>7500</v>
      </c>
      <c r="F163" s="23" t="s">
        <v>40</v>
      </c>
      <c r="G163" s="23" t="s">
        <v>7501</v>
      </c>
      <c r="H163" s="23" t="s">
        <v>7502</v>
      </c>
      <c r="I163" s="23" t="s">
        <v>7503</v>
      </c>
      <c r="J163" s="23" t="s">
        <v>525</v>
      </c>
      <c r="K163" s="24" t="s">
        <v>386</v>
      </c>
      <c r="L163" s="23" t="s">
        <v>13</v>
      </c>
      <c r="M163" s="25" t="s">
        <v>18</v>
      </c>
      <c r="N163" s="23" t="s">
        <v>40</v>
      </c>
      <c r="O163" s="23" t="s">
        <v>387</v>
      </c>
      <c r="P163" s="23" t="s">
        <v>40</v>
      </c>
      <c r="Q163" s="23" t="s">
        <v>40</v>
      </c>
      <c r="R163" s="23" t="s">
        <v>186</v>
      </c>
      <c r="S163" s="23" t="s">
        <v>1710</v>
      </c>
      <c r="T163" s="23" t="s">
        <v>40</v>
      </c>
    </row>
    <row r="164" spans="1:20" x14ac:dyDescent="0.25">
      <c r="A164" s="23" t="s">
        <v>7504</v>
      </c>
      <c r="B164" s="23" t="s">
        <v>189</v>
      </c>
      <c r="C164" s="23" t="s">
        <v>7505</v>
      </c>
      <c r="D164" s="23" t="s">
        <v>7506</v>
      </c>
      <c r="E164" s="23" t="s">
        <v>7507</v>
      </c>
      <c r="F164" s="23" t="s">
        <v>40</v>
      </c>
      <c r="G164" s="23" t="s">
        <v>7508</v>
      </c>
      <c r="H164" s="23" t="s">
        <v>7509</v>
      </c>
      <c r="I164" s="23" t="s">
        <v>7510</v>
      </c>
      <c r="J164" s="23" t="s">
        <v>14</v>
      </c>
      <c r="K164" s="24" t="s">
        <v>386</v>
      </c>
      <c r="L164" s="23" t="s">
        <v>405</v>
      </c>
      <c r="M164" s="25" t="s">
        <v>18</v>
      </c>
      <c r="N164" s="23" t="s">
        <v>40</v>
      </c>
      <c r="O164" s="23" t="s">
        <v>387</v>
      </c>
      <c r="P164" s="23" t="s">
        <v>40</v>
      </c>
      <c r="Q164" s="23" t="s">
        <v>40</v>
      </c>
      <c r="R164" s="23" t="s">
        <v>190</v>
      </c>
      <c r="S164" s="23" t="s">
        <v>1710</v>
      </c>
      <c r="T164" s="23" t="s">
        <v>40</v>
      </c>
    </row>
    <row r="165" spans="1:20" x14ac:dyDescent="0.25">
      <c r="A165" s="23" t="s">
        <v>7511</v>
      </c>
      <c r="B165" s="23" t="s">
        <v>191</v>
      </c>
      <c r="C165" s="23" t="s">
        <v>2651</v>
      </c>
      <c r="D165" s="23" t="s">
        <v>7512</v>
      </c>
      <c r="E165" s="23" t="s">
        <v>3835</v>
      </c>
      <c r="F165" s="23" t="s">
        <v>40</v>
      </c>
      <c r="G165" s="23" t="s">
        <v>7513</v>
      </c>
      <c r="H165" s="23" t="s">
        <v>7514</v>
      </c>
      <c r="I165" s="23" t="s">
        <v>7515</v>
      </c>
      <c r="J165" s="23" t="s">
        <v>14</v>
      </c>
      <c r="K165" s="27" t="s">
        <v>404</v>
      </c>
      <c r="L165" s="23" t="s">
        <v>490</v>
      </c>
      <c r="M165" s="25" t="s">
        <v>18</v>
      </c>
      <c r="N165" s="23" t="s">
        <v>40</v>
      </c>
      <c r="O165" s="23" t="s">
        <v>387</v>
      </c>
      <c r="P165" s="23" t="s">
        <v>40</v>
      </c>
      <c r="Q165" s="23" t="s">
        <v>40</v>
      </c>
      <c r="R165" s="23" t="s">
        <v>192</v>
      </c>
      <c r="S165" s="23" t="s">
        <v>1710</v>
      </c>
      <c r="T165" s="23" t="s">
        <v>40</v>
      </c>
    </row>
    <row r="166" spans="1:20" x14ac:dyDescent="0.25">
      <c r="A166" s="23" t="s">
        <v>7516</v>
      </c>
      <c r="B166" s="23" t="s">
        <v>181</v>
      </c>
      <c r="C166" s="23" t="s">
        <v>403</v>
      </c>
      <c r="D166" s="23" t="s">
        <v>7517</v>
      </c>
      <c r="E166" s="23" t="s">
        <v>3835</v>
      </c>
      <c r="F166" s="23" t="s">
        <v>40</v>
      </c>
      <c r="G166" s="23" t="s">
        <v>7518</v>
      </c>
      <c r="H166" s="23" t="s">
        <v>7519</v>
      </c>
      <c r="I166" s="23" t="s">
        <v>7520</v>
      </c>
      <c r="J166" s="23" t="s">
        <v>403</v>
      </c>
      <c r="K166" s="32" t="s">
        <v>747</v>
      </c>
      <c r="L166" s="23" t="s">
        <v>490</v>
      </c>
      <c r="M166" s="25" t="s">
        <v>18</v>
      </c>
      <c r="N166" s="23" t="s">
        <v>40</v>
      </c>
      <c r="O166" s="23" t="s">
        <v>387</v>
      </c>
      <c r="P166" s="23" t="s">
        <v>40</v>
      </c>
      <c r="Q166" s="23" t="s">
        <v>40</v>
      </c>
      <c r="R166" s="23" t="s">
        <v>182</v>
      </c>
      <c r="S166" s="23" t="s">
        <v>1710</v>
      </c>
      <c r="T166" s="23" t="s">
        <v>40</v>
      </c>
    </row>
    <row r="167" spans="1:20" x14ac:dyDescent="0.25">
      <c r="A167" s="23" t="s">
        <v>7521</v>
      </c>
      <c r="B167" s="23" t="s">
        <v>183</v>
      </c>
      <c r="C167" s="23" t="s">
        <v>801</v>
      </c>
      <c r="D167" s="23" t="s">
        <v>7522</v>
      </c>
      <c r="E167" s="23" t="s">
        <v>7523</v>
      </c>
      <c r="F167" s="23" t="s">
        <v>40</v>
      </c>
      <c r="G167" s="23" t="s">
        <v>7524</v>
      </c>
      <c r="H167" s="23" t="s">
        <v>7525</v>
      </c>
      <c r="I167" s="23" t="s">
        <v>7526</v>
      </c>
      <c r="J167" s="23" t="s">
        <v>801</v>
      </c>
      <c r="K167" s="24" t="s">
        <v>386</v>
      </c>
      <c r="L167" s="23" t="s">
        <v>405</v>
      </c>
      <c r="M167" s="25" t="s">
        <v>18</v>
      </c>
      <c r="N167" s="23" t="s">
        <v>40</v>
      </c>
      <c r="O167" s="23" t="s">
        <v>387</v>
      </c>
      <c r="P167" s="23" t="s">
        <v>40</v>
      </c>
      <c r="Q167" s="23" t="s">
        <v>40</v>
      </c>
      <c r="R167" s="23" t="s">
        <v>184</v>
      </c>
      <c r="S167" s="23" t="s">
        <v>1710</v>
      </c>
      <c r="T167" s="23" t="s">
        <v>7527</v>
      </c>
    </row>
    <row r="168" spans="1:20" x14ac:dyDescent="0.25">
      <c r="A168" s="23" t="s">
        <v>7528</v>
      </c>
      <c r="B168" s="23" t="s">
        <v>193</v>
      </c>
      <c r="C168" s="23" t="s">
        <v>466</v>
      </c>
      <c r="D168" s="23" t="s">
        <v>7529</v>
      </c>
      <c r="E168" s="23" t="s">
        <v>7530</v>
      </c>
      <c r="F168" s="23" t="s">
        <v>40</v>
      </c>
      <c r="G168" s="23" t="s">
        <v>7531</v>
      </c>
      <c r="H168" s="23" t="s">
        <v>7532</v>
      </c>
      <c r="I168" s="23" t="s">
        <v>7533</v>
      </c>
      <c r="J168" s="23" t="s">
        <v>15</v>
      </c>
      <c r="K168" s="27" t="s">
        <v>404</v>
      </c>
      <c r="L168" s="23" t="s">
        <v>490</v>
      </c>
      <c r="M168" s="25" t="s">
        <v>18</v>
      </c>
      <c r="N168" s="23" t="s">
        <v>40</v>
      </c>
      <c r="O168" s="23" t="s">
        <v>387</v>
      </c>
      <c r="P168" s="23" t="s">
        <v>40</v>
      </c>
      <c r="Q168" s="23" t="s">
        <v>40</v>
      </c>
      <c r="R168" s="23" t="s">
        <v>194</v>
      </c>
      <c r="S168" s="23" t="s">
        <v>1710</v>
      </c>
      <c r="T168" s="23" t="s">
        <v>40</v>
      </c>
    </row>
    <row r="169" spans="1:20" x14ac:dyDescent="0.25">
      <c r="A169" s="23" t="s">
        <v>7534</v>
      </c>
      <c r="B169" s="23" t="s">
        <v>187</v>
      </c>
      <c r="C169" s="23" t="s">
        <v>6864</v>
      </c>
      <c r="D169" s="23" t="s">
        <v>7535</v>
      </c>
      <c r="E169" s="23" t="s">
        <v>7536</v>
      </c>
      <c r="F169" s="23" t="s">
        <v>40</v>
      </c>
      <c r="G169" s="23" t="s">
        <v>7537</v>
      </c>
      <c r="H169" s="23" t="s">
        <v>7538</v>
      </c>
      <c r="I169" s="23" t="s">
        <v>7539</v>
      </c>
      <c r="J169" s="23" t="s">
        <v>801</v>
      </c>
      <c r="K169" s="24" t="s">
        <v>386</v>
      </c>
      <c r="L169" s="23" t="s">
        <v>405</v>
      </c>
      <c r="M169" s="25" t="s">
        <v>18</v>
      </c>
      <c r="N169" s="23" t="s">
        <v>40</v>
      </c>
      <c r="O169" s="23" t="s">
        <v>387</v>
      </c>
      <c r="P169" s="23" t="s">
        <v>40</v>
      </c>
      <c r="Q169" s="23" t="s">
        <v>40</v>
      </c>
      <c r="R169" s="23" t="s">
        <v>188</v>
      </c>
      <c r="S169" s="23" t="s">
        <v>1710</v>
      </c>
      <c r="T169" s="23" t="s">
        <v>40</v>
      </c>
    </row>
    <row r="170" spans="1:20" x14ac:dyDescent="0.25">
      <c r="A170" s="23" t="s">
        <v>7540</v>
      </c>
      <c r="B170" s="23" t="s">
        <v>185</v>
      </c>
      <c r="C170" s="23" t="s">
        <v>466</v>
      </c>
      <c r="D170" s="23" t="s">
        <v>7541</v>
      </c>
      <c r="E170" s="23" t="s">
        <v>7542</v>
      </c>
      <c r="F170" s="23" t="s">
        <v>40</v>
      </c>
      <c r="G170" s="23" t="s">
        <v>7543</v>
      </c>
      <c r="H170" s="23" t="s">
        <v>7544</v>
      </c>
      <c r="I170" s="23" t="s">
        <v>7545</v>
      </c>
      <c r="J170" s="23" t="s">
        <v>466</v>
      </c>
      <c r="K170" s="27" t="s">
        <v>404</v>
      </c>
      <c r="L170" s="23" t="s">
        <v>490</v>
      </c>
      <c r="M170" s="25" t="s">
        <v>18</v>
      </c>
      <c r="N170" s="23" t="s">
        <v>40</v>
      </c>
      <c r="O170" s="23" t="s">
        <v>387</v>
      </c>
      <c r="P170" s="23" t="s">
        <v>40</v>
      </c>
      <c r="Q170" s="23" t="s">
        <v>40</v>
      </c>
      <c r="R170" s="23" t="s">
        <v>186</v>
      </c>
      <c r="S170" s="23" t="s">
        <v>1710</v>
      </c>
      <c r="T170" s="23" t="s">
        <v>40</v>
      </c>
    </row>
  </sheetData>
  <autoFilter ref="A1:T170"/>
  <dataValidations count="2">
    <dataValidation type="list" allowBlank="1" sqref="O10:O170">
      <formula1>"Passed,Failed,Blocked,Not Executed,Passed (19 Oct 2026)"</formula1>
    </dataValidation>
    <dataValidation type="list" allowBlank="1" sqref="O2:O170">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6"/>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7546</v>
      </c>
      <c r="B2" s="23" t="s">
        <v>197</v>
      </c>
      <c r="C2" s="23" t="s">
        <v>944</v>
      </c>
      <c r="D2" s="23" t="s">
        <v>7547</v>
      </c>
      <c r="E2" s="23" t="s">
        <v>3835</v>
      </c>
      <c r="F2" s="23" t="s">
        <v>7548</v>
      </c>
      <c r="G2" s="23" t="s">
        <v>7549</v>
      </c>
      <c r="H2" s="23" t="s">
        <v>7550</v>
      </c>
      <c r="I2" s="23" t="s">
        <v>7551</v>
      </c>
      <c r="J2" s="23" t="s">
        <v>385</v>
      </c>
      <c r="K2" s="24" t="s">
        <v>386</v>
      </c>
      <c r="L2" s="23" t="s">
        <v>13</v>
      </c>
      <c r="M2" s="31" t="s">
        <v>17</v>
      </c>
      <c r="N2" s="23" t="s">
        <v>7552</v>
      </c>
      <c r="O2" s="29" t="s">
        <v>87</v>
      </c>
      <c r="P2" s="23" t="s">
        <v>40</v>
      </c>
      <c r="Q2" s="23" t="s">
        <v>40</v>
      </c>
      <c r="R2" s="23" t="s">
        <v>198</v>
      </c>
      <c r="S2" s="23" t="s">
        <v>40</v>
      </c>
      <c r="T2" s="23" t="s">
        <v>40</v>
      </c>
    </row>
    <row r="3" spans="1:20" x14ac:dyDescent="0.25">
      <c r="A3" s="23" t="s">
        <v>7553</v>
      </c>
      <c r="B3" s="23" t="s">
        <v>197</v>
      </c>
      <c r="C3" s="23" t="s">
        <v>7554</v>
      </c>
      <c r="D3" s="23" t="s">
        <v>7555</v>
      </c>
      <c r="E3" s="23" t="s">
        <v>3835</v>
      </c>
      <c r="F3" s="23" t="s">
        <v>7556</v>
      </c>
      <c r="G3" s="23" t="s">
        <v>7557</v>
      </c>
      <c r="H3" s="23" t="s">
        <v>7558</v>
      </c>
      <c r="I3" s="23" t="s">
        <v>7559</v>
      </c>
      <c r="J3" s="23" t="s">
        <v>14</v>
      </c>
      <c r="K3" s="26" t="s">
        <v>396</v>
      </c>
      <c r="L3" s="23" t="s">
        <v>13</v>
      </c>
      <c r="M3" s="28" t="s">
        <v>16</v>
      </c>
      <c r="N3" s="23" t="s">
        <v>7560</v>
      </c>
      <c r="O3" s="29" t="s">
        <v>87</v>
      </c>
      <c r="P3" s="23" t="s">
        <v>40</v>
      </c>
      <c r="Q3" s="23" t="s">
        <v>40</v>
      </c>
      <c r="R3" s="23" t="s">
        <v>198</v>
      </c>
      <c r="S3" s="23" t="s">
        <v>40</v>
      </c>
      <c r="T3" s="23" t="s">
        <v>5021</v>
      </c>
    </row>
    <row r="4" spans="1:20" x14ac:dyDescent="0.25">
      <c r="A4" s="23" t="s">
        <v>7561</v>
      </c>
      <c r="B4" s="23" t="s">
        <v>197</v>
      </c>
      <c r="C4" s="23" t="s">
        <v>7554</v>
      </c>
      <c r="D4" s="23" t="s">
        <v>7562</v>
      </c>
      <c r="E4" s="23" t="s">
        <v>3835</v>
      </c>
      <c r="F4" s="23" t="s">
        <v>7563</v>
      </c>
      <c r="G4" s="23" t="s">
        <v>7564</v>
      </c>
      <c r="H4" s="23" t="s">
        <v>7565</v>
      </c>
      <c r="I4" s="23" t="s">
        <v>7566</v>
      </c>
      <c r="J4" s="23" t="s">
        <v>14</v>
      </c>
      <c r="K4" s="26" t="s">
        <v>396</v>
      </c>
      <c r="L4" s="23" t="s">
        <v>13</v>
      </c>
      <c r="M4" s="25" t="s">
        <v>18</v>
      </c>
      <c r="N4" s="23" t="s">
        <v>40</v>
      </c>
      <c r="O4" s="23" t="s">
        <v>387</v>
      </c>
      <c r="P4" s="23" t="s">
        <v>40</v>
      </c>
      <c r="Q4" s="23" t="s">
        <v>40</v>
      </c>
      <c r="R4" s="23" t="s">
        <v>198</v>
      </c>
      <c r="S4" s="23" t="s">
        <v>40</v>
      </c>
      <c r="T4" s="23" t="s">
        <v>5021</v>
      </c>
    </row>
    <row r="5" spans="1:20" x14ac:dyDescent="0.25">
      <c r="A5" s="23" t="s">
        <v>7567</v>
      </c>
      <c r="B5" s="23" t="s">
        <v>197</v>
      </c>
      <c r="C5" s="23" t="s">
        <v>461</v>
      </c>
      <c r="D5" s="23" t="s">
        <v>7568</v>
      </c>
      <c r="E5" s="23" t="s">
        <v>3835</v>
      </c>
      <c r="F5" s="23" t="s">
        <v>7569</v>
      </c>
      <c r="G5" s="23" t="s">
        <v>7570</v>
      </c>
      <c r="H5" s="23" t="s">
        <v>7571</v>
      </c>
      <c r="I5" s="23" t="s">
        <v>7572</v>
      </c>
      <c r="J5" s="23" t="s">
        <v>466</v>
      </c>
      <c r="K5" s="24" t="s">
        <v>386</v>
      </c>
      <c r="L5" s="23" t="s">
        <v>13</v>
      </c>
      <c r="M5" s="25" t="s">
        <v>18</v>
      </c>
      <c r="N5" s="23" t="s">
        <v>40</v>
      </c>
      <c r="O5" s="23" t="s">
        <v>387</v>
      </c>
      <c r="P5" s="23" t="s">
        <v>40</v>
      </c>
      <c r="Q5" s="23" t="s">
        <v>40</v>
      </c>
      <c r="R5" s="23" t="s">
        <v>198</v>
      </c>
      <c r="S5" s="23" t="s">
        <v>7573</v>
      </c>
      <c r="T5" s="23" t="s">
        <v>5021</v>
      </c>
    </row>
    <row r="6" spans="1:20" x14ac:dyDescent="0.25">
      <c r="A6" s="23" t="s">
        <v>7574</v>
      </c>
      <c r="B6" s="23" t="s">
        <v>197</v>
      </c>
      <c r="C6" s="23" t="s">
        <v>461</v>
      </c>
      <c r="D6" s="23" t="s">
        <v>7575</v>
      </c>
      <c r="E6" s="23" t="s">
        <v>3835</v>
      </c>
      <c r="F6" s="23" t="s">
        <v>7576</v>
      </c>
      <c r="G6" s="23" t="s">
        <v>7577</v>
      </c>
      <c r="H6" s="23" t="s">
        <v>7578</v>
      </c>
      <c r="I6" s="23" t="s">
        <v>7579</v>
      </c>
      <c r="J6" s="23" t="s">
        <v>466</v>
      </c>
      <c r="K6" s="27" t="s">
        <v>404</v>
      </c>
      <c r="L6" s="23" t="s">
        <v>405</v>
      </c>
      <c r="M6" s="25" t="s">
        <v>18</v>
      </c>
      <c r="N6" s="23" t="s">
        <v>40</v>
      </c>
      <c r="O6" s="23" t="s">
        <v>387</v>
      </c>
      <c r="P6" s="23" t="s">
        <v>40</v>
      </c>
      <c r="Q6" s="23" t="s">
        <v>40</v>
      </c>
      <c r="R6" s="23" t="s">
        <v>198</v>
      </c>
      <c r="S6" s="23" t="s">
        <v>40</v>
      </c>
      <c r="T6" s="23" t="s">
        <v>5021</v>
      </c>
    </row>
    <row r="7" spans="1:20" x14ac:dyDescent="0.25">
      <c r="A7" s="23" t="s">
        <v>7580</v>
      </c>
      <c r="B7" s="23" t="s">
        <v>197</v>
      </c>
      <c r="C7" s="23" t="s">
        <v>6581</v>
      </c>
      <c r="D7" s="23" t="s">
        <v>7581</v>
      </c>
      <c r="E7" s="23" t="s">
        <v>7582</v>
      </c>
      <c r="F7" s="23" t="s">
        <v>7583</v>
      </c>
      <c r="G7" s="23" t="s">
        <v>7584</v>
      </c>
      <c r="H7" s="23" t="s">
        <v>7585</v>
      </c>
      <c r="I7" s="23" t="s">
        <v>7586</v>
      </c>
      <c r="J7" s="23" t="s">
        <v>15</v>
      </c>
      <c r="K7" s="24" t="s">
        <v>386</v>
      </c>
      <c r="L7" s="23" t="s">
        <v>13</v>
      </c>
      <c r="M7" s="25" t="s">
        <v>18</v>
      </c>
      <c r="N7" s="23" t="s">
        <v>40</v>
      </c>
      <c r="O7" s="23" t="s">
        <v>387</v>
      </c>
      <c r="P7" s="23" t="s">
        <v>40</v>
      </c>
      <c r="Q7" s="23" t="s">
        <v>40</v>
      </c>
      <c r="R7" s="23" t="s">
        <v>198</v>
      </c>
      <c r="S7" s="23" t="s">
        <v>7587</v>
      </c>
      <c r="T7" s="23" t="s">
        <v>2114</v>
      </c>
    </row>
    <row r="8" spans="1:20" x14ac:dyDescent="0.25">
      <c r="A8" s="23" t="s">
        <v>7588</v>
      </c>
      <c r="B8" s="23" t="s">
        <v>197</v>
      </c>
      <c r="C8" s="23" t="s">
        <v>6581</v>
      </c>
      <c r="D8" s="23" t="s">
        <v>7589</v>
      </c>
      <c r="E8" s="23" t="s">
        <v>7582</v>
      </c>
      <c r="F8" s="23" t="s">
        <v>7590</v>
      </c>
      <c r="G8" s="23" t="s">
        <v>7591</v>
      </c>
      <c r="H8" s="23" t="s">
        <v>7592</v>
      </c>
      <c r="I8" s="23" t="s">
        <v>7593</v>
      </c>
      <c r="J8" s="23" t="s">
        <v>15</v>
      </c>
      <c r="K8" s="27" t="s">
        <v>404</v>
      </c>
      <c r="L8" s="23" t="s">
        <v>405</v>
      </c>
      <c r="M8" s="25" t="s">
        <v>18</v>
      </c>
      <c r="N8" s="23" t="s">
        <v>40</v>
      </c>
      <c r="O8" s="23" t="s">
        <v>387</v>
      </c>
      <c r="P8" s="23" t="s">
        <v>40</v>
      </c>
      <c r="Q8" s="23" t="s">
        <v>40</v>
      </c>
      <c r="R8" s="23" t="s">
        <v>198</v>
      </c>
      <c r="S8" s="23" t="s">
        <v>40</v>
      </c>
      <c r="T8" s="23" t="s">
        <v>40</v>
      </c>
    </row>
    <row r="9" spans="1:20" x14ac:dyDescent="0.25">
      <c r="A9" s="23" t="s">
        <v>7594</v>
      </c>
      <c r="B9" s="23" t="s">
        <v>197</v>
      </c>
      <c r="C9" s="23" t="s">
        <v>6581</v>
      </c>
      <c r="D9" s="23" t="s">
        <v>7595</v>
      </c>
      <c r="E9" s="23" t="s">
        <v>3835</v>
      </c>
      <c r="F9" s="23" t="s">
        <v>40</v>
      </c>
      <c r="G9" s="23" t="s">
        <v>7596</v>
      </c>
      <c r="H9" s="23" t="s">
        <v>7597</v>
      </c>
      <c r="I9" s="23" t="s">
        <v>7598</v>
      </c>
      <c r="J9" s="23" t="s">
        <v>466</v>
      </c>
      <c r="K9" s="27" t="s">
        <v>404</v>
      </c>
      <c r="L9" s="23" t="s">
        <v>405</v>
      </c>
      <c r="M9" s="25" t="s">
        <v>18</v>
      </c>
      <c r="N9" s="23" t="s">
        <v>40</v>
      </c>
      <c r="O9" s="23" t="s">
        <v>387</v>
      </c>
      <c r="P9" s="23" t="s">
        <v>40</v>
      </c>
      <c r="Q9" s="23" t="s">
        <v>40</v>
      </c>
      <c r="R9" s="23" t="s">
        <v>198</v>
      </c>
      <c r="S9" s="23" t="s">
        <v>40</v>
      </c>
      <c r="T9" s="23" t="s">
        <v>5021</v>
      </c>
    </row>
    <row r="10" spans="1:20" x14ac:dyDescent="0.25">
      <c r="A10" s="23" t="s">
        <v>7599</v>
      </c>
      <c r="B10" s="23" t="s">
        <v>197</v>
      </c>
      <c r="C10" s="23" t="s">
        <v>6581</v>
      </c>
      <c r="D10" s="23" t="s">
        <v>7600</v>
      </c>
      <c r="E10" s="23" t="s">
        <v>3835</v>
      </c>
      <c r="F10" s="23" t="s">
        <v>7601</v>
      </c>
      <c r="G10" s="23" t="s">
        <v>7602</v>
      </c>
      <c r="H10" s="23" t="s">
        <v>7603</v>
      </c>
      <c r="I10" s="23" t="s">
        <v>7604</v>
      </c>
      <c r="J10" s="23" t="s">
        <v>15</v>
      </c>
      <c r="K10" s="27" t="s">
        <v>404</v>
      </c>
      <c r="L10" s="23" t="s">
        <v>405</v>
      </c>
      <c r="M10" s="25" t="s">
        <v>18</v>
      </c>
      <c r="N10" s="23" t="s">
        <v>40</v>
      </c>
      <c r="O10" s="23" t="s">
        <v>387</v>
      </c>
      <c r="P10" s="23" t="s">
        <v>40</v>
      </c>
      <c r="Q10" s="23" t="s">
        <v>40</v>
      </c>
      <c r="R10" s="23" t="s">
        <v>198</v>
      </c>
      <c r="S10" s="23" t="s">
        <v>40</v>
      </c>
      <c r="T10" s="23" t="s">
        <v>40</v>
      </c>
    </row>
    <row r="11" spans="1:20" x14ac:dyDescent="0.25">
      <c r="A11" s="23" t="s">
        <v>7605</v>
      </c>
      <c r="B11" s="23" t="s">
        <v>197</v>
      </c>
      <c r="C11" s="23" t="s">
        <v>6581</v>
      </c>
      <c r="D11" s="23" t="s">
        <v>7606</v>
      </c>
      <c r="E11" s="23" t="s">
        <v>3835</v>
      </c>
      <c r="F11" s="23" t="s">
        <v>40</v>
      </c>
      <c r="G11" s="23" t="s">
        <v>7607</v>
      </c>
      <c r="H11" s="23" t="s">
        <v>7608</v>
      </c>
      <c r="I11" s="23" t="s">
        <v>7609</v>
      </c>
      <c r="J11" s="23" t="s">
        <v>395</v>
      </c>
      <c r="K11" s="24" t="s">
        <v>386</v>
      </c>
      <c r="L11" s="23" t="s">
        <v>405</v>
      </c>
      <c r="M11" s="25" t="s">
        <v>18</v>
      </c>
      <c r="N11" s="23" t="s">
        <v>40</v>
      </c>
      <c r="O11" s="23" t="s">
        <v>387</v>
      </c>
      <c r="P11" s="23" t="s">
        <v>40</v>
      </c>
      <c r="Q11" s="23" t="s">
        <v>40</v>
      </c>
      <c r="R11" s="23" t="s">
        <v>198</v>
      </c>
      <c r="S11" s="23" t="s">
        <v>40</v>
      </c>
      <c r="T11" s="23" t="s">
        <v>40</v>
      </c>
    </row>
    <row r="12" spans="1:20" x14ac:dyDescent="0.25">
      <c r="A12" s="23" t="s">
        <v>7610</v>
      </c>
      <c r="B12" s="23" t="s">
        <v>197</v>
      </c>
      <c r="C12" s="23" t="s">
        <v>6581</v>
      </c>
      <c r="D12" s="23" t="s">
        <v>7611</v>
      </c>
      <c r="E12" s="23" t="s">
        <v>3835</v>
      </c>
      <c r="F12" s="23" t="s">
        <v>7612</v>
      </c>
      <c r="G12" s="23" t="s">
        <v>7613</v>
      </c>
      <c r="H12" s="23" t="s">
        <v>7614</v>
      </c>
      <c r="I12" s="23" t="s">
        <v>7615</v>
      </c>
      <c r="J12" s="23" t="s">
        <v>489</v>
      </c>
      <c r="K12" s="27" t="s">
        <v>404</v>
      </c>
      <c r="L12" s="23" t="s">
        <v>490</v>
      </c>
      <c r="M12" s="25" t="s">
        <v>18</v>
      </c>
      <c r="N12" s="23" t="s">
        <v>40</v>
      </c>
      <c r="O12" s="23" t="s">
        <v>387</v>
      </c>
      <c r="P12" s="23" t="s">
        <v>40</v>
      </c>
      <c r="Q12" s="23" t="s">
        <v>40</v>
      </c>
      <c r="R12" s="23" t="s">
        <v>198</v>
      </c>
      <c r="S12" s="23" t="s">
        <v>40</v>
      </c>
      <c r="T12" s="23" t="s">
        <v>40</v>
      </c>
    </row>
    <row r="13" spans="1:20" x14ac:dyDescent="0.25">
      <c r="A13" s="23" t="s">
        <v>7616</v>
      </c>
      <c r="B13" s="23" t="s">
        <v>197</v>
      </c>
      <c r="C13" s="23" t="s">
        <v>2304</v>
      </c>
      <c r="D13" s="23" t="s">
        <v>2636</v>
      </c>
      <c r="E13" s="23" t="s">
        <v>3835</v>
      </c>
      <c r="F13" s="23" t="s">
        <v>40</v>
      </c>
      <c r="G13" s="23" t="s">
        <v>7617</v>
      </c>
      <c r="H13" s="23" t="s">
        <v>7618</v>
      </c>
      <c r="I13" s="23" t="s">
        <v>7619</v>
      </c>
      <c r="J13" s="23" t="s">
        <v>385</v>
      </c>
      <c r="K13" s="32" t="s">
        <v>747</v>
      </c>
      <c r="L13" s="23" t="s">
        <v>490</v>
      </c>
      <c r="M13" s="25" t="s">
        <v>18</v>
      </c>
      <c r="N13" s="23" t="s">
        <v>40</v>
      </c>
      <c r="O13" s="23" t="s">
        <v>387</v>
      </c>
      <c r="P13" s="23" t="s">
        <v>40</v>
      </c>
      <c r="Q13" s="23" t="s">
        <v>40</v>
      </c>
      <c r="R13" s="23" t="s">
        <v>198</v>
      </c>
      <c r="S13" s="23" t="s">
        <v>40</v>
      </c>
      <c r="T13" s="23" t="s">
        <v>40</v>
      </c>
    </row>
    <row r="14" spans="1:20" x14ac:dyDescent="0.25">
      <c r="A14" s="23" t="s">
        <v>7620</v>
      </c>
      <c r="B14" s="23" t="s">
        <v>197</v>
      </c>
      <c r="C14" s="23" t="s">
        <v>2304</v>
      </c>
      <c r="D14" s="23" t="s">
        <v>7621</v>
      </c>
      <c r="E14" s="23" t="s">
        <v>3835</v>
      </c>
      <c r="F14" s="23" t="s">
        <v>40</v>
      </c>
      <c r="G14" s="23" t="s">
        <v>7622</v>
      </c>
      <c r="H14" s="23" t="s">
        <v>7623</v>
      </c>
      <c r="I14" s="23" t="s">
        <v>7624</v>
      </c>
      <c r="J14" s="23" t="s">
        <v>385</v>
      </c>
      <c r="K14" s="32" t="s">
        <v>747</v>
      </c>
      <c r="L14" s="23" t="s">
        <v>490</v>
      </c>
      <c r="M14" s="25" t="s">
        <v>18</v>
      </c>
      <c r="N14" s="23" t="s">
        <v>40</v>
      </c>
      <c r="O14" s="23" t="s">
        <v>387</v>
      </c>
      <c r="P14" s="23" t="s">
        <v>40</v>
      </c>
      <c r="Q14" s="23" t="s">
        <v>40</v>
      </c>
      <c r="R14" s="23" t="s">
        <v>198</v>
      </c>
      <c r="S14" s="23" t="s">
        <v>7625</v>
      </c>
      <c r="T14" s="23" t="s">
        <v>40</v>
      </c>
    </row>
    <row r="15" spans="1:20" x14ac:dyDescent="0.25">
      <c r="A15" s="23" t="s">
        <v>7626</v>
      </c>
      <c r="B15" s="23" t="s">
        <v>197</v>
      </c>
      <c r="C15" s="23" t="s">
        <v>951</v>
      </c>
      <c r="D15" s="23" t="s">
        <v>7627</v>
      </c>
      <c r="E15" s="23" t="s">
        <v>3835</v>
      </c>
      <c r="F15" s="23" t="s">
        <v>7628</v>
      </c>
      <c r="G15" s="23" t="s">
        <v>7629</v>
      </c>
      <c r="H15" s="23" t="s">
        <v>7630</v>
      </c>
      <c r="I15" s="23" t="s">
        <v>7631</v>
      </c>
      <c r="J15" s="23" t="s">
        <v>385</v>
      </c>
      <c r="K15" s="27" t="s">
        <v>404</v>
      </c>
      <c r="L15" s="23" t="s">
        <v>405</v>
      </c>
      <c r="M15" s="25" t="s">
        <v>18</v>
      </c>
      <c r="N15" s="23" t="s">
        <v>40</v>
      </c>
      <c r="O15" s="23" t="s">
        <v>387</v>
      </c>
      <c r="P15" s="23" t="s">
        <v>40</v>
      </c>
      <c r="Q15" s="23" t="s">
        <v>40</v>
      </c>
      <c r="R15" s="23" t="s">
        <v>198</v>
      </c>
      <c r="S15" s="23" t="s">
        <v>7632</v>
      </c>
      <c r="T15" s="23" t="s">
        <v>40</v>
      </c>
    </row>
    <row r="16" spans="1:20" x14ac:dyDescent="0.25">
      <c r="A16" s="23" t="s">
        <v>7633</v>
      </c>
      <c r="B16" s="23" t="s">
        <v>197</v>
      </c>
      <c r="C16" s="23" t="s">
        <v>951</v>
      </c>
      <c r="D16" s="23" t="s">
        <v>7634</v>
      </c>
      <c r="E16" s="23" t="s">
        <v>3835</v>
      </c>
      <c r="F16" s="23" t="s">
        <v>7635</v>
      </c>
      <c r="G16" s="23" t="s">
        <v>7636</v>
      </c>
      <c r="H16" s="23" t="s">
        <v>7637</v>
      </c>
      <c r="I16" s="23" t="s">
        <v>1739</v>
      </c>
      <c r="J16" s="23" t="s">
        <v>385</v>
      </c>
      <c r="K16" s="32" t="s">
        <v>747</v>
      </c>
      <c r="L16" s="23" t="s">
        <v>490</v>
      </c>
      <c r="M16" s="25" t="s">
        <v>18</v>
      </c>
      <c r="N16" s="23" t="s">
        <v>40</v>
      </c>
      <c r="O16" s="23" t="s">
        <v>387</v>
      </c>
      <c r="P16" s="23" t="s">
        <v>40</v>
      </c>
      <c r="Q16" s="23" t="s">
        <v>40</v>
      </c>
      <c r="R16" s="23" t="s">
        <v>198</v>
      </c>
      <c r="S16" s="23" t="s">
        <v>40</v>
      </c>
      <c r="T16" s="23" t="s">
        <v>40</v>
      </c>
    </row>
    <row r="17" spans="1:20" x14ac:dyDescent="0.25">
      <c r="A17" s="23" t="s">
        <v>7638</v>
      </c>
      <c r="B17" s="23" t="s">
        <v>197</v>
      </c>
      <c r="C17" s="23" t="s">
        <v>951</v>
      </c>
      <c r="D17" s="23" t="s">
        <v>7639</v>
      </c>
      <c r="E17" s="23" t="s">
        <v>7640</v>
      </c>
      <c r="F17" s="23" t="s">
        <v>40</v>
      </c>
      <c r="G17" s="23" t="s">
        <v>7641</v>
      </c>
      <c r="H17" s="23" t="s">
        <v>7642</v>
      </c>
      <c r="I17" s="23" t="s">
        <v>7643</v>
      </c>
      <c r="J17" s="23" t="s">
        <v>385</v>
      </c>
      <c r="K17" s="27" t="s">
        <v>404</v>
      </c>
      <c r="L17" s="23" t="s">
        <v>405</v>
      </c>
      <c r="M17" s="25" t="s">
        <v>18</v>
      </c>
      <c r="N17" s="23" t="s">
        <v>40</v>
      </c>
      <c r="O17" s="23" t="s">
        <v>387</v>
      </c>
      <c r="P17" s="23" t="s">
        <v>40</v>
      </c>
      <c r="Q17" s="23" t="s">
        <v>40</v>
      </c>
      <c r="R17" s="23" t="s">
        <v>198</v>
      </c>
      <c r="S17" s="23" t="s">
        <v>7644</v>
      </c>
      <c r="T17" s="23" t="s">
        <v>40</v>
      </c>
    </row>
    <row r="18" spans="1:20" x14ac:dyDescent="0.25">
      <c r="A18" s="23" t="s">
        <v>7645</v>
      </c>
      <c r="B18" s="23" t="s">
        <v>197</v>
      </c>
      <c r="C18" s="23" t="s">
        <v>7646</v>
      </c>
      <c r="D18" s="23" t="s">
        <v>7647</v>
      </c>
      <c r="E18" s="23" t="s">
        <v>7648</v>
      </c>
      <c r="F18" s="23" t="s">
        <v>40</v>
      </c>
      <c r="G18" s="23" t="s">
        <v>7649</v>
      </c>
      <c r="H18" s="23" t="s">
        <v>7650</v>
      </c>
      <c r="I18" s="23" t="s">
        <v>7651</v>
      </c>
      <c r="J18" s="23" t="s">
        <v>14</v>
      </c>
      <c r="K18" s="24" t="s">
        <v>386</v>
      </c>
      <c r="L18" s="23" t="s">
        <v>405</v>
      </c>
      <c r="M18" s="25" t="s">
        <v>18</v>
      </c>
      <c r="N18" s="23" t="s">
        <v>40</v>
      </c>
      <c r="O18" s="23" t="s">
        <v>387</v>
      </c>
      <c r="P18" s="23" t="s">
        <v>40</v>
      </c>
      <c r="Q18" s="23" t="s">
        <v>40</v>
      </c>
      <c r="R18" s="23" t="s">
        <v>198</v>
      </c>
      <c r="S18" s="23" t="s">
        <v>40</v>
      </c>
      <c r="T18" s="23" t="s">
        <v>40</v>
      </c>
    </row>
    <row r="19" spans="1:20" x14ac:dyDescent="0.25">
      <c r="A19" s="23" t="s">
        <v>7652</v>
      </c>
      <c r="B19" s="23" t="s">
        <v>197</v>
      </c>
      <c r="C19" s="23" t="s">
        <v>7653</v>
      </c>
      <c r="D19" s="23" t="s">
        <v>7654</v>
      </c>
      <c r="E19" s="23" t="s">
        <v>7655</v>
      </c>
      <c r="F19" s="23" t="s">
        <v>7656</v>
      </c>
      <c r="G19" s="23" t="s">
        <v>7657</v>
      </c>
      <c r="H19" s="23" t="s">
        <v>7658</v>
      </c>
      <c r="I19" s="23" t="s">
        <v>7659</v>
      </c>
      <c r="J19" s="23" t="s">
        <v>14</v>
      </c>
      <c r="K19" s="24" t="s">
        <v>386</v>
      </c>
      <c r="L19" s="23" t="s">
        <v>405</v>
      </c>
      <c r="M19" s="25" t="s">
        <v>18</v>
      </c>
      <c r="N19" s="23" t="s">
        <v>40</v>
      </c>
      <c r="O19" s="23" t="s">
        <v>387</v>
      </c>
      <c r="P19" s="23" t="s">
        <v>40</v>
      </c>
      <c r="Q19" s="23" t="s">
        <v>40</v>
      </c>
      <c r="R19" s="23" t="s">
        <v>198</v>
      </c>
      <c r="S19" s="23" t="s">
        <v>40</v>
      </c>
      <c r="T19" s="23" t="s">
        <v>5152</v>
      </c>
    </row>
    <row r="20" spans="1:20" x14ac:dyDescent="0.25">
      <c r="A20" s="23" t="s">
        <v>7660</v>
      </c>
      <c r="B20" s="23" t="s">
        <v>197</v>
      </c>
      <c r="C20" s="23" t="s">
        <v>7653</v>
      </c>
      <c r="D20" s="23" t="s">
        <v>7661</v>
      </c>
      <c r="E20" s="23" t="s">
        <v>7662</v>
      </c>
      <c r="F20" s="23" t="s">
        <v>40</v>
      </c>
      <c r="G20" s="23" t="s">
        <v>7663</v>
      </c>
      <c r="H20" s="23" t="s">
        <v>7664</v>
      </c>
      <c r="I20" s="23" t="s">
        <v>7665</v>
      </c>
      <c r="J20" s="23" t="s">
        <v>15</v>
      </c>
      <c r="K20" s="24" t="s">
        <v>386</v>
      </c>
      <c r="L20" s="23" t="s">
        <v>13</v>
      </c>
      <c r="M20" s="25" t="s">
        <v>18</v>
      </c>
      <c r="N20" s="23" t="s">
        <v>40</v>
      </c>
      <c r="O20" s="23" t="s">
        <v>387</v>
      </c>
      <c r="P20" s="23" t="s">
        <v>40</v>
      </c>
      <c r="Q20" s="23" t="s">
        <v>40</v>
      </c>
      <c r="R20" s="23" t="s">
        <v>198</v>
      </c>
      <c r="S20" s="23" t="s">
        <v>40</v>
      </c>
      <c r="T20" s="23" t="s">
        <v>5152</v>
      </c>
    </row>
    <row r="21" spans="1:20" x14ac:dyDescent="0.25">
      <c r="A21" s="23" t="s">
        <v>7666</v>
      </c>
      <c r="B21" s="23" t="s">
        <v>197</v>
      </c>
      <c r="C21" s="23" t="s">
        <v>801</v>
      </c>
      <c r="D21" s="23" t="s">
        <v>7667</v>
      </c>
      <c r="E21" s="23" t="s">
        <v>7668</v>
      </c>
      <c r="F21" s="23" t="s">
        <v>40</v>
      </c>
      <c r="G21" s="23" t="s">
        <v>7669</v>
      </c>
      <c r="H21" s="23" t="s">
        <v>7670</v>
      </c>
      <c r="I21" s="23" t="s">
        <v>7671</v>
      </c>
      <c r="J21" s="23" t="s">
        <v>801</v>
      </c>
      <c r="K21" s="24" t="s">
        <v>386</v>
      </c>
      <c r="L21" s="23" t="s">
        <v>405</v>
      </c>
      <c r="M21" s="25" t="s">
        <v>18</v>
      </c>
      <c r="N21" s="23" t="s">
        <v>40</v>
      </c>
      <c r="O21" s="23" t="s">
        <v>387</v>
      </c>
      <c r="P21" s="23" t="s">
        <v>40</v>
      </c>
      <c r="Q21" s="23" t="s">
        <v>40</v>
      </c>
      <c r="R21" s="23" t="s">
        <v>198</v>
      </c>
      <c r="S21" s="23" t="s">
        <v>40</v>
      </c>
      <c r="T21" s="23" t="s">
        <v>40</v>
      </c>
    </row>
    <row r="22" spans="1:20" x14ac:dyDescent="0.25">
      <c r="A22" s="23" t="s">
        <v>7672</v>
      </c>
      <c r="B22" s="23" t="s">
        <v>197</v>
      </c>
      <c r="C22" s="23" t="s">
        <v>6700</v>
      </c>
      <c r="D22" s="23" t="s">
        <v>7673</v>
      </c>
      <c r="E22" s="23" t="s">
        <v>6821</v>
      </c>
      <c r="F22" s="23" t="s">
        <v>40</v>
      </c>
      <c r="G22" s="23" t="s">
        <v>7674</v>
      </c>
      <c r="H22" s="23" t="s">
        <v>7675</v>
      </c>
      <c r="I22" s="23" t="s">
        <v>7676</v>
      </c>
      <c r="J22" s="23" t="s">
        <v>525</v>
      </c>
      <c r="K22" s="24" t="s">
        <v>386</v>
      </c>
      <c r="L22" s="23" t="s">
        <v>13</v>
      </c>
      <c r="M22" s="25" t="s">
        <v>18</v>
      </c>
      <c r="N22" s="23" t="s">
        <v>40</v>
      </c>
      <c r="O22" s="23" t="s">
        <v>387</v>
      </c>
      <c r="P22" s="23" t="s">
        <v>40</v>
      </c>
      <c r="Q22" s="23" t="s">
        <v>40</v>
      </c>
      <c r="R22" s="23" t="s">
        <v>198</v>
      </c>
      <c r="S22" s="23" t="s">
        <v>40</v>
      </c>
      <c r="T22" s="23" t="s">
        <v>2114</v>
      </c>
    </row>
    <row r="23" spans="1:20" x14ac:dyDescent="0.25">
      <c r="A23" s="23" t="s">
        <v>7677</v>
      </c>
      <c r="B23" s="23" t="s">
        <v>197</v>
      </c>
      <c r="C23" s="23" t="s">
        <v>6700</v>
      </c>
      <c r="D23" s="23" t="s">
        <v>4749</v>
      </c>
      <c r="E23" s="23" t="s">
        <v>2951</v>
      </c>
      <c r="F23" s="23" t="s">
        <v>40</v>
      </c>
      <c r="G23" s="23" t="s">
        <v>7678</v>
      </c>
      <c r="H23" s="23" t="s">
        <v>7679</v>
      </c>
      <c r="I23" s="23" t="s">
        <v>3428</v>
      </c>
      <c r="J23" s="23" t="s">
        <v>395</v>
      </c>
      <c r="K23" s="24" t="s">
        <v>386</v>
      </c>
      <c r="L23" s="23" t="s">
        <v>405</v>
      </c>
      <c r="M23" s="25" t="s">
        <v>18</v>
      </c>
      <c r="N23" s="23" t="s">
        <v>40</v>
      </c>
      <c r="O23" s="23" t="s">
        <v>387</v>
      </c>
      <c r="P23" s="23" t="s">
        <v>40</v>
      </c>
      <c r="Q23" s="23" t="s">
        <v>40</v>
      </c>
      <c r="R23" s="23" t="s">
        <v>198</v>
      </c>
      <c r="S23" s="23" t="s">
        <v>40</v>
      </c>
      <c r="T23" s="23" t="s">
        <v>40</v>
      </c>
    </row>
    <row r="24" spans="1:20" x14ac:dyDescent="0.25">
      <c r="A24" s="23" t="s">
        <v>7680</v>
      </c>
      <c r="B24" s="23" t="s">
        <v>200</v>
      </c>
      <c r="C24" s="23" t="s">
        <v>944</v>
      </c>
      <c r="D24" s="23" t="s">
        <v>7681</v>
      </c>
      <c r="E24" s="23" t="s">
        <v>3835</v>
      </c>
      <c r="F24" s="23" t="s">
        <v>7682</v>
      </c>
      <c r="G24" s="23" t="s">
        <v>7683</v>
      </c>
      <c r="H24" s="23" t="s">
        <v>7684</v>
      </c>
      <c r="I24" s="23" t="s">
        <v>7685</v>
      </c>
      <c r="J24" s="23" t="s">
        <v>385</v>
      </c>
      <c r="K24" s="24" t="s">
        <v>386</v>
      </c>
      <c r="L24" s="23" t="s">
        <v>13</v>
      </c>
      <c r="M24" s="31" t="s">
        <v>17</v>
      </c>
      <c r="N24" s="23" t="s">
        <v>7686</v>
      </c>
      <c r="O24" s="29" t="s">
        <v>87</v>
      </c>
      <c r="P24" s="23" t="s">
        <v>40</v>
      </c>
      <c r="Q24" s="23" t="s">
        <v>40</v>
      </c>
      <c r="R24" s="23" t="s">
        <v>201</v>
      </c>
      <c r="S24" s="23" t="s">
        <v>40</v>
      </c>
      <c r="T24" s="23" t="s">
        <v>40</v>
      </c>
    </row>
    <row r="25" spans="1:20" x14ac:dyDescent="0.25">
      <c r="A25" s="23" t="s">
        <v>7687</v>
      </c>
      <c r="B25" s="23" t="s">
        <v>200</v>
      </c>
      <c r="C25" s="23" t="s">
        <v>7688</v>
      </c>
      <c r="D25" s="23" t="s">
        <v>7689</v>
      </c>
      <c r="E25" s="23" t="s">
        <v>3835</v>
      </c>
      <c r="F25" s="23" t="s">
        <v>7690</v>
      </c>
      <c r="G25" s="23" t="s">
        <v>7691</v>
      </c>
      <c r="H25" s="23" t="s">
        <v>7692</v>
      </c>
      <c r="I25" s="23" t="s">
        <v>7693</v>
      </c>
      <c r="J25" s="23" t="s">
        <v>14</v>
      </c>
      <c r="K25" s="26" t="s">
        <v>396</v>
      </c>
      <c r="L25" s="23" t="s">
        <v>13</v>
      </c>
      <c r="M25" s="28" t="s">
        <v>16</v>
      </c>
      <c r="N25" s="23" t="s">
        <v>7694</v>
      </c>
      <c r="O25" s="29" t="s">
        <v>87</v>
      </c>
      <c r="P25" s="23" t="s">
        <v>40</v>
      </c>
      <c r="Q25" s="23" t="s">
        <v>40</v>
      </c>
      <c r="R25" s="23" t="s">
        <v>201</v>
      </c>
      <c r="S25" s="23" t="s">
        <v>40</v>
      </c>
      <c r="T25" s="23" t="s">
        <v>5208</v>
      </c>
    </row>
    <row r="26" spans="1:20" x14ac:dyDescent="0.25">
      <c r="A26" s="23" t="s">
        <v>7695</v>
      </c>
      <c r="B26" s="23" t="s">
        <v>200</v>
      </c>
      <c r="C26" s="23" t="s">
        <v>7688</v>
      </c>
      <c r="D26" s="23" t="s">
        <v>7696</v>
      </c>
      <c r="E26" s="23" t="s">
        <v>3835</v>
      </c>
      <c r="F26" s="23" t="s">
        <v>7697</v>
      </c>
      <c r="G26" s="23" t="s">
        <v>7698</v>
      </c>
      <c r="H26" s="23" t="s">
        <v>7699</v>
      </c>
      <c r="I26" s="23" t="s">
        <v>7700</v>
      </c>
      <c r="J26" s="23" t="s">
        <v>14</v>
      </c>
      <c r="K26" s="24" t="s">
        <v>386</v>
      </c>
      <c r="L26" s="23" t="s">
        <v>405</v>
      </c>
      <c r="M26" s="25" t="s">
        <v>18</v>
      </c>
      <c r="N26" s="23" t="s">
        <v>40</v>
      </c>
      <c r="O26" s="23" t="s">
        <v>387</v>
      </c>
      <c r="P26" s="23" t="s">
        <v>40</v>
      </c>
      <c r="Q26" s="23" t="s">
        <v>40</v>
      </c>
      <c r="R26" s="23" t="s">
        <v>201</v>
      </c>
      <c r="S26" s="23" t="s">
        <v>40</v>
      </c>
      <c r="T26" s="23" t="s">
        <v>40</v>
      </c>
    </row>
    <row r="27" spans="1:20" x14ac:dyDescent="0.25">
      <c r="A27" s="23" t="s">
        <v>7701</v>
      </c>
      <c r="B27" s="23" t="s">
        <v>200</v>
      </c>
      <c r="C27" s="23" t="s">
        <v>7688</v>
      </c>
      <c r="D27" s="23" t="s">
        <v>7702</v>
      </c>
      <c r="E27" s="23" t="s">
        <v>3835</v>
      </c>
      <c r="F27" s="23" t="s">
        <v>40</v>
      </c>
      <c r="G27" s="23" t="s">
        <v>7703</v>
      </c>
      <c r="H27" s="23" t="s">
        <v>7704</v>
      </c>
      <c r="I27" s="23" t="s">
        <v>7705</v>
      </c>
      <c r="J27" s="23" t="s">
        <v>14</v>
      </c>
      <c r="K27" s="24" t="s">
        <v>386</v>
      </c>
      <c r="L27" s="23" t="s">
        <v>405</v>
      </c>
      <c r="M27" s="25" t="s">
        <v>18</v>
      </c>
      <c r="N27" s="23" t="s">
        <v>40</v>
      </c>
      <c r="O27" s="23" t="s">
        <v>387</v>
      </c>
      <c r="P27" s="23" t="s">
        <v>40</v>
      </c>
      <c r="Q27" s="23" t="s">
        <v>40</v>
      </c>
      <c r="R27" s="23" t="s">
        <v>201</v>
      </c>
      <c r="S27" s="23" t="s">
        <v>40</v>
      </c>
      <c r="T27" s="23" t="s">
        <v>40</v>
      </c>
    </row>
    <row r="28" spans="1:20" x14ac:dyDescent="0.25">
      <c r="A28" s="23" t="s">
        <v>7706</v>
      </c>
      <c r="B28" s="23" t="s">
        <v>200</v>
      </c>
      <c r="C28" s="23" t="s">
        <v>7688</v>
      </c>
      <c r="D28" s="23" t="s">
        <v>7707</v>
      </c>
      <c r="E28" s="23" t="s">
        <v>3835</v>
      </c>
      <c r="F28" s="23" t="s">
        <v>40</v>
      </c>
      <c r="G28" s="23" t="s">
        <v>7708</v>
      </c>
      <c r="H28" s="23" t="s">
        <v>7709</v>
      </c>
      <c r="I28" s="23" t="s">
        <v>7710</v>
      </c>
      <c r="J28" s="23" t="s">
        <v>14</v>
      </c>
      <c r="K28" s="24" t="s">
        <v>386</v>
      </c>
      <c r="L28" s="23" t="s">
        <v>405</v>
      </c>
      <c r="M28" s="25" t="s">
        <v>18</v>
      </c>
      <c r="N28" s="23" t="s">
        <v>40</v>
      </c>
      <c r="O28" s="23" t="s">
        <v>387</v>
      </c>
      <c r="P28" s="23" t="s">
        <v>40</v>
      </c>
      <c r="Q28" s="23" t="s">
        <v>40</v>
      </c>
      <c r="R28" s="23" t="s">
        <v>201</v>
      </c>
      <c r="S28" s="23" t="s">
        <v>40</v>
      </c>
      <c r="T28" s="23" t="s">
        <v>956</v>
      </c>
    </row>
    <row r="29" spans="1:20" x14ac:dyDescent="0.25">
      <c r="A29" s="23" t="s">
        <v>7711</v>
      </c>
      <c r="B29" s="23" t="s">
        <v>200</v>
      </c>
      <c r="C29" s="23" t="s">
        <v>7688</v>
      </c>
      <c r="D29" s="23" t="s">
        <v>7712</v>
      </c>
      <c r="E29" s="23" t="s">
        <v>3835</v>
      </c>
      <c r="F29" s="23" t="s">
        <v>40</v>
      </c>
      <c r="G29" s="23" t="s">
        <v>7713</v>
      </c>
      <c r="H29" s="23" t="s">
        <v>7714</v>
      </c>
      <c r="I29" s="23" t="s">
        <v>7715</v>
      </c>
      <c r="J29" s="23" t="s">
        <v>14</v>
      </c>
      <c r="K29" s="27" t="s">
        <v>404</v>
      </c>
      <c r="L29" s="23" t="s">
        <v>490</v>
      </c>
      <c r="M29" s="25" t="s">
        <v>18</v>
      </c>
      <c r="N29" s="23" t="s">
        <v>40</v>
      </c>
      <c r="O29" s="23" t="s">
        <v>387</v>
      </c>
      <c r="P29" s="23" t="s">
        <v>40</v>
      </c>
      <c r="Q29" s="23" t="s">
        <v>40</v>
      </c>
      <c r="R29" s="23" t="s">
        <v>201</v>
      </c>
      <c r="S29" s="23" t="s">
        <v>40</v>
      </c>
      <c r="T29" s="23" t="s">
        <v>956</v>
      </c>
    </row>
    <row r="30" spans="1:20" x14ac:dyDescent="0.25">
      <c r="A30" s="23" t="s">
        <v>7716</v>
      </c>
      <c r="B30" s="23" t="s">
        <v>200</v>
      </c>
      <c r="C30" s="23" t="s">
        <v>7688</v>
      </c>
      <c r="D30" s="23" t="s">
        <v>7717</v>
      </c>
      <c r="E30" s="23" t="s">
        <v>3835</v>
      </c>
      <c r="F30" s="23" t="s">
        <v>40</v>
      </c>
      <c r="G30" s="23" t="s">
        <v>7718</v>
      </c>
      <c r="H30" s="23" t="s">
        <v>7719</v>
      </c>
      <c r="I30" s="23" t="s">
        <v>7720</v>
      </c>
      <c r="J30" s="23" t="s">
        <v>489</v>
      </c>
      <c r="K30" s="27" t="s">
        <v>404</v>
      </c>
      <c r="L30" s="23" t="s">
        <v>490</v>
      </c>
      <c r="M30" s="25" t="s">
        <v>18</v>
      </c>
      <c r="N30" s="23" t="s">
        <v>40</v>
      </c>
      <c r="O30" s="23" t="s">
        <v>387</v>
      </c>
      <c r="P30" s="23" t="s">
        <v>40</v>
      </c>
      <c r="Q30" s="23" t="s">
        <v>40</v>
      </c>
      <c r="R30" s="23" t="s">
        <v>201</v>
      </c>
      <c r="S30" s="23" t="s">
        <v>40</v>
      </c>
      <c r="T30" s="23" t="s">
        <v>1235</v>
      </c>
    </row>
    <row r="31" spans="1:20" x14ac:dyDescent="0.25">
      <c r="A31" s="23" t="s">
        <v>7721</v>
      </c>
      <c r="B31" s="23" t="s">
        <v>200</v>
      </c>
      <c r="C31" s="23" t="s">
        <v>461</v>
      </c>
      <c r="D31" s="23" t="s">
        <v>7722</v>
      </c>
      <c r="E31" s="23" t="s">
        <v>3835</v>
      </c>
      <c r="F31" s="23" t="s">
        <v>40</v>
      </c>
      <c r="G31" s="23" t="s">
        <v>7723</v>
      </c>
      <c r="H31" s="23" t="s">
        <v>7724</v>
      </c>
      <c r="I31" s="23" t="s">
        <v>7725</v>
      </c>
      <c r="J31" s="23" t="s">
        <v>466</v>
      </c>
      <c r="K31" s="24" t="s">
        <v>386</v>
      </c>
      <c r="L31" s="23" t="s">
        <v>13</v>
      </c>
      <c r="M31" s="25" t="s">
        <v>18</v>
      </c>
      <c r="N31" s="23" t="s">
        <v>40</v>
      </c>
      <c r="O31" s="23" t="s">
        <v>387</v>
      </c>
      <c r="P31" s="23" t="s">
        <v>40</v>
      </c>
      <c r="Q31" s="23" t="s">
        <v>40</v>
      </c>
      <c r="R31" s="23" t="s">
        <v>201</v>
      </c>
      <c r="S31" s="23" t="s">
        <v>40</v>
      </c>
      <c r="T31" s="23" t="s">
        <v>40</v>
      </c>
    </row>
    <row r="32" spans="1:20" x14ac:dyDescent="0.25">
      <c r="A32" s="23" t="s">
        <v>7726</v>
      </c>
      <c r="B32" s="23" t="s">
        <v>200</v>
      </c>
      <c r="C32" s="23" t="s">
        <v>461</v>
      </c>
      <c r="D32" s="23" t="s">
        <v>7727</v>
      </c>
      <c r="E32" s="23" t="s">
        <v>3835</v>
      </c>
      <c r="F32" s="23" t="s">
        <v>40</v>
      </c>
      <c r="G32" s="23" t="s">
        <v>7728</v>
      </c>
      <c r="H32" s="23" t="s">
        <v>7729</v>
      </c>
      <c r="I32" s="23" t="s">
        <v>7730</v>
      </c>
      <c r="J32" s="23" t="s">
        <v>466</v>
      </c>
      <c r="K32" s="27" t="s">
        <v>404</v>
      </c>
      <c r="L32" s="23" t="s">
        <v>405</v>
      </c>
      <c r="M32" s="25" t="s">
        <v>18</v>
      </c>
      <c r="N32" s="23" t="s">
        <v>40</v>
      </c>
      <c r="O32" s="23" t="s">
        <v>387</v>
      </c>
      <c r="P32" s="23" t="s">
        <v>40</v>
      </c>
      <c r="Q32" s="23" t="s">
        <v>40</v>
      </c>
      <c r="R32" s="23" t="s">
        <v>201</v>
      </c>
      <c r="S32" s="23" t="s">
        <v>40</v>
      </c>
      <c r="T32" s="23" t="s">
        <v>40</v>
      </c>
    </row>
    <row r="33" spans="1:20" x14ac:dyDescent="0.25">
      <c r="A33" s="23" t="s">
        <v>7731</v>
      </c>
      <c r="B33" s="23" t="s">
        <v>200</v>
      </c>
      <c r="C33" s="23" t="s">
        <v>461</v>
      </c>
      <c r="D33" s="23" t="s">
        <v>7732</v>
      </c>
      <c r="E33" s="23" t="s">
        <v>3835</v>
      </c>
      <c r="F33" s="23" t="s">
        <v>40</v>
      </c>
      <c r="G33" s="23" t="s">
        <v>7733</v>
      </c>
      <c r="H33" s="23" t="s">
        <v>7734</v>
      </c>
      <c r="I33" s="23" t="s">
        <v>7735</v>
      </c>
      <c r="J33" s="23" t="s">
        <v>466</v>
      </c>
      <c r="K33" s="27" t="s">
        <v>404</v>
      </c>
      <c r="L33" s="23" t="s">
        <v>405</v>
      </c>
      <c r="M33" s="25" t="s">
        <v>18</v>
      </c>
      <c r="N33" s="23" t="s">
        <v>40</v>
      </c>
      <c r="O33" s="23" t="s">
        <v>387</v>
      </c>
      <c r="P33" s="23" t="s">
        <v>40</v>
      </c>
      <c r="Q33" s="23" t="s">
        <v>40</v>
      </c>
      <c r="R33" s="23" t="s">
        <v>201</v>
      </c>
      <c r="S33" s="23" t="s">
        <v>40</v>
      </c>
      <c r="T33" s="23" t="s">
        <v>40</v>
      </c>
    </row>
    <row r="34" spans="1:20" x14ac:dyDescent="0.25">
      <c r="A34" s="23" t="s">
        <v>7736</v>
      </c>
      <c r="B34" s="23" t="s">
        <v>200</v>
      </c>
      <c r="C34" s="23" t="s">
        <v>6581</v>
      </c>
      <c r="D34" s="23" t="s">
        <v>7737</v>
      </c>
      <c r="E34" s="23" t="s">
        <v>3835</v>
      </c>
      <c r="F34" s="23" t="s">
        <v>40</v>
      </c>
      <c r="G34" s="23" t="s">
        <v>7738</v>
      </c>
      <c r="H34" s="23" t="s">
        <v>7739</v>
      </c>
      <c r="I34" s="23" t="s">
        <v>7740</v>
      </c>
      <c r="J34" s="23" t="s">
        <v>15</v>
      </c>
      <c r="K34" s="24" t="s">
        <v>386</v>
      </c>
      <c r="L34" s="23" t="s">
        <v>13</v>
      </c>
      <c r="M34" s="25" t="s">
        <v>18</v>
      </c>
      <c r="N34" s="23" t="s">
        <v>40</v>
      </c>
      <c r="O34" s="23" t="s">
        <v>387</v>
      </c>
      <c r="P34" s="23" t="s">
        <v>40</v>
      </c>
      <c r="Q34" s="23" t="s">
        <v>40</v>
      </c>
      <c r="R34" s="23" t="s">
        <v>201</v>
      </c>
      <c r="S34" s="23" t="s">
        <v>7741</v>
      </c>
      <c r="T34" s="23" t="s">
        <v>1235</v>
      </c>
    </row>
    <row r="35" spans="1:20" x14ac:dyDescent="0.25">
      <c r="A35" s="23" t="s">
        <v>7742</v>
      </c>
      <c r="B35" s="23" t="s">
        <v>200</v>
      </c>
      <c r="C35" s="23" t="s">
        <v>6581</v>
      </c>
      <c r="D35" s="23" t="s">
        <v>7743</v>
      </c>
      <c r="E35" s="23" t="s">
        <v>3835</v>
      </c>
      <c r="F35" s="23" t="s">
        <v>7744</v>
      </c>
      <c r="G35" s="23" t="s">
        <v>7745</v>
      </c>
      <c r="H35" s="23" t="s">
        <v>7746</v>
      </c>
      <c r="I35" s="23" t="s">
        <v>7747</v>
      </c>
      <c r="J35" s="23" t="s">
        <v>15</v>
      </c>
      <c r="K35" s="27" t="s">
        <v>404</v>
      </c>
      <c r="L35" s="23" t="s">
        <v>405</v>
      </c>
      <c r="M35" s="25" t="s">
        <v>18</v>
      </c>
      <c r="N35" s="23" t="s">
        <v>40</v>
      </c>
      <c r="O35" s="23" t="s">
        <v>387</v>
      </c>
      <c r="P35" s="23" t="s">
        <v>40</v>
      </c>
      <c r="Q35" s="23" t="s">
        <v>40</v>
      </c>
      <c r="R35" s="23" t="s">
        <v>201</v>
      </c>
      <c r="S35" s="23" t="s">
        <v>7748</v>
      </c>
      <c r="T35" s="23" t="s">
        <v>1235</v>
      </c>
    </row>
    <row r="36" spans="1:20" x14ac:dyDescent="0.25">
      <c r="A36" s="23" t="s">
        <v>7749</v>
      </c>
      <c r="B36" s="23" t="s">
        <v>200</v>
      </c>
      <c r="C36" s="23" t="s">
        <v>6581</v>
      </c>
      <c r="D36" s="23" t="s">
        <v>7750</v>
      </c>
      <c r="E36" s="23" t="s">
        <v>3835</v>
      </c>
      <c r="F36" s="23" t="s">
        <v>40</v>
      </c>
      <c r="G36" s="23" t="s">
        <v>7751</v>
      </c>
      <c r="H36" s="23" t="s">
        <v>7752</v>
      </c>
      <c r="I36" s="23" t="s">
        <v>7753</v>
      </c>
      <c r="J36" s="23" t="s">
        <v>15</v>
      </c>
      <c r="K36" s="27" t="s">
        <v>404</v>
      </c>
      <c r="L36" s="23" t="s">
        <v>490</v>
      </c>
      <c r="M36" s="25" t="s">
        <v>18</v>
      </c>
      <c r="N36" s="23" t="s">
        <v>40</v>
      </c>
      <c r="O36" s="23" t="s">
        <v>387</v>
      </c>
      <c r="P36" s="23" t="s">
        <v>40</v>
      </c>
      <c r="Q36" s="23" t="s">
        <v>40</v>
      </c>
      <c r="R36" s="23" t="s">
        <v>201</v>
      </c>
      <c r="S36" s="23" t="s">
        <v>40</v>
      </c>
      <c r="T36" s="23" t="s">
        <v>40</v>
      </c>
    </row>
    <row r="37" spans="1:20" x14ac:dyDescent="0.25">
      <c r="A37" s="23" t="s">
        <v>7754</v>
      </c>
      <c r="B37" s="23" t="s">
        <v>200</v>
      </c>
      <c r="C37" s="23" t="s">
        <v>6581</v>
      </c>
      <c r="D37" s="23" t="s">
        <v>7755</v>
      </c>
      <c r="E37" s="23" t="s">
        <v>3835</v>
      </c>
      <c r="F37" s="23" t="s">
        <v>7756</v>
      </c>
      <c r="G37" s="23" t="s">
        <v>7757</v>
      </c>
      <c r="H37" s="23" t="s">
        <v>7758</v>
      </c>
      <c r="I37" s="23" t="s">
        <v>7759</v>
      </c>
      <c r="J37" s="23" t="s">
        <v>15</v>
      </c>
      <c r="K37" s="27" t="s">
        <v>404</v>
      </c>
      <c r="L37" s="23" t="s">
        <v>405</v>
      </c>
      <c r="M37" s="25" t="s">
        <v>18</v>
      </c>
      <c r="N37" s="23" t="s">
        <v>40</v>
      </c>
      <c r="O37" s="23" t="s">
        <v>387</v>
      </c>
      <c r="P37" s="23" t="s">
        <v>40</v>
      </c>
      <c r="Q37" s="23" t="s">
        <v>40</v>
      </c>
      <c r="R37" s="23" t="s">
        <v>201</v>
      </c>
      <c r="S37" s="23" t="s">
        <v>7760</v>
      </c>
      <c r="T37" s="23" t="s">
        <v>40</v>
      </c>
    </row>
    <row r="38" spans="1:20" x14ac:dyDescent="0.25">
      <c r="A38" s="23" t="s">
        <v>7761</v>
      </c>
      <c r="B38" s="23" t="s">
        <v>200</v>
      </c>
      <c r="C38" s="23" t="s">
        <v>6581</v>
      </c>
      <c r="D38" s="23" t="s">
        <v>7762</v>
      </c>
      <c r="E38" s="23" t="s">
        <v>3835</v>
      </c>
      <c r="F38" s="23" t="s">
        <v>40</v>
      </c>
      <c r="G38" s="23" t="s">
        <v>7763</v>
      </c>
      <c r="H38" s="23" t="s">
        <v>7764</v>
      </c>
      <c r="I38" s="23" t="s">
        <v>7765</v>
      </c>
      <c r="J38" s="23" t="s">
        <v>489</v>
      </c>
      <c r="K38" s="27" t="s">
        <v>404</v>
      </c>
      <c r="L38" s="23" t="s">
        <v>490</v>
      </c>
      <c r="M38" s="25" t="s">
        <v>18</v>
      </c>
      <c r="N38" s="23" t="s">
        <v>40</v>
      </c>
      <c r="O38" s="23" t="s">
        <v>387</v>
      </c>
      <c r="P38" s="23" t="s">
        <v>40</v>
      </c>
      <c r="Q38" s="23" t="s">
        <v>40</v>
      </c>
      <c r="R38" s="23" t="s">
        <v>201</v>
      </c>
      <c r="S38" s="23" t="s">
        <v>40</v>
      </c>
      <c r="T38" s="23" t="s">
        <v>7766</v>
      </c>
    </row>
    <row r="39" spans="1:20" x14ac:dyDescent="0.25">
      <c r="A39" s="23" t="s">
        <v>7767</v>
      </c>
      <c r="B39" s="23" t="s">
        <v>200</v>
      </c>
      <c r="C39" s="23" t="s">
        <v>6581</v>
      </c>
      <c r="D39" s="23" t="s">
        <v>7768</v>
      </c>
      <c r="E39" s="23" t="s">
        <v>7769</v>
      </c>
      <c r="F39" s="23" t="s">
        <v>40</v>
      </c>
      <c r="G39" s="23" t="s">
        <v>7770</v>
      </c>
      <c r="H39" s="23" t="s">
        <v>7771</v>
      </c>
      <c r="I39" s="23" t="s">
        <v>7772</v>
      </c>
      <c r="J39" s="23" t="s">
        <v>15</v>
      </c>
      <c r="K39" s="27" t="s">
        <v>404</v>
      </c>
      <c r="L39" s="23" t="s">
        <v>405</v>
      </c>
      <c r="M39" s="25" t="s">
        <v>18</v>
      </c>
      <c r="N39" s="23" t="s">
        <v>40</v>
      </c>
      <c r="O39" s="23" t="s">
        <v>387</v>
      </c>
      <c r="P39" s="23" t="s">
        <v>40</v>
      </c>
      <c r="Q39" s="23" t="s">
        <v>40</v>
      </c>
      <c r="R39" s="23" t="s">
        <v>201</v>
      </c>
      <c r="S39" s="23" t="s">
        <v>40</v>
      </c>
      <c r="T39" s="23" t="s">
        <v>40</v>
      </c>
    </row>
    <row r="40" spans="1:20" x14ac:dyDescent="0.25">
      <c r="A40" s="23" t="s">
        <v>7773</v>
      </c>
      <c r="B40" s="23" t="s">
        <v>200</v>
      </c>
      <c r="C40" s="23" t="s">
        <v>7774</v>
      </c>
      <c r="D40" s="23" t="s">
        <v>7775</v>
      </c>
      <c r="E40" s="23" t="s">
        <v>7776</v>
      </c>
      <c r="F40" s="23" t="s">
        <v>40</v>
      </c>
      <c r="G40" s="23" t="s">
        <v>7777</v>
      </c>
      <c r="H40" s="23" t="s">
        <v>7778</v>
      </c>
      <c r="I40" s="23" t="s">
        <v>7779</v>
      </c>
      <c r="J40" s="23" t="s">
        <v>14</v>
      </c>
      <c r="K40" s="24" t="s">
        <v>386</v>
      </c>
      <c r="L40" s="23" t="s">
        <v>405</v>
      </c>
      <c r="M40" s="25" t="s">
        <v>18</v>
      </c>
      <c r="N40" s="23" t="s">
        <v>40</v>
      </c>
      <c r="O40" s="23" t="s">
        <v>387</v>
      </c>
      <c r="P40" s="23" t="s">
        <v>40</v>
      </c>
      <c r="Q40" s="23" t="s">
        <v>40</v>
      </c>
      <c r="R40" s="23" t="s">
        <v>201</v>
      </c>
      <c r="S40" s="23" t="s">
        <v>40</v>
      </c>
      <c r="T40" s="23" t="s">
        <v>40</v>
      </c>
    </row>
    <row r="41" spans="1:20" x14ac:dyDescent="0.25">
      <c r="A41" s="23" t="s">
        <v>7780</v>
      </c>
      <c r="B41" s="23" t="s">
        <v>200</v>
      </c>
      <c r="C41" s="23" t="s">
        <v>7774</v>
      </c>
      <c r="D41" s="23" t="s">
        <v>7781</v>
      </c>
      <c r="E41" s="23" t="s">
        <v>7782</v>
      </c>
      <c r="F41" s="23" t="s">
        <v>40</v>
      </c>
      <c r="G41" s="23" t="s">
        <v>7783</v>
      </c>
      <c r="H41" s="23" t="s">
        <v>7784</v>
      </c>
      <c r="I41" s="23" t="s">
        <v>7785</v>
      </c>
      <c r="J41" s="23" t="s">
        <v>14</v>
      </c>
      <c r="K41" s="24" t="s">
        <v>386</v>
      </c>
      <c r="L41" s="23" t="s">
        <v>405</v>
      </c>
      <c r="M41" s="25" t="s">
        <v>18</v>
      </c>
      <c r="N41" s="23" t="s">
        <v>40</v>
      </c>
      <c r="O41" s="23" t="s">
        <v>387</v>
      </c>
      <c r="P41" s="23" t="s">
        <v>40</v>
      </c>
      <c r="Q41" s="23" t="s">
        <v>40</v>
      </c>
      <c r="R41" s="23" t="s">
        <v>201</v>
      </c>
      <c r="S41" s="23" t="s">
        <v>40</v>
      </c>
      <c r="T41" s="23" t="s">
        <v>956</v>
      </c>
    </row>
    <row r="42" spans="1:20" x14ac:dyDescent="0.25">
      <c r="A42" s="23" t="s">
        <v>7786</v>
      </c>
      <c r="B42" s="23" t="s">
        <v>200</v>
      </c>
      <c r="C42" s="23" t="s">
        <v>7787</v>
      </c>
      <c r="D42" s="23" t="s">
        <v>7788</v>
      </c>
      <c r="E42" s="23" t="s">
        <v>7789</v>
      </c>
      <c r="F42" s="23" t="s">
        <v>40</v>
      </c>
      <c r="G42" s="23" t="s">
        <v>7790</v>
      </c>
      <c r="H42" s="23" t="s">
        <v>7791</v>
      </c>
      <c r="I42" s="23" t="s">
        <v>7792</v>
      </c>
      <c r="J42" s="23" t="s">
        <v>15</v>
      </c>
      <c r="K42" s="24" t="s">
        <v>386</v>
      </c>
      <c r="L42" s="23" t="s">
        <v>13</v>
      </c>
      <c r="M42" s="25" t="s">
        <v>18</v>
      </c>
      <c r="N42" s="23" t="s">
        <v>40</v>
      </c>
      <c r="O42" s="23" t="s">
        <v>387</v>
      </c>
      <c r="P42" s="23" t="s">
        <v>40</v>
      </c>
      <c r="Q42" s="23" t="s">
        <v>40</v>
      </c>
      <c r="R42" s="23" t="s">
        <v>201</v>
      </c>
      <c r="S42" s="23" t="s">
        <v>40</v>
      </c>
      <c r="T42" s="23" t="s">
        <v>956</v>
      </c>
    </row>
    <row r="43" spans="1:20" x14ac:dyDescent="0.25">
      <c r="A43" s="23" t="s">
        <v>7793</v>
      </c>
      <c r="B43" s="23" t="s">
        <v>200</v>
      </c>
      <c r="C43" s="23" t="s">
        <v>7787</v>
      </c>
      <c r="D43" s="23" t="s">
        <v>7794</v>
      </c>
      <c r="E43" s="23" t="s">
        <v>7795</v>
      </c>
      <c r="F43" s="23" t="s">
        <v>40</v>
      </c>
      <c r="G43" s="23" t="s">
        <v>7796</v>
      </c>
      <c r="H43" s="23" t="s">
        <v>7797</v>
      </c>
      <c r="I43" s="23" t="s">
        <v>7798</v>
      </c>
      <c r="J43" s="23" t="s">
        <v>14</v>
      </c>
      <c r="K43" s="27" t="s">
        <v>404</v>
      </c>
      <c r="L43" s="23" t="s">
        <v>490</v>
      </c>
      <c r="M43" s="25" t="s">
        <v>18</v>
      </c>
      <c r="N43" s="23" t="s">
        <v>40</v>
      </c>
      <c r="O43" s="23" t="s">
        <v>387</v>
      </c>
      <c r="P43" s="23" t="s">
        <v>40</v>
      </c>
      <c r="Q43" s="23" t="s">
        <v>40</v>
      </c>
      <c r="R43" s="23" t="s">
        <v>201</v>
      </c>
      <c r="S43" s="23" t="s">
        <v>40</v>
      </c>
      <c r="T43" s="23" t="s">
        <v>40</v>
      </c>
    </row>
    <row r="44" spans="1:20" x14ac:dyDescent="0.25">
      <c r="A44" s="23" t="s">
        <v>7799</v>
      </c>
      <c r="B44" s="23" t="s">
        <v>200</v>
      </c>
      <c r="C44" s="23" t="s">
        <v>951</v>
      </c>
      <c r="D44" s="23" t="s">
        <v>7800</v>
      </c>
      <c r="E44" s="23" t="s">
        <v>3835</v>
      </c>
      <c r="F44" s="23" t="s">
        <v>40</v>
      </c>
      <c r="G44" s="23" t="s">
        <v>7801</v>
      </c>
      <c r="H44" s="23" t="s">
        <v>7802</v>
      </c>
      <c r="I44" s="23" t="s">
        <v>7803</v>
      </c>
      <c r="J44" s="23" t="s">
        <v>385</v>
      </c>
      <c r="K44" s="27" t="s">
        <v>404</v>
      </c>
      <c r="L44" s="23" t="s">
        <v>405</v>
      </c>
      <c r="M44" s="25" t="s">
        <v>18</v>
      </c>
      <c r="N44" s="23" t="s">
        <v>40</v>
      </c>
      <c r="O44" s="23" t="s">
        <v>387</v>
      </c>
      <c r="P44" s="23" t="s">
        <v>40</v>
      </c>
      <c r="Q44" s="23" t="s">
        <v>40</v>
      </c>
      <c r="R44" s="23" t="s">
        <v>201</v>
      </c>
      <c r="S44" s="23" t="s">
        <v>7644</v>
      </c>
      <c r="T44" s="23" t="s">
        <v>40</v>
      </c>
    </row>
    <row r="45" spans="1:20" x14ac:dyDescent="0.25">
      <c r="A45" s="23" t="s">
        <v>7804</v>
      </c>
      <c r="B45" s="23" t="s">
        <v>200</v>
      </c>
      <c r="C45" s="23" t="s">
        <v>951</v>
      </c>
      <c r="D45" s="23" t="s">
        <v>7805</v>
      </c>
      <c r="E45" s="23" t="s">
        <v>3835</v>
      </c>
      <c r="F45" s="23" t="s">
        <v>40</v>
      </c>
      <c r="G45" s="23" t="s">
        <v>7806</v>
      </c>
      <c r="H45" s="23" t="s">
        <v>7807</v>
      </c>
      <c r="I45" s="23" t="s">
        <v>7808</v>
      </c>
      <c r="J45" s="23" t="s">
        <v>385</v>
      </c>
      <c r="K45" s="32" t="s">
        <v>747</v>
      </c>
      <c r="L45" s="23" t="s">
        <v>490</v>
      </c>
      <c r="M45" s="25" t="s">
        <v>18</v>
      </c>
      <c r="N45" s="23" t="s">
        <v>40</v>
      </c>
      <c r="O45" s="23" t="s">
        <v>387</v>
      </c>
      <c r="P45" s="23" t="s">
        <v>40</v>
      </c>
      <c r="Q45" s="23" t="s">
        <v>40</v>
      </c>
      <c r="R45" s="23" t="s">
        <v>201</v>
      </c>
      <c r="S45" s="23" t="s">
        <v>40</v>
      </c>
      <c r="T45" s="23" t="s">
        <v>40</v>
      </c>
    </row>
    <row r="46" spans="1:20" x14ac:dyDescent="0.25">
      <c r="A46" s="23" t="s">
        <v>7809</v>
      </c>
      <c r="B46" s="23" t="s">
        <v>200</v>
      </c>
      <c r="C46" s="23" t="s">
        <v>801</v>
      </c>
      <c r="D46" s="23" t="s">
        <v>7810</v>
      </c>
      <c r="E46" s="23" t="s">
        <v>7811</v>
      </c>
      <c r="F46" s="23" t="s">
        <v>40</v>
      </c>
      <c r="G46" s="23" t="s">
        <v>7812</v>
      </c>
      <c r="H46" s="23" t="s">
        <v>7813</v>
      </c>
      <c r="I46" s="23" t="s">
        <v>7814</v>
      </c>
      <c r="J46" s="23" t="s">
        <v>801</v>
      </c>
      <c r="K46" s="26" t="s">
        <v>396</v>
      </c>
      <c r="L46" s="23" t="s">
        <v>13</v>
      </c>
      <c r="M46" s="25" t="s">
        <v>18</v>
      </c>
      <c r="N46" s="23" t="s">
        <v>40</v>
      </c>
      <c r="O46" s="23" t="s">
        <v>387</v>
      </c>
      <c r="P46" s="23" t="s">
        <v>40</v>
      </c>
      <c r="Q46" s="23" t="s">
        <v>40</v>
      </c>
      <c r="R46" s="23" t="s">
        <v>201</v>
      </c>
      <c r="S46" s="23" t="s">
        <v>40</v>
      </c>
      <c r="T46" s="23" t="s">
        <v>40</v>
      </c>
    </row>
    <row r="47" spans="1:20" x14ac:dyDescent="0.25">
      <c r="A47" s="23" t="s">
        <v>7815</v>
      </c>
      <c r="B47" s="23" t="s">
        <v>200</v>
      </c>
      <c r="C47" s="23" t="s">
        <v>6700</v>
      </c>
      <c r="D47" s="23" t="s">
        <v>7816</v>
      </c>
      <c r="E47" s="23" t="s">
        <v>5856</v>
      </c>
      <c r="F47" s="23" t="s">
        <v>40</v>
      </c>
      <c r="G47" s="23" t="s">
        <v>7817</v>
      </c>
      <c r="H47" s="23" t="s">
        <v>7818</v>
      </c>
      <c r="I47" s="23" t="s">
        <v>7013</v>
      </c>
      <c r="J47" s="23" t="s">
        <v>525</v>
      </c>
      <c r="K47" s="24" t="s">
        <v>386</v>
      </c>
      <c r="L47" s="23" t="s">
        <v>405</v>
      </c>
      <c r="M47" s="25" t="s">
        <v>18</v>
      </c>
      <c r="N47" s="23" t="s">
        <v>40</v>
      </c>
      <c r="O47" s="23" t="s">
        <v>387</v>
      </c>
      <c r="P47" s="23" t="s">
        <v>40</v>
      </c>
      <c r="Q47" s="23" t="s">
        <v>40</v>
      </c>
      <c r="R47" s="23" t="s">
        <v>201</v>
      </c>
      <c r="S47" s="23" t="s">
        <v>40</v>
      </c>
      <c r="T47" s="23" t="s">
        <v>40</v>
      </c>
    </row>
    <row r="48" spans="1:20" x14ac:dyDescent="0.25">
      <c r="A48" s="23" t="s">
        <v>7819</v>
      </c>
      <c r="B48" s="23" t="s">
        <v>203</v>
      </c>
      <c r="C48" s="23" t="s">
        <v>944</v>
      </c>
      <c r="D48" s="23" t="s">
        <v>7820</v>
      </c>
      <c r="E48" s="23" t="s">
        <v>3835</v>
      </c>
      <c r="F48" s="23" t="s">
        <v>7821</v>
      </c>
      <c r="G48" s="23" t="s">
        <v>7822</v>
      </c>
      <c r="H48" s="23" t="s">
        <v>7823</v>
      </c>
      <c r="I48" s="23" t="s">
        <v>7824</v>
      </c>
      <c r="J48" s="23" t="s">
        <v>385</v>
      </c>
      <c r="K48" s="24" t="s">
        <v>386</v>
      </c>
      <c r="L48" s="23" t="s">
        <v>13</v>
      </c>
      <c r="M48" s="31" t="s">
        <v>17</v>
      </c>
      <c r="N48" s="23" t="s">
        <v>7825</v>
      </c>
      <c r="O48" s="29" t="s">
        <v>87</v>
      </c>
      <c r="P48" s="23" t="s">
        <v>40</v>
      </c>
      <c r="Q48" s="23" t="s">
        <v>40</v>
      </c>
      <c r="R48" s="23" t="s">
        <v>204</v>
      </c>
      <c r="S48" s="23" t="s">
        <v>40</v>
      </c>
      <c r="T48" s="23" t="s">
        <v>40</v>
      </c>
    </row>
    <row r="49" spans="1:20" x14ac:dyDescent="0.25">
      <c r="A49" s="23" t="s">
        <v>7826</v>
      </c>
      <c r="B49" s="23" t="s">
        <v>203</v>
      </c>
      <c r="C49" s="23" t="s">
        <v>1788</v>
      </c>
      <c r="D49" s="23" t="s">
        <v>7827</v>
      </c>
      <c r="E49" s="23" t="s">
        <v>7828</v>
      </c>
      <c r="F49" s="23" t="s">
        <v>40</v>
      </c>
      <c r="G49" s="23" t="s">
        <v>7829</v>
      </c>
      <c r="H49" s="23" t="s">
        <v>7830</v>
      </c>
      <c r="I49" s="23" t="s">
        <v>7831</v>
      </c>
      <c r="J49" s="23" t="s">
        <v>385</v>
      </c>
      <c r="K49" s="24" t="s">
        <v>386</v>
      </c>
      <c r="L49" s="23" t="s">
        <v>13</v>
      </c>
      <c r="M49" s="25" t="s">
        <v>18</v>
      </c>
      <c r="N49" s="23" t="s">
        <v>40</v>
      </c>
      <c r="O49" s="23" t="s">
        <v>387</v>
      </c>
      <c r="P49" s="23" t="s">
        <v>40</v>
      </c>
      <c r="Q49" s="23" t="s">
        <v>40</v>
      </c>
      <c r="R49" s="23" t="s">
        <v>204</v>
      </c>
      <c r="S49" s="23" t="s">
        <v>40</v>
      </c>
      <c r="T49" s="23" t="s">
        <v>40</v>
      </c>
    </row>
    <row r="50" spans="1:20" x14ac:dyDescent="0.25">
      <c r="A50" s="23" t="s">
        <v>7832</v>
      </c>
      <c r="B50" s="23" t="s">
        <v>203</v>
      </c>
      <c r="C50" s="23" t="s">
        <v>1788</v>
      </c>
      <c r="D50" s="23" t="s">
        <v>7833</v>
      </c>
      <c r="E50" s="23" t="s">
        <v>7828</v>
      </c>
      <c r="F50" s="23" t="s">
        <v>40</v>
      </c>
      <c r="G50" s="23" t="s">
        <v>7834</v>
      </c>
      <c r="H50" s="23" t="s">
        <v>7835</v>
      </c>
      <c r="I50" s="23" t="s">
        <v>7836</v>
      </c>
      <c r="J50" s="23" t="s">
        <v>385</v>
      </c>
      <c r="K50" s="27" t="s">
        <v>404</v>
      </c>
      <c r="L50" s="23" t="s">
        <v>405</v>
      </c>
      <c r="M50" s="25" t="s">
        <v>18</v>
      </c>
      <c r="N50" s="23" t="s">
        <v>40</v>
      </c>
      <c r="O50" s="23" t="s">
        <v>387</v>
      </c>
      <c r="P50" s="23" t="s">
        <v>40</v>
      </c>
      <c r="Q50" s="23" t="s">
        <v>40</v>
      </c>
      <c r="R50" s="23" t="s">
        <v>204</v>
      </c>
      <c r="S50" s="23" t="s">
        <v>40</v>
      </c>
      <c r="T50" s="23" t="s">
        <v>7837</v>
      </c>
    </row>
    <row r="51" spans="1:20" x14ac:dyDescent="0.25">
      <c r="A51" s="23" t="s">
        <v>7838</v>
      </c>
      <c r="B51" s="23" t="s">
        <v>203</v>
      </c>
      <c r="C51" s="23" t="s">
        <v>7839</v>
      </c>
      <c r="D51" s="23" t="s">
        <v>7840</v>
      </c>
      <c r="E51" s="23" t="s">
        <v>7828</v>
      </c>
      <c r="F51" s="23" t="s">
        <v>7841</v>
      </c>
      <c r="G51" s="23" t="s">
        <v>7842</v>
      </c>
      <c r="H51" s="23" t="s">
        <v>7843</v>
      </c>
      <c r="I51" s="23" t="s">
        <v>7844</v>
      </c>
      <c r="J51" s="23" t="s">
        <v>14</v>
      </c>
      <c r="K51" s="26" t="s">
        <v>396</v>
      </c>
      <c r="L51" s="23" t="s">
        <v>13</v>
      </c>
      <c r="M51" s="25" t="s">
        <v>18</v>
      </c>
      <c r="N51" s="23" t="s">
        <v>40</v>
      </c>
      <c r="O51" s="23" t="s">
        <v>387</v>
      </c>
      <c r="P51" s="23" t="s">
        <v>40</v>
      </c>
      <c r="Q51" s="23" t="s">
        <v>40</v>
      </c>
      <c r="R51" s="23" t="s">
        <v>204</v>
      </c>
      <c r="S51" s="23" t="s">
        <v>40</v>
      </c>
      <c r="T51" s="23" t="s">
        <v>5407</v>
      </c>
    </row>
    <row r="52" spans="1:20" x14ac:dyDescent="0.25">
      <c r="A52" s="23" t="s">
        <v>7845</v>
      </c>
      <c r="B52" s="23" t="s">
        <v>203</v>
      </c>
      <c r="C52" s="23" t="s">
        <v>7839</v>
      </c>
      <c r="D52" s="23" t="s">
        <v>7846</v>
      </c>
      <c r="E52" s="23" t="s">
        <v>7828</v>
      </c>
      <c r="F52" s="23" t="s">
        <v>40</v>
      </c>
      <c r="G52" s="23" t="s">
        <v>7847</v>
      </c>
      <c r="H52" s="23" t="s">
        <v>7848</v>
      </c>
      <c r="I52" s="23" t="s">
        <v>7849</v>
      </c>
      <c r="J52" s="23" t="s">
        <v>466</v>
      </c>
      <c r="K52" s="24" t="s">
        <v>386</v>
      </c>
      <c r="L52" s="23" t="s">
        <v>13</v>
      </c>
      <c r="M52" s="25" t="s">
        <v>18</v>
      </c>
      <c r="N52" s="23" t="s">
        <v>40</v>
      </c>
      <c r="O52" s="23" t="s">
        <v>387</v>
      </c>
      <c r="P52" s="23" t="s">
        <v>40</v>
      </c>
      <c r="Q52" s="23" t="s">
        <v>40</v>
      </c>
      <c r="R52" s="23" t="s">
        <v>204</v>
      </c>
      <c r="S52" s="23" t="s">
        <v>40</v>
      </c>
      <c r="T52" s="23" t="s">
        <v>1308</v>
      </c>
    </row>
    <row r="53" spans="1:20" x14ac:dyDescent="0.25">
      <c r="A53" s="23" t="s">
        <v>7850</v>
      </c>
      <c r="B53" s="23" t="s">
        <v>203</v>
      </c>
      <c r="C53" s="23" t="s">
        <v>7839</v>
      </c>
      <c r="D53" s="23" t="s">
        <v>7851</v>
      </c>
      <c r="E53" s="23" t="s">
        <v>7828</v>
      </c>
      <c r="F53" s="23" t="s">
        <v>7852</v>
      </c>
      <c r="G53" s="23" t="s">
        <v>7853</v>
      </c>
      <c r="H53" s="23" t="s">
        <v>7854</v>
      </c>
      <c r="I53" s="23" t="s">
        <v>7855</v>
      </c>
      <c r="J53" s="23" t="s">
        <v>489</v>
      </c>
      <c r="K53" s="27" t="s">
        <v>404</v>
      </c>
      <c r="L53" s="23" t="s">
        <v>405</v>
      </c>
      <c r="M53" s="25" t="s">
        <v>18</v>
      </c>
      <c r="N53" s="23" t="s">
        <v>40</v>
      </c>
      <c r="O53" s="23" t="s">
        <v>387</v>
      </c>
      <c r="P53" s="23" t="s">
        <v>40</v>
      </c>
      <c r="Q53" s="23" t="s">
        <v>40</v>
      </c>
      <c r="R53" s="23" t="s">
        <v>204</v>
      </c>
      <c r="S53" s="23" t="s">
        <v>40</v>
      </c>
      <c r="T53" s="23" t="s">
        <v>1308</v>
      </c>
    </row>
    <row r="54" spans="1:20" x14ac:dyDescent="0.25">
      <c r="A54" s="23" t="s">
        <v>7856</v>
      </c>
      <c r="B54" s="23" t="s">
        <v>203</v>
      </c>
      <c r="C54" s="23" t="s">
        <v>7839</v>
      </c>
      <c r="D54" s="23" t="s">
        <v>7857</v>
      </c>
      <c r="E54" s="23" t="s">
        <v>7828</v>
      </c>
      <c r="F54" s="23" t="s">
        <v>7858</v>
      </c>
      <c r="G54" s="23" t="s">
        <v>7859</v>
      </c>
      <c r="H54" s="23" t="s">
        <v>7860</v>
      </c>
      <c r="I54" s="23" t="s">
        <v>7861</v>
      </c>
      <c r="J54" s="23" t="s">
        <v>489</v>
      </c>
      <c r="K54" s="27" t="s">
        <v>404</v>
      </c>
      <c r="L54" s="23" t="s">
        <v>405</v>
      </c>
      <c r="M54" s="25" t="s">
        <v>18</v>
      </c>
      <c r="N54" s="23" t="s">
        <v>40</v>
      </c>
      <c r="O54" s="23" t="s">
        <v>387</v>
      </c>
      <c r="P54" s="23" t="s">
        <v>40</v>
      </c>
      <c r="Q54" s="23" t="s">
        <v>40</v>
      </c>
      <c r="R54" s="23" t="s">
        <v>204</v>
      </c>
      <c r="S54" s="23" t="s">
        <v>40</v>
      </c>
      <c r="T54" s="23" t="s">
        <v>1308</v>
      </c>
    </row>
    <row r="55" spans="1:20" x14ac:dyDescent="0.25">
      <c r="A55" s="23" t="s">
        <v>7862</v>
      </c>
      <c r="B55" s="23" t="s">
        <v>203</v>
      </c>
      <c r="C55" s="23" t="s">
        <v>7839</v>
      </c>
      <c r="D55" s="23" t="s">
        <v>7863</v>
      </c>
      <c r="E55" s="23" t="s">
        <v>7828</v>
      </c>
      <c r="F55" s="23" t="s">
        <v>40</v>
      </c>
      <c r="G55" s="23" t="s">
        <v>7864</v>
      </c>
      <c r="H55" s="23" t="s">
        <v>7865</v>
      </c>
      <c r="I55" s="23" t="s">
        <v>7866</v>
      </c>
      <c r="J55" s="23" t="s">
        <v>385</v>
      </c>
      <c r="K55" s="32" t="s">
        <v>747</v>
      </c>
      <c r="L55" s="23" t="s">
        <v>490</v>
      </c>
      <c r="M55" s="25" t="s">
        <v>18</v>
      </c>
      <c r="N55" s="23" t="s">
        <v>40</v>
      </c>
      <c r="O55" s="23" t="s">
        <v>387</v>
      </c>
      <c r="P55" s="23" t="s">
        <v>40</v>
      </c>
      <c r="Q55" s="23" t="s">
        <v>40</v>
      </c>
      <c r="R55" s="23" t="s">
        <v>204</v>
      </c>
      <c r="S55" s="23" t="s">
        <v>40</v>
      </c>
      <c r="T55" s="23" t="s">
        <v>1308</v>
      </c>
    </row>
    <row r="56" spans="1:20" x14ac:dyDescent="0.25">
      <c r="A56" s="23" t="s">
        <v>7867</v>
      </c>
      <c r="B56" s="23" t="s">
        <v>203</v>
      </c>
      <c r="C56" s="23" t="s">
        <v>7839</v>
      </c>
      <c r="D56" s="23" t="s">
        <v>7868</v>
      </c>
      <c r="E56" s="23" t="s">
        <v>7828</v>
      </c>
      <c r="F56" s="23" t="s">
        <v>40</v>
      </c>
      <c r="G56" s="23" t="s">
        <v>7869</v>
      </c>
      <c r="H56" s="23" t="s">
        <v>7870</v>
      </c>
      <c r="I56" s="23" t="s">
        <v>7871</v>
      </c>
      <c r="J56" s="23" t="s">
        <v>385</v>
      </c>
      <c r="K56" s="32" t="s">
        <v>747</v>
      </c>
      <c r="L56" s="23" t="s">
        <v>490</v>
      </c>
      <c r="M56" s="25" t="s">
        <v>18</v>
      </c>
      <c r="N56" s="23" t="s">
        <v>40</v>
      </c>
      <c r="O56" s="23" t="s">
        <v>387</v>
      </c>
      <c r="P56" s="23" t="s">
        <v>40</v>
      </c>
      <c r="Q56" s="23" t="s">
        <v>40</v>
      </c>
      <c r="R56" s="23" t="s">
        <v>204</v>
      </c>
      <c r="S56" s="23" t="s">
        <v>40</v>
      </c>
      <c r="T56" s="23" t="s">
        <v>1308</v>
      </c>
    </row>
    <row r="57" spans="1:20" x14ac:dyDescent="0.25">
      <c r="A57" s="23" t="s">
        <v>7872</v>
      </c>
      <c r="B57" s="23" t="s">
        <v>203</v>
      </c>
      <c r="C57" s="23" t="s">
        <v>7873</v>
      </c>
      <c r="D57" s="23" t="s">
        <v>7874</v>
      </c>
      <c r="E57" s="23" t="s">
        <v>7875</v>
      </c>
      <c r="F57" s="23" t="s">
        <v>40</v>
      </c>
      <c r="G57" s="23" t="s">
        <v>7876</v>
      </c>
      <c r="H57" s="23" t="s">
        <v>7877</v>
      </c>
      <c r="I57" s="23" t="s">
        <v>7878</v>
      </c>
      <c r="J57" s="23" t="s">
        <v>15</v>
      </c>
      <c r="K57" s="24" t="s">
        <v>386</v>
      </c>
      <c r="L57" s="23" t="s">
        <v>13</v>
      </c>
      <c r="M57" s="25" t="s">
        <v>18</v>
      </c>
      <c r="N57" s="23" t="s">
        <v>40</v>
      </c>
      <c r="O57" s="23" t="s">
        <v>387</v>
      </c>
      <c r="P57" s="23" t="s">
        <v>40</v>
      </c>
      <c r="Q57" s="23" t="s">
        <v>40</v>
      </c>
      <c r="R57" s="23" t="s">
        <v>204</v>
      </c>
      <c r="S57" s="23" t="s">
        <v>40</v>
      </c>
      <c r="T57" s="23" t="s">
        <v>2309</v>
      </c>
    </row>
    <row r="58" spans="1:20" x14ac:dyDescent="0.25">
      <c r="A58" s="23" t="s">
        <v>7879</v>
      </c>
      <c r="B58" s="23" t="s">
        <v>203</v>
      </c>
      <c r="C58" s="23" t="s">
        <v>7873</v>
      </c>
      <c r="D58" s="23" t="s">
        <v>7880</v>
      </c>
      <c r="E58" s="23" t="s">
        <v>7828</v>
      </c>
      <c r="F58" s="23" t="s">
        <v>40</v>
      </c>
      <c r="G58" s="23" t="s">
        <v>7881</v>
      </c>
      <c r="H58" s="23" t="s">
        <v>7882</v>
      </c>
      <c r="I58" s="23" t="s">
        <v>7883</v>
      </c>
      <c r="J58" s="23" t="s">
        <v>489</v>
      </c>
      <c r="K58" s="27" t="s">
        <v>404</v>
      </c>
      <c r="L58" s="23" t="s">
        <v>490</v>
      </c>
      <c r="M58" s="25" t="s">
        <v>18</v>
      </c>
      <c r="N58" s="23" t="s">
        <v>40</v>
      </c>
      <c r="O58" s="23" t="s">
        <v>387</v>
      </c>
      <c r="P58" s="23" t="s">
        <v>40</v>
      </c>
      <c r="Q58" s="23" t="s">
        <v>40</v>
      </c>
      <c r="R58" s="23" t="s">
        <v>204</v>
      </c>
      <c r="S58" s="23" t="s">
        <v>40</v>
      </c>
      <c r="T58" s="23" t="s">
        <v>2309</v>
      </c>
    </row>
    <row r="59" spans="1:20" x14ac:dyDescent="0.25">
      <c r="A59" s="23" t="s">
        <v>7884</v>
      </c>
      <c r="B59" s="23" t="s">
        <v>203</v>
      </c>
      <c r="C59" s="23" t="s">
        <v>7873</v>
      </c>
      <c r="D59" s="23" t="s">
        <v>7885</v>
      </c>
      <c r="E59" s="23" t="s">
        <v>7886</v>
      </c>
      <c r="F59" s="23" t="s">
        <v>40</v>
      </c>
      <c r="G59" s="23" t="s">
        <v>7887</v>
      </c>
      <c r="H59" s="23" t="s">
        <v>7888</v>
      </c>
      <c r="I59" s="23" t="s">
        <v>7889</v>
      </c>
      <c r="J59" s="23" t="s">
        <v>15</v>
      </c>
      <c r="K59" s="27" t="s">
        <v>404</v>
      </c>
      <c r="L59" s="23" t="s">
        <v>405</v>
      </c>
      <c r="M59" s="25" t="s">
        <v>18</v>
      </c>
      <c r="N59" s="23" t="s">
        <v>40</v>
      </c>
      <c r="O59" s="23" t="s">
        <v>387</v>
      </c>
      <c r="P59" s="23" t="s">
        <v>40</v>
      </c>
      <c r="Q59" s="23" t="s">
        <v>40</v>
      </c>
      <c r="R59" s="23" t="s">
        <v>204</v>
      </c>
      <c r="S59" s="23" t="s">
        <v>40</v>
      </c>
      <c r="T59" s="23" t="s">
        <v>2309</v>
      </c>
    </row>
    <row r="60" spans="1:20" x14ac:dyDescent="0.25">
      <c r="A60" s="23" t="s">
        <v>7890</v>
      </c>
      <c r="B60" s="23" t="s">
        <v>203</v>
      </c>
      <c r="C60" s="23" t="s">
        <v>7873</v>
      </c>
      <c r="D60" s="23" t="s">
        <v>7891</v>
      </c>
      <c r="E60" s="23" t="s">
        <v>7828</v>
      </c>
      <c r="F60" s="23" t="s">
        <v>40</v>
      </c>
      <c r="G60" s="23" t="s">
        <v>7892</v>
      </c>
      <c r="H60" s="23" t="s">
        <v>7893</v>
      </c>
      <c r="I60" s="23" t="s">
        <v>7894</v>
      </c>
      <c r="J60" s="23" t="s">
        <v>15</v>
      </c>
      <c r="K60" s="27" t="s">
        <v>404</v>
      </c>
      <c r="L60" s="23" t="s">
        <v>405</v>
      </c>
      <c r="M60" s="25" t="s">
        <v>18</v>
      </c>
      <c r="N60" s="23" t="s">
        <v>40</v>
      </c>
      <c r="O60" s="23" t="s">
        <v>387</v>
      </c>
      <c r="P60" s="23" t="s">
        <v>40</v>
      </c>
      <c r="Q60" s="23" t="s">
        <v>40</v>
      </c>
      <c r="R60" s="23" t="s">
        <v>204</v>
      </c>
      <c r="S60" s="23" t="s">
        <v>40</v>
      </c>
      <c r="T60" s="23" t="s">
        <v>2309</v>
      </c>
    </row>
    <row r="61" spans="1:20" x14ac:dyDescent="0.25">
      <c r="A61" s="23" t="s">
        <v>7895</v>
      </c>
      <c r="B61" s="23" t="s">
        <v>203</v>
      </c>
      <c r="C61" s="23" t="s">
        <v>7873</v>
      </c>
      <c r="D61" s="23" t="s">
        <v>7896</v>
      </c>
      <c r="E61" s="23" t="s">
        <v>7828</v>
      </c>
      <c r="F61" s="23" t="s">
        <v>40</v>
      </c>
      <c r="G61" s="23" t="s">
        <v>7897</v>
      </c>
      <c r="H61" s="23" t="s">
        <v>7898</v>
      </c>
      <c r="I61" s="23" t="s">
        <v>7899</v>
      </c>
      <c r="J61" s="23" t="s">
        <v>489</v>
      </c>
      <c r="K61" s="27" t="s">
        <v>404</v>
      </c>
      <c r="L61" s="23" t="s">
        <v>405</v>
      </c>
      <c r="M61" s="25" t="s">
        <v>18</v>
      </c>
      <c r="N61" s="23" t="s">
        <v>40</v>
      </c>
      <c r="O61" s="23" t="s">
        <v>387</v>
      </c>
      <c r="P61" s="23" t="s">
        <v>40</v>
      </c>
      <c r="Q61" s="23" t="s">
        <v>40</v>
      </c>
      <c r="R61" s="23" t="s">
        <v>204</v>
      </c>
      <c r="S61" s="23" t="s">
        <v>40</v>
      </c>
      <c r="T61" s="23" t="s">
        <v>2309</v>
      </c>
    </row>
    <row r="62" spans="1:20" x14ac:dyDescent="0.25">
      <c r="A62" s="23" t="s">
        <v>7900</v>
      </c>
      <c r="B62" s="23" t="s">
        <v>203</v>
      </c>
      <c r="C62" s="23" t="s">
        <v>7901</v>
      </c>
      <c r="D62" s="23" t="s">
        <v>7902</v>
      </c>
      <c r="E62" s="23" t="s">
        <v>7828</v>
      </c>
      <c r="F62" s="23" t="s">
        <v>40</v>
      </c>
      <c r="G62" s="23" t="s">
        <v>7903</v>
      </c>
      <c r="H62" s="23" t="s">
        <v>7904</v>
      </c>
      <c r="I62" s="23" t="s">
        <v>7883</v>
      </c>
      <c r="J62" s="23" t="s">
        <v>489</v>
      </c>
      <c r="K62" s="27" t="s">
        <v>404</v>
      </c>
      <c r="L62" s="23" t="s">
        <v>405</v>
      </c>
      <c r="M62" s="25" t="s">
        <v>18</v>
      </c>
      <c r="N62" s="23" t="s">
        <v>40</v>
      </c>
      <c r="O62" s="23" t="s">
        <v>387</v>
      </c>
      <c r="P62" s="23" t="s">
        <v>40</v>
      </c>
      <c r="Q62" s="23" t="s">
        <v>40</v>
      </c>
      <c r="R62" s="23" t="s">
        <v>204</v>
      </c>
      <c r="S62" s="23" t="s">
        <v>40</v>
      </c>
      <c r="T62" s="23" t="s">
        <v>2309</v>
      </c>
    </row>
    <row r="63" spans="1:20" x14ac:dyDescent="0.25">
      <c r="A63" s="23" t="s">
        <v>7905</v>
      </c>
      <c r="B63" s="23" t="s">
        <v>203</v>
      </c>
      <c r="C63" s="23" t="s">
        <v>7901</v>
      </c>
      <c r="D63" s="23" t="s">
        <v>7906</v>
      </c>
      <c r="E63" s="23" t="s">
        <v>7828</v>
      </c>
      <c r="F63" s="23" t="s">
        <v>40</v>
      </c>
      <c r="G63" s="23" t="s">
        <v>7907</v>
      </c>
      <c r="H63" s="23" t="s">
        <v>7908</v>
      </c>
      <c r="I63" s="23" t="s">
        <v>7909</v>
      </c>
      <c r="J63" s="23" t="s">
        <v>466</v>
      </c>
      <c r="K63" s="27" t="s">
        <v>404</v>
      </c>
      <c r="L63" s="23" t="s">
        <v>490</v>
      </c>
      <c r="M63" s="25" t="s">
        <v>18</v>
      </c>
      <c r="N63" s="23" t="s">
        <v>40</v>
      </c>
      <c r="O63" s="23" t="s">
        <v>387</v>
      </c>
      <c r="P63" s="23" t="s">
        <v>40</v>
      </c>
      <c r="Q63" s="23" t="s">
        <v>40</v>
      </c>
      <c r="R63" s="23" t="s">
        <v>204</v>
      </c>
      <c r="S63" s="23" t="s">
        <v>40</v>
      </c>
      <c r="T63" s="23" t="s">
        <v>2309</v>
      </c>
    </row>
    <row r="64" spans="1:20" x14ac:dyDescent="0.25">
      <c r="A64" s="23" t="s">
        <v>7910</v>
      </c>
      <c r="B64" s="23" t="s">
        <v>203</v>
      </c>
      <c r="C64" s="23" t="s">
        <v>7901</v>
      </c>
      <c r="D64" s="23" t="s">
        <v>7911</v>
      </c>
      <c r="E64" s="23" t="s">
        <v>7828</v>
      </c>
      <c r="F64" s="23" t="s">
        <v>40</v>
      </c>
      <c r="G64" s="23" t="s">
        <v>7912</v>
      </c>
      <c r="H64" s="23" t="s">
        <v>7913</v>
      </c>
      <c r="I64" s="23" t="s">
        <v>7914</v>
      </c>
      <c r="J64" s="23" t="s">
        <v>385</v>
      </c>
      <c r="K64" s="27" t="s">
        <v>404</v>
      </c>
      <c r="L64" s="23" t="s">
        <v>405</v>
      </c>
      <c r="M64" s="25" t="s">
        <v>18</v>
      </c>
      <c r="N64" s="23" t="s">
        <v>40</v>
      </c>
      <c r="O64" s="23" t="s">
        <v>387</v>
      </c>
      <c r="P64" s="23" t="s">
        <v>40</v>
      </c>
      <c r="Q64" s="23" t="s">
        <v>40</v>
      </c>
      <c r="R64" s="23" t="s">
        <v>204</v>
      </c>
      <c r="S64" s="23" t="s">
        <v>40</v>
      </c>
      <c r="T64" s="23" t="s">
        <v>2309</v>
      </c>
    </row>
    <row r="65" spans="1:20" x14ac:dyDescent="0.25">
      <c r="A65" s="23" t="s">
        <v>7915</v>
      </c>
      <c r="B65" s="23" t="s">
        <v>203</v>
      </c>
      <c r="C65" s="23" t="s">
        <v>7901</v>
      </c>
      <c r="D65" s="23" t="s">
        <v>7916</v>
      </c>
      <c r="E65" s="23" t="s">
        <v>7828</v>
      </c>
      <c r="F65" s="23" t="s">
        <v>40</v>
      </c>
      <c r="G65" s="23" t="s">
        <v>7917</v>
      </c>
      <c r="H65" s="23" t="s">
        <v>7918</v>
      </c>
      <c r="I65" s="23" t="s">
        <v>7919</v>
      </c>
      <c r="J65" s="23" t="s">
        <v>385</v>
      </c>
      <c r="K65" s="32" t="s">
        <v>747</v>
      </c>
      <c r="L65" s="23" t="s">
        <v>490</v>
      </c>
      <c r="M65" s="25" t="s">
        <v>18</v>
      </c>
      <c r="N65" s="23" t="s">
        <v>40</v>
      </c>
      <c r="O65" s="23" t="s">
        <v>387</v>
      </c>
      <c r="P65" s="23" t="s">
        <v>40</v>
      </c>
      <c r="Q65" s="23" t="s">
        <v>40</v>
      </c>
      <c r="R65" s="23" t="s">
        <v>204</v>
      </c>
      <c r="S65" s="23" t="s">
        <v>40</v>
      </c>
      <c r="T65" s="23" t="s">
        <v>40</v>
      </c>
    </row>
    <row r="66" spans="1:20" x14ac:dyDescent="0.25">
      <c r="A66" s="23" t="s">
        <v>7920</v>
      </c>
      <c r="B66" s="23" t="s">
        <v>203</v>
      </c>
      <c r="C66" s="23" t="s">
        <v>7901</v>
      </c>
      <c r="D66" s="23" t="s">
        <v>7921</v>
      </c>
      <c r="E66" s="23" t="s">
        <v>7828</v>
      </c>
      <c r="F66" s="23" t="s">
        <v>40</v>
      </c>
      <c r="G66" s="23" t="s">
        <v>7922</v>
      </c>
      <c r="H66" s="23" t="s">
        <v>7923</v>
      </c>
      <c r="I66" s="23" t="s">
        <v>6760</v>
      </c>
      <c r="J66" s="23" t="s">
        <v>15</v>
      </c>
      <c r="K66" s="27" t="s">
        <v>404</v>
      </c>
      <c r="L66" s="23" t="s">
        <v>405</v>
      </c>
      <c r="M66" s="25" t="s">
        <v>18</v>
      </c>
      <c r="N66" s="23" t="s">
        <v>40</v>
      </c>
      <c r="O66" s="23" t="s">
        <v>387</v>
      </c>
      <c r="P66" s="23" t="s">
        <v>40</v>
      </c>
      <c r="Q66" s="23" t="s">
        <v>40</v>
      </c>
      <c r="R66" s="23" t="s">
        <v>204</v>
      </c>
      <c r="S66" s="23" t="s">
        <v>40</v>
      </c>
      <c r="T66" s="23" t="s">
        <v>2309</v>
      </c>
    </row>
    <row r="67" spans="1:20" x14ac:dyDescent="0.25">
      <c r="A67" s="23" t="s">
        <v>7924</v>
      </c>
      <c r="B67" s="23" t="s">
        <v>203</v>
      </c>
      <c r="C67" s="23" t="s">
        <v>7901</v>
      </c>
      <c r="D67" s="23" t="s">
        <v>7925</v>
      </c>
      <c r="E67" s="23" t="s">
        <v>7828</v>
      </c>
      <c r="F67" s="23" t="s">
        <v>40</v>
      </c>
      <c r="G67" s="23" t="s">
        <v>7926</v>
      </c>
      <c r="H67" s="23" t="s">
        <v>7927</v>
      </c>
      <c r="I67" s="23" t="s">
        <v>7928</v>
      </c>
      <c r="J67" s="23" t="s">
        <v>489</v>
      </c>
      <c r="K67" s="27" t="s">
        <v>404</v>
      </c>
      <c r="L67" s="23" t="s">
        <v>490</v>
      </c>
      <c r="M67" s="25" t="s">
        <v>18</v>
      </c>
      <c r="N67" s="23" t="s">
        <v>40</v>
      </c>
      <c r="O67" s="23" t="s">
        <v>387</v>
      </c>
      <c r="P67" s="23" t="s">
        <v>40</v>
      </c>
      <c r="Q67" s="23" t="s">
        <v>40</v>
      </c>
      <c r="R67" s="23" t="s">
        <v>204</v>
      </c>
      <c r="S67" s="23" t="s">
        <v>40</v>
      </c>
      <c r="T67" s="23" t="s">
        <v>2309</v>
      </c>
    </row>
    <row r="68" spans="1:20" x14ac:dyDescent="0.25">
      <c r="A68" s="23" t="s">
        <v>7929</v>
      </c>
      <c r="B68" s="23" t="s">
        <v>203</v>
      </c>
      <c r="C68" s="23" t="s">
        <v>7930</v>
      </c>
      <c r="D68" s="23" t="s">
        <v>7931</v>
      </c>
      <c r="E68" s="23" t="s">
        <v>7828</v>
      </c>
      <c r="F68" s="23" t="s">
        <v>40</v>
      </c>
      <c r="G68" s="23" t="s">
        <v>7932</v>
      </c>
      <c r="H68" s="23" t="s">
        <v>7933</v>
      </c>
      <c r="I68" s="23" t="s">
        <v>7934</v>
      </c>
      <c r="J68" s="23" t="s">
        <v>385</v>
      </c>
      <c r="K68" s="27" t="s">
        <v>404</v>
      </c>
      <c r="L68" s="23" t="s">
        <v>405</v>
      </c>
      <c r="M68" s="25" t="s">
        <v>18</v>
      </c>
      <c r="N68" s="23" t="s">
        <v>40</v>
      </c>
      <c r="O68" s="23" t="s">
        <v>387</v>
      </c>
      <c r="P68" s="23" t="s">
        <v>40</v>
      </c>
      <c r="Q68" s="23" t="s">
        <v>40</v>
      </c>
      <c r="R68" s="23" t="s">
        <v>204</v>
      </c>
      <c r="S68" s="23" t="s">
        <v>40</v>
      </c>
      <c r="T68" s="23" t="s">
        <v>2309</v>
      </c>
    </row>
    <row r="69" spans="1:20" x14ac:dyDescent="0.25">
      <c r="A69" s="23" t="s">
        <v>7935</v>
      </c>
      <c r="B69" s="23" t="s">
        <v>203</v>
      </c>
      <c r="C69" s="23" t="s">
        <v>7936</v>
      </c>
      <c r="D69" s="23" t="s">
        <v>7937</v>
      </c>
      <c r="E69" s="23" t="s">
        <v>7828</v>
      </c>
      <c r="F69" s="23" t="s">
        <v>40</v>
      </c>
      <c r="G69" s="23" t="s">
        <v>7938</v>
      </c>
      <c r="H69" s="23" t="s">
        <v>7939</v>
      </c>
      <c r="I69" s="23" t="s">
        <v>7940</v>
      </c>
      <c r="J69" s="23" t="s">
        <v>385</v>
      </c>
      <c r="K69" s="27" t="s">
        <v>404</v>
      </c>
      <c r="L69" s="23" t="s">
        <v>405</v>
      </c>
      <c r="M69" s="25" t="s">
        <v>18</v>
      </c>
      <c r="N69" s="23" t="s">
        <v>40</v>
      </c>
      <c r="O69" s="23" t="s">
        <v>387</v>
      </c>
      <c r="P69" s="23" t="s">
        <v>40</v>
      </c>
      <c r="Q69" s="23" t="s">
        <v>40</v>
      </c>
      <c r="R69" s="23" t="s">
        <v>204</v>
      </c>
      <c r="S69" s="23" t="s">
        <v>40</v>
      </c>
      <c r="T69" s="23" t="s">
        <v>2309</v>
      </c>
    </row>
    <row r="70" spans="1:20" x14ac:dyDescent="0.25">
      <c r="A70" s="23" t="s">
        <v>7941</v>
      </c>
      <c r="B70" s="23" t="s">
        <v>203</v>
      </c>
      <c r="C70" s="23" t="s">
        <v>7936</v>
      </c>
      <c r="D70" s="23" t="s">
        <v>7942</v>
      </c>
      <c r="E70" s="23" t="s">
        <v>7828</v>
      </c>
      <c r="F70" s="23" t="s">
        <v>40</v>
      </c>
      <c r="G70" s="23" t="s">
        <v>7943</v>
      </c>
      <c r="H70" s="23" t="s">
        <v>7944</v>
      </c>
      <c r="I70" s="23" t="s">
        <v>7945</v>
      </c>
      <c r="J70" s="23" t="s">
        <v>385</v>
      </c>
      <c r="K70" s="32" t="s">
        <v>747</v>
      </c>
      <c r="L70" s="23" t="s">
        <v>490</v>
      </c>
      <c r="M70" s="25" t="s">
        <v>18</v>
      </c>
      <c r="N70" s="23" t="s">
        <v>40</v>
      </c>
      <c r="O70" s="23" t="s">
        <v>387</v>
      </c>
      <c r="P70" s="23" t="s">
        <v>40</v>
      </c>
      <c r="Q70" s="23" t="s">
        <v>40</v>
      </c>
      <c r="R70" s="23" t="s">
        <v>204</v>
      </c>
      <c r="S70" s="23" t="s">
        <v>40</v>
      </c>
      <c r="T70" s="23" t="s">
        <v>2309</v>
      </c>
    </row>
    <row r="71" spans="1:20" x14ac:dyDescent="0.25">
      <c r="A71" s="23" t="s">
        <v>7946</v>
      </c>
      <c r="B71" s="23" t="s">
        <v>203</v>
      </c>
      <c r="C71" s="23" t="s">
        <v>7936</v>
      </c>
      <c r="D71" s="23" t="s">
        <v>7947</v>
      </c>
      <c r="E71" s="23" t="s">
        <v>7828</v>
      </c>
      <c r="F71" s="23" t="s">
        <v>40</v>
      </c>
      <c r="G71" s="23" t="s">
        <v>7948</v>
      </c>
      <c r="H71" s="23" t="s">
        <v>7949</v>
      </c>
      <c r="I71" s="23" t="s">
        <v>7950</v>
      </c>
      <c r="J71" s="23" t="s">
        <v>489</v>
      </c>
      <c r="K71" s="27" t="s">
        <v>404</v>
      </c>
      <c r="L71" s="23" t="s">
        <v>405</v>
      </c>
      <c r="M71" s="25" t="s">
        <v>18</v>
      </c>
      <c r="N71" s="23" t="s">
        <v>40</v>
      </c>
      <c r="O71" s="23" t="s">
        <v>387</v>
      </c>
      <c r="P71" s="23" t="s">
        <v>40</v>
      </c>
      <c r="Q71" s="23" t="s">
        <v>40</v>
      </c>
      <c r="R71" s="23" t="s">
        <v>204</v>
      </c>
      <c r="S71" s="23" t="s">
        <v>40</v>
      </c>
      <c r="T71" s="23" t="s">
        <v>2309</v>
      </c>
    </row>
    <row r="72" spans="1:20" x14ac:dyDescent="0.25">
      <c r="A72" s="23" t="s">
        <v>7951</v>
      </c>
      <c r="B72" s="23" t="s">
        <v>203</v>
      </c>
      <c r="C72" s="23" t="s">
        <v>7952</v>
      </c>
      <c r="D72" s="23" t="s">
        <v>7953</v>
      </c>
      <c r="E72" s="23" t="s">
        <v>7828</v>
      </c>
      <c r="F72" s="23" t="s">
        <v>40</v>
      </c>
      <c r="G72" s="23" t="s">
        <v>7954</v>
      </c>
      <c r="H72" s="23" t="s">
        <v>7955</v>
      </c>
      <c r="I72" s="23" t="s">
        <v>7956</v>
      </c>
      <c r="J72" s="23" t="s">
        <v>385</v>
      </c>
      <c r="K72" s="27" t="s">
        <v>404</v>
      </c>
      <c r="L72" s="23" t="s">
        <v>405</v>
      </c>
      <c r="M72" s="25" t="s">
        <v>18</v>
      </c>
      <c r="N72" s="23" t="s">
        <v>40</v>
      </c>
      <c r="O72" s="23" t="s">
        <v>387</v>
      </c>
      <c r="P72" s="23" t="s">
        <v>40</v>
      </c>
      <c r="Q72" s="23" t="s">
        <v>40</v>
      </c>
      <c r="R72" s="23" t="s">
        <v>204</v>
      </c>
      <c r="S72" s="23" t="s">
        <v>40</v>
      </c>
      <c r="T72" s="23" t="s">
        <v>40</v>
      </c>
    </row>
    <row r="73" spans="1:20" x14ac:dyDescent="0.25">
      <c r="A73" s="23" t="s">
        <v>7957</v>
      </c>
      <c r="B73" s="23" t="s">
        <v>203</v>
      </c>
      <c r="C73" s="23" t="s">
        <v>7952</v>
      </c>
      <c r="D73" s="23" t="s">
        <v>7958</v>
      </c>
      <c r="E73" s="23" t="s">
        <v>7828</v>
      </c>
      <c r="F73" s="23" t="s">
        <v>40</v>
      </c>
      <c r="G73" s="23" t="s">
        <v>7959</v>
      </c>
      <c r="H73" s="23" t="s">
        <v>7960</v>
      </c>
      <c r="I73" s="23" t="s">
        <v>7961</v>
      </c>
      <c r="J73" s="23" t="s">
        <v>489</v>
      </c>
      <c r="K73" s="27" t="s">
        <v>404</v>
      </c>
      <c r="L73" s="23" t="s">
        <v>405</v>
      </c>
      <c r="M73" s="25" t="s">
        <v>18</v>
      </c>
      <c r="N73" s="23" t="s">
        <v>40</v>
      </c>
      <c r="O73" s="23" t="s">
        <v>387</v>
      </c>
      <c r="P73" s="23" t="s">
        <v>40</v>
      </c>
      <c r="Q73" s="23" t="s">
        <v>40</v>
      </c>
      <c r="R73" s="23" t="s">
        <v>204</v>
      </c>
      <c r="S73" s="23" t="s">
        <v>40</v>
      </c>
      <c r="T73" s="23" t="s">
        <v>2309</v>
      </c>
    </row>
    <row r="74" spans="1:20" x14ac:dyDescent="0.25">
      <c r="A74" s="23" t="s">
        <v>7962</v>
      </c>
      <c r="B74" s="23" t="s">
        <v>203</v>
      </c>
      <c r="C74" s="23" t="s">
        <v>7952</v>
      </c>
      <c r="D74" s="23" t="s">
        <v>7963</v>
      </c>
      <c r="E74" s="23" t="s">
        <v>7828</v>
      </c>
      <c r="F74" s="23" t="s">
        <v>40</v>
      </c>
      <c r="G74" s="23" t="s">
        <v>7964</v>
      </c>
      <c r="H74" s="23" t="s">
        <v>7965</v>
      </c>
      <c r="I74" s="23" t="s">
        <v>7966</v>
      </c>
      <c r="J74" s="23" t="s">
        <v>385</v>
      </c>
      <c r="K74" s="32" t="s">
        <v>747</v>
      </c>
      <c r="L74" s="23" t="s">
        <v>490</v>
      </c>
      <c r="M74" s="25" t="s">
        <v>18</v>
      </c>
      <c r="N74" s="23" t="s">
        <v>40</v>
      </c>
      <c r="O74" s="23" t="s">
        <v>387</v>
      </c>
      <c r="P74" s="23" t="s">
        <v>40</v>
      </c>
      <c r="Q74" s="23" t="s">
        <v>40</v>
      </c>
      <c r="R74" s="23" t="s">
        <v>204</v>
      </c>
      <c r="S74" s="23" t="s">
        <v>40</v>
      </c>
      <c r="T74" s="23" t="s">
        <v>2309</v>
      </c>
    </row>
    <row r="75" spans="1:20" x14ac:dyDescent="0.25">
      <c r="A75" s="23" t="s">
        <v>7967</v>
      </c>
      <c r="B75" s="23" t="s">
        <v>203</v>
      </c>
      <c r="C75" s="23" t="s">
        <v>7968</v>
      </c>
      <c r="D75" s="23" t="s">
        <v>7969</v>
      </c>
      <c r="E75" s="23" t="s">
        <v>7828</v>
      </c>
      <c r="F75" s="23" t="s">
        <v>7970</v>
      </c>
      <c r="G75" s="23" t="s">
        <v>7971</v>
      </c>
      <c r="H75" s="23" t="s">
        <v>7972</v>
      </c>
      <c r="I75" s="23" t="s">
        <v>7973</v>
      </c>
      <c r="J75" s="23" t="s">
        <v>14</v>
      </c>
      <c r="K75" s="26" t="s">
        <v>396</v>
      </c>
      <c r="L75" s="23" t="s">
        <v>13</v>
      </c>
      <c r="M75" s="25" t="s">
        <v>18</v>
      </c>
      <c r="N75" s="23" t="s">
        <v>40</v>
      </c>
      <c r="O75" s="23" t="s">
        <v>387</v>
      </c>
      <c r="P75" s="23" t="s">
        <v>40</v>
      </c>
      <c r="Q75" s="23" t="s">
        <v>40</v>
      </c>
      <c r="R75" s="23" t="s">
        <v>204</v>
      </c>
      <c r="S75" s="23" t="s">
        <v>40</v>
      </c>
      <c r="T75" s="23" t="s">
        <v>5268</v>
      </c>
    </row>
    <row r="76" spans="1:20" x14ac:dyDescent="0.25">
      <c r="A76" s="23" t="s">
        <v>7974</v>
      </c>
      <c r="B76" s="23" t="s">
        <v>203</v>
      </c>
      <c r="C76" s="23" t="s">
        <v>7968</v>
      </c>
      <c r="D76" s="23" t="s">
        <v>7975</v>
      </c>
      <c r="E76" s="23" t="s">
        <v>7828</v>
      </c>
      <c r="F76" s="23" t="s">
        <v>40</v>
      </c>
      <c r="G76" s="23" t="s">
        <v>7976</v>
      </c>
      <c r="H76" s="23" t="s">
        <v>7977</v>
      </c>
      <c r="I76" s="23" t="s">
        <v>7978</v>
      </c>
      <c r="J76" s="23" t="s">
        <v>466</v>
      </c>
      <c r="K76" s="27" t="s">
        <v>404</v>
      </c>
      <c r="L76" s="23" t="s">
        <v>405</v>
      </c>
      <c r="M76" s="25" t="s">
        <v>18</v>
      </c>
      <c r="N76" s="23" t="s">
        <v>40</v>
      </c>
      <c r="O76" s="23" t="s">
        <v>387</v>
      </c>
      <c r="P76" s="23" t="s">
        <v>40</v>
      </c>
      <c r="Q76" s="23" t="s">
        <v>40</v>
      </c>
      <c r="R76" s="23" t="s">
        <v>204</v>
      </c>
      <c r="S76" s="23" t="s">
        <v>40</v>
      </c>
      <c r="T76" s="23" t="s">
        <v>2114</v>
      </c>
    </row>
    <row r="77" spans="1:20" x14ac:dyDescent="0.25">
      <c r="A77" s="23" t="s">
        <v>7979</v>
      </c>
      <c r="B77" s="23" t="s">
        <v>203</v>
      </c>
      <c r="C77" s="23" t="s">
        <v>6700</v>
      </c>
      <c r="D77" s="23" t="s">
        <v>7980</v>
      </c>
      <c r="E77" s="23" t="s">
        <v>5856</v>
      </c>
      <c r="F77" s="23" t="s">
        <v>40</v>
      </c>
      <c r="G77" s="23" t="s">
        <v>7981</v>
      </c>
      <c r="H77" s="23" t="s">
        <v>7982</v>
      </c>
      <c r="I77" s="23" t="s">
        <v>7013</v>
      </c>
      <c r="J77" s="23" t="s">
        <v>525</v>
      </c>
      <c r="K77" s="24" t="s">
        <v>386</v>
      </c>
      <c r="L77" s="23" t="s">
        <v>405</v>
      </c>
      <c r="M77" s="25" t="s">
        <v>18</v>
      </c>
      <c r="N77" s="23" t="s">
        <v>40</v>
      </c>
      <c r="O77" s="23" t="s">
        <v>387</v>
      </c>
      <c r="P77" s="23" t="s">
        <v>40</v>
      </c>
      <c r="Q77" s="23" t="s">
        <v>40</v>
      </c>
      <c r="R77" s="23" t="s">
        <v>204</v>
      </c>
      <c r="S77" s="23" t="s">
        <v>40</v>
      </c>
      <c r="T77" s="23" t="s">
        <v>40</v>
      </c>
    </row>
    <row r="78" spans="1:20" x14ac:dyDescent="0.25">
      <c r="A78" s="23" t="s">
        <v>7983</v>
      </c>
      <c r="B78" s="23" t="s">
        <v>205</v>
      </c>
      <c r="C78" s="23" t="s">
        <v>944</v>
      </c>
      <c r="D78" s="23" t="s">
        <v>7984</v>
      </c>
      <c r="E78" s="23" t="s">
        <v>3835</v>
      </c>
      <c r="F78" s="23" t="s">
        <v>7985</v>
      </c>
      <c r="G78" s="23" t="s">
        <v>7986</v>
      </c>
      <c r="H78" s="23" t="s">
        <v>7987</v>
      </c>
      <c r="I78" s="23" t="s">
        <v>7988</v>
      </c>
      <c r="J78" s="23" t="s">
        <v>385</v>
      </c>
      <c r="K78" s="24" t="s">
        <v>386</v>
      </c>
      <c r="L78" s="23" t="s">
        <v>13</v>
      </c>
      <c r="M78" s="31" t="s">
        <v>17</v>
      </c>
      <c r="N78" s="23" t="s">
        <v>7989</v>
      </c>
      <c r="O78" s="29" t="s">
        <v>87</v>
      </c>
      <c r="P78" s="23" t="s">
        <v>40</v>
      </c>
      <c r="Q78" s="23" t="s">
        <v>40</v>
      </c>
      <c r="R78" s="23" t="s">
        <v>206</v>
      </c>
      <c r="S78" s="23" t="s">
        <v>40</v>
      </c>
      <c r="T78" s="23" t="s">
        <v>40</v>
      </c>
    </row>
    <row r="79" spans="1:20" x14ac:dyDescent="0.25">
      <c r="A79" s="23" t="s">
        <v>7990</v>
      </c>
      <c r="B79" s="23" t="s">
        <v>205</v>
      </c>
      <c r="C79" s="23" t="s">
        <v>7991</v>
      </c>
      <c r="D79" s="23" t="s">
        <v>7992</v>
      </c>
      <c r="E79" s="23" t="s">
        <v>7993</v>
      </c>
      <c r="F79" s="23" t="s">
        <v>7994</v>
      </c>
      <c r="G79" s="23" t="s">
        <v>7995</v>
      </c>
      <c r="H79" s="23" t="s">
        <v>7996</v>
      </c>
      <c r="I79" s="23" t="s">
        <v>7997</v>
      </c>
      <c r="J79" s="23" t="s">
        <v>14</v>
      </c>
      <c r="K79" s="26" t="s">
        <v>396</v>
      </c>
      <c r="L79" s="23" t="s">
        <v>13</v>
      </c>
      <c r="M79" s="28" t="s">
        <v>16</v>
      </c>
      <c r="N79" s="23" t="s">
        <v>7998</v>
      </c>
      <c r="O79" s="29" t="s">
        <v>87</v>
      </c>
      <c r="P79" s="23" t="s">
        <v>40</v>
      </c>
      <c r="Q79" s="23" t="s">
        <v>40</v>
      </c>
      <c r="R79" s="23" t="s">
        <v>206</v>
      </c>
      <c r="S79" s="23" t="s">
        <v>40</v>
      </c>
      <c r="T79" s="23" t="s">
        <v>40</v>
      </c>
    </row>
    <row r="80" spans="1:20" x14ac:dyDescent="0.25">
      <c r="A80" s="23" t="s">
        <v>7999</v>
      </c>
      <c r="B80" s="23" t="s">
        <v>205</v>
      </c>
      <c r="C80" s="23" t="s">
        <v>7991</v>
      </c>
      <c r="D80" s="23" t="s">
        <v>8000</v>
      </c>
      <c r="E80" s="23" t="s">
        <v>8001</v>
      </c>
      <c r="F80" s="23" t="s">
        <v>40</v>
      </c>
      <c r="G80" s="23" t="s">
        <v>8002</v>
      </c>
      <c r="H80" s="23" t="s">
        <v>8003</v>
      </c>
      <c r="I80" s="23" t="s">
        <v>8004</v>
      </c>
      <c r="J80" s="23" t="s">
        <v>14</v>
      </c>
      <c r="K80" s="26" t="s">
        <v>396</v>
      </c>
      <c r="L80" s="23" t="s">
        <v>13</v>
      </c>
      <c r="M80" s="25" t="s">
        <v>18</v>
      </c>
      <c r="N80" s="23" t="s">
        <v>40</v>
      </c>
      <c r="O80" s="23" t="s">
        <v>387</v>
      </c>
      <c r="P80" s="23" t="s">
        <v>40</v>
      </c>
      <c r="Q80" s="23" t="s">
        <v>40</v>
      </c>
      <c r="R80" s="23" t="s">
        <v>206</v>
      </c>
      <c r="S80" s="23" t="s">
        <v>40</v>
      </c>
      <c r="T80" s="23" t="s">
        <v>40</v>
      </c>
    </row>
    <row r="81" spans="1:20" x14ac:dyDescent="0.25">
      <c r="A81" s="23" t="s">
        <v>8005</v>
      </c>
      <c r="B81" s="23" t="s">
        <v>205</v>
      </c>
      <c r="C81" s="23" t="s">
        <v>7991</v>
      </c>
      <c r="D81" s="23" t="s">
        <v>8006</v>
      </c>
      <c r="E81" s="23" t="s">
        <v>8007</v>
      </c>
      <c r="F81" s="23" t="s">
        <v>40</v>
      </c>
      <c r="G81" s="23" t="s">
        <v>8008</v>
      </c>
      <c r="H81" s="23" t="s">
        <v>8009</v>
      </c>
      <c r="I81" s="23" t="s">
        <v>8010</v>
      </c>
      <c r="J81" s="23" t="s">
        <v>15</v>
      </c>
      <c r="K81" s="24" t="s">
        <v>386</v>
      </c>
      <c r="L81" s="23" t="s">
        <v>13</v>
      </c>
      <c r="M81" s="25" t="s">
        <v>18</v>
      </c>
      <c r="N81" s="23" t="s">
        <v>40</v>
      </c>
      <c r="O81" s="23" t="s">
        <v>387</v>
      </c>
      <c r="P81" s="23" t="s">
        <v>40</v>
      </c>
      <c r="Q81" s="23" t="s">
        <v>40</v>
      </c>
      <c r="R81" s="23" t="s">
        <v>206</v>
      </c>
      <c r="S81" s="23" t="s">
        <v>40</v>
      </c>
      <c r="T81" s="23" t="s">
        <v>8011</v>
      </c>
    </row>
    <row r="82" spans="1:20" x14ac:dyDescent="0.25">
      <c r="A82" s="23" t="s">
        <v>8012</v>
      </c>
      <c r="B82" s="23" t="s">
        <v>205</v>
      </c>
      <c r="C82" s="23" t="s">
        <v>7991</v>
      </c>
      <c r="D82" s="23" t="s">
        <v>8013</v>
      </c>
      <c r="E82" s="23" t="s">
        <v>3835</v>
      </c>
      <c r="F82" s="23" t="s">
        <v>40</v>
      </c>
      <c r="G82" s="23" t="s">
        <v>8014</v>
      </c>
      <c r="H82" s="23" t="s">
        <v>8015</v>
      </c>
      <c r="I82" s="23" t="s">
        <v>8016</v>
      </c>
      <c r="J82" s="23" t="s">
        <v>14</v>
      </c>
      <c r="K82" s="26" t="s">
        <v>396</v>
      </c>
      <c r="L82" s="23" t="s">
        <v>13</v>
      </c>
      <c r="M82" s="25" t="s">
        <v>18</v>
      </c>
      <c r="N82" s="23" t="s">
        <v>40</v>
      </c>
      <c r="O82" s="23" t="s">
        <v>387</v>
      </c>
      <c r="P82" s="23" t="s">
        <v>40</v>
      </c>
      <c r="Q82" s="23" t="s">
        <v>40</v>
      </c>
      <c r="R82" s="23" t="s">
        <v>206</v>
      </c>
      <c r="S82" s="23" t="s">
        <v>40</v>
      </c>
      <c r="T82" s="23" t="s">
        <v>5299</v>
      </c>
    </row>
    <row r="83" spans="1:20" x14ac:dyDescent="0.25">
      <c r="A83" s="23" t="s">
        <v>8017</v>
      </c>
      <c r="B83" s="23" t="s">
        <v>205</v>
      </c>
      <c r="C83" s="23" t="s">
        <v>7991</v>
      </c>
      <c r="D83" s="23" t="s">
        <v>8018</v>
      </c>
      <c r="E83" s="23" t="s">
        <v>8019</v>
      </c>
      <c r="F83" s="23" t="s">
        <v>40</v>
      </c>
      <c r="G83" s="23" t="s">
        <v>8020</v>
      </c>
      <c r="H83" s="23" t="s">
        <v>8021</v>
      </c>
      <c r="I83" s="23" t="s">
        <v>8022</v>
      </c>
      <c r="J83" s="23" t="s">
        <v>14</v>
      </c>
      <c r="K83" s="24" t="s">
        <v>386</v>
      </c>
      <c r="L83" s="23" t="s">
        <v>405</v>
      </c>
      <c r="M83" s="25" t="s">
        <v>18</v>
      </c>
      <c r="N83" s="23" t="s">
        <v>40</v>
      </c>
      <c r="O83" s="23" t="s">
        <v>387</v>
      </c>
      <c r="P83" s="23" t="s">
        <v>40</v>
      </c>
      <c r="Q83" s="23" t="s">
        <v>40</v>
      </c>
      <c r="R83" s="23" t="s">
        <v>206</v>
      </c>
      <c r="S83" s="23" t="s">
        <v>40</v>
      </c>
      <c r="T83" s="23" t="s">
        <v>5299</v>
      </c>
    </row>
    <row r="84" spans="1:20" x14ac:dyDescent="0.25">
      <c r="A84" s="23" t="s">
        <v>8023</v>
      </c>
      <c r="B84" s="23" t="s">
        <v>205</v>
      </c>
      <c r="C84" s="23" t="s">
        <v>7991</v>
      </c>
      <c r="D84" s="23" t="s">
        <v>8024</v>
      </c>
      <c r="E84" s="23" t="s">
        <v>8025</v>
      </c>
      <c r="F84" s="23" t="s">
        <v>40</v>
      </c>
      <c r="G84" s="23" t="s">
        <v>8026</v>
      </c>
      <c r="H84" s="23" t="s">
        <v>8027</v>
      </c>
      <c r="I84" s="23" t="s">
        <v>8028</v>
      </c>
      <c r="J84" s="23" t="s">
        <v>14</v>
      </c>
      <c r="K84" s="26" t="s">
        <v>396</v>
      </c>
      <c r="L84" s="23" t="s">
        <v>13</v>
      </c>
      <c r="M84" s="25" t="s">
        <v>18</v>
      </c>
      <c r="N84" s="23" t="s">
        <v>40</v>
      </c>
      <c r="O84" s="23" t="s">
        <v>387</v>
      </c>
      <c r="P84" s="23" t="s">
        <v>40</v>
      </c>
      <c r="Q84" s="23" t="s">
        <v>40</v>
      </c>
      <c r="R84" s="23" t="s">
        <v>206</v>
      </c>
      <c r="S84" s="23" t="s">
        <v>40</v>
      </c>
      <c r="T84" s="23" t="s">
        <v>5299</v>
      </c>
    </row>
    <row r="85" spans="1:20" x14ac:dyDescent="0.25">
      <c r="A85" s="23" t="s">
        <v>8029</v>
      </c>
      <c r="B85" s="23" t="s">
        <v>205</v>
      </c>
      <c r="C85" s="23" t="s">
        <v>7991</v>
      </c>
      <c r="D85" s="23" t="s">
        <v>8030</v>
      </c>
      <c r="E85" s="23" t="s">
        <v>8031</v>
      </c>
      <c r="F85" s="23" t="s">
        <v>40</v>
      </c>
      <c r="G85" s="23" t="s">
        <v>8032</v>
      </c>
      <c r="H85" s="23" t="s">
        <v>8033</v>
      </c>
      <c r="I85" s="23" t="s">
        <v>8034</v>
      </c>
      <c r="J85" s="23" t="s">
        <v>15</v>
      </c>
      <c r="K85" s="27" t="s">
        <v>404</v>
      </c>
      <c r="L85" s="23" t="s">
        <v>405</v>
      </c>
      <c r="M85" s="25" t="s">
        <v>18</v>
      </c>
      <c r="N85" s="23" t="s">
        <v>40</v>
      </c>
      <c r="O85" s="23" t="s">
        <v>387</v>
      </c>
      <c r="P85" s="23" t="s">
        <v>40</v>
      </c>
      <c r="Q85" s="23" t="s">
        <v>40</v>
      </c>
      <c r="R85" s="23" t="s">
        <v>206</v>
      </c>
      <c r="S85" s="23" t="s">
        <v>8035</v>
      </c>
      <c r="T85" s="23" t="s">
        <v>40</v>
      </c>
    </row>
    <row r="86" spans="1:20" x14ac:dyDescent="0.25">
      <c r="A86" s="23" t="s">
        <v>8036</v>
      </c>
      <c r="B86" s="23" t="s">
        <v>205</v>
      </c>
      <c r="C86" s="23" t="s">
        <v>7991</v>
      </c>
      <c r="D86" s="23" t="s">
        <v>8037</v>
      </c>
      <c r="E86" s="23" t="s">
        <v>8038</v>
      </c>
      <c r="F86" s="23" t="s">
        <v>40</v>
      </c>
      <c r="G86" s="23" t="s">
        <v>8039</v>
      </c>
      <c r="H86" s="23" t="s">
        <v>8040</v>
      </c>
      <c r="I86" s="23" t="s">
        <v>8041</v>
      </c>
      <c r="J86" s="23" t="s">
        <v>15</v>
      </c>
      <c r="K86" s="27" t="s">
        <v>404</v>
      </c>
      <c r="L86" s="23" t="s">
        <v>405</v>
      </c>
      <c r="M86" s="25" t="s">
        <v>18</v>
      </c>
      <c r="N86" s="23" t="s">
        <v>40</v>
      </c>
      <c r="O86" s="23" t="s">
        <v>387</v>
      </c>
      <c r="P86" s="23" t="s">
        <v>40</v>
      </c>
      <c r="Q86" s="23" t="s">
        <v>40</v>
      </c>
      <c r="R86" s="23" t="s">
        <v>206</v>
      </c>
      <c r="S86" s="23" t="s">
        <v>40</v>
      </c>
      <c r="T86" s="23" t="s">
        <v>40</v>
      </c>
    </row>
    <row r="87" spans="1:20" x14ac:dyDescent="0.25">
      <c r="A87" s="23" t="s">
        <v>8042</v>
      </c>
      <c r="B87" s="23" t="s">
        <v>205</v>
      </c>
      <c r="C87" s="23" t="s">
        <v>461</v>
      </c>
      <c r="D87" s="23" t="s">
        <v>8043</v>
      </c>
      <c r="E87" s="23" t="s">
        <v>3835</v>
      </c>
      <c r="F87" s="23" t="s">
        <v>40</v>
      </c>
      <c r="G87" s="23" t="s">
        <v>8044</v>
      </c>
      <c r="H87" s="23" t="s">
        <v>8045</v>
      </c>
      <c r="I87" s="23" t="s">
        <v>8046</v>
      </c>
      <c r="J87" s="23" t="s">
        <v>466</v>
      </c>
      <c r="K87" s="27" t="s">
        <v>404</v>
      </c>
      <c r="L87" s="23" t="s">
        <v>405</v>
      </c>
      <c r="M87" s="25" t="s">
        <v>18</v>
      </c>
      <c r="N87" s="23" t="s">
        <v>40</v>
      </c>
      <c r="O87" s="23" t="s">
        <v>387</v>
      </c>
      <c r="P87" s="23" t="s">
        <v>40</v>
      </c>
      <c r="Q87" s="23" t="s">
        <v>40</v>
      </c>
      <c r="R87" s="23" t="s">
        <v>206</v>
      </c>
      <c r="S87" s="23" t="s">
        <v>40</v>
      </c>
      <c r="T87" s="23" t="s">
        <v>40</v>
      </c>
    </row>
    <row r="88" spans="1:20" x14ac:dyDescent="0.25">
      <c r="A88" s="23" t="s">
        <v>8047</v>
      </c>
      <c r="B88" s="23" t="s">
        <v>205</v>
      </c>
      <c r="C88" s="23" t="s">
        <v>2651</v>
      </c>
      <c r="D88" s="23" t="s">
        <v>8048</v>
      </c>
      <c r="E88" s="23" t="s">
        <v>8049</v>
      </c>
      <c r="F88" s="23" t="s">
        <v>40</v>
      </c>
      <c r="G88" s="23" t="s">
        <v>8050</v>
      </c>
      <c r="H88" s="23" t="s">
        <v>8051</v>
      </c>
      <c r="I88" s="23" t="s">
        <v>8052</v>
      </c>
      <c r="J88" s="23" t="s">
        <v>801</v>
      </c>
      <c r="K88" s="24" t="s">
        <v>386</v>
      </c>
      <c r="L88" s="23" t="s">
        <v>405</v>
      </c>
      <c r="M88" s="25" t="s">
        <v>18</v>
      </c>
      <c r="N88" s="23" t="s">
        <v>40</v>
      </c>
      <c r="O88" s="23" t="s">
        <v>387</v>
      </c>
      <c r="P88" s="23" t="s">
        <v>40</v>
      </c>
      <c r="Q88" s="23" t="s">
        <v>40</v>
      </c>
      <c r="R88" s="23" t="s">
        <v>206</v>
      </c>
      <c r="S88" s="23" t="s">
        <v>40</v>
      </c>
      <c r="T88" s="23" t="s">
        <v>40</v>
      </c>
    </row>
    <row r="89" spans="1:20" x14ac:dyDescent="0.25">
      <c r="A89" s="23" t="s">
        <v>8053</v>
      </c>
      <c r="B89" s="23" t="s">
        <v>205</v>
      </c>
      <c r="C89" s="23" t="s">
        <v>2651</v>
      </c>
      <c r="D89" s="23" t="s">
        <v>8054</v>
      </c>
      <c r="E89" s="23" t="s">
        <v>8055</v>
      </c>
      <c r="F89" s="23" t="s">
        <v>40</v>
      </c>
      <c r="G89" s="23" t="s">
        <v>8056</v>
      </c>
      <c r="H89" s="23" t="s">
        <v>8057</v>
      </c>
      <c r="I89" s="23" t="s">
        <v>8058</v>
      </c>
      <c r="J89" s="23" t="s">
        <v>801</v>
      </c>
      <c r="K89" s="26" t="s">
        <v>396</v>
      </c>
      <c r="L89" s="23" t="s">
        <v>13</v>
      </c>
      <c r="M89" s="25" t="s">
        <v>18</v>
      </c>
      <c r="N89" s="23" t="s">
        <v>40</v>
      </c>
      <c r="O89" s="23" t="s">
        <v>387</v>
      </c>
      <c r="P89" s="23" t="s">
        <v>40</v>
      </c>
      <c r="Q89" s="23" t="s">
        <v>40</v>
      </c>
      <c r="R89" s="23" t="s">
        <v>206</v>
      </c>
      <c r="S89" s="23" t="s">
        <v>40</v>
      </c>
      <c r="T89" s="23" t="s">
        <v>8059</v>
      </c>
    </row>
    <row r="90" spans="1:20" x14ac:dyDescent="0.25">
      <c r="A90" s="23" t="s">
        <v>8060</v>
      </c>
      <c r="B90" s="23" t="s">
        <v>205</v>
      </c>
      <c r="C90" s="23" t="s">
        <v>2651</v>
      </c>
      <c r="D90" s="23" t="s">
        <v>8061</v>
      </c>
      <c r="E90" s="23" t="s">
        <v>8062</v>
      </c>
      <c r="F90" s="23" t="s">
        <v>40</v>
      </c>
      <c r="G90" s="23" t="s">
        <v>8063</v>
      </c>
      <c r="H90" s="23" t="s">
        <v>8064</v>
      </c>
      <c r="I90" s="23" t="s">
        <v>8065</v>
      </c>
      <c r="J90" s="23" t="s">
        <v>15</v>
      </c>
      <c r="K90" s="27" t="s">
        <v>404</v>
      </c>
      <c r="L90" s="23" t="s">
        <v>405</v>
      </c>
      <c r="M90" s="25" t="s">
        <v>18</v>
      </c>
      <c r="N90" s="23" t="s">
        <v>40</v>
      </c>
      <c r="O90" s="23" t="s">
        <v>387</v>
      </c>
      <c r="P90" s="23" t="s">
        <v>40</v>
      </c>
      <c r="Q90" s="23" t="s">
        <v>40</v>
      </c>
      <c r="R90" s="23" t="s">
        <v>206</v>
      </c>
      <c r="S90" s="23" t="s">
        <v>40</v>
      </c>
      <c r="T90" s="23" t="s">
        <v>40</v>
      </c>
    </row>
    <row r="91" spans="1:20" x14ac:dyDescent="0.25">
      <c r="A91" s="23" t="s">
        <v>8066</v>
      </c>
      <c r="B91" s="23" t="s">
        <v>205</v>
      </c>
      <c r="C91" s="23" t="s">
        <v>8067</v>
      </c>
      <c r="D91" s="23" t="s">
        <v>8068</v>
      </c>
      <c r="E91" s="23" t="s">
        <v>8069</v>
      </c>
      <c r="F91" s="23" t="s">
        <v>40</v>
      </c>
      <c r="G91" s="23" t="s">
        <v>8070</v>
      </c>
      <c r="H91" s="23" t="s">
        <v>8071</v>
      </c>
      <c r="I91" s="23" t="s">
        <v>8072</v>
      </c>
      <c r="J91" s="23" t="s">
        <v>14</v>
      </c>
      <c r="K91" s="24" t="s">
        <v>386</v>
      </c>
      <c r="L91" s="23" t="s">
        <v>405</v>
      </c>
      <c r="M91" s="25" t="s">
        <v>18</v>
      </c>
      <c r="N91" s="23" t="s">
        <v>40</v>
      </c>
      <c r="O91" s="23" t="s">
        <v>387</v>
      </c>
      <c r="P91" s="23" t="s">
        <v>40</v>
      </c>
      <c r="Q91" s="23" t="s">
        <v>40</v>
      </c>
      <c r="R91" s="23" t="s">
        <v>206</v>
      </c>
      <c r="S91" s="23" t="s">
        <v>40</v>
      </c>
      <c r="T91" s="23" t="s">
        <v>40</v>
      </c>
    </row>
    <row r="92" spans="1:20" x14ac:dyDescent="0.25">
      <c r="A92" s="23" t="s">
        <v>8073</v>
      </c>
      <c r="B92" s="23" t="s">
        <v>205</v>
      </c>
      <c r="C92" s="23" t="s">
        <v>8067</v>
      </c>
      <c r="D92" s="23" t="s">
        <v>8074</v>
      </c>
      <c r="E92" s="23" t="s">
        <v>8075</v>
      </c>
      <c r="F92" s="23" t="s">
        <v>40</v>
      </c>
      <c r="G92" s="23" t="s">
        <v>8076</v>
      </c>
      <c r="H92" s="23" t="s">
        <v>8077</v>
      </c>
      <c r="I92" s="23" t="s">
        <v>8078</v>
      </c>
      <c r="J92" s="23" t="s">
        <v>489</v>
      </c>
      <c r="K92" s="27" t="s">
        <v>404</v>
      </c>
      <c r="L92" s="23" t="s">
        <v>490</v>
      </c>
      <c r="M92" s="25" t="s">
        <v>18</v>
      </c>
      <c r="N92" s="23" t="s">
        <v>40</v>
      </c>
      <c r="O92" s="23" t="s">
        <v>387</v>
      </c>
      <c r="P92" s="23" t="s">
        <v>40</v>
      </c>
      <c r="Q92" s="23" t="s">
        <v>40</v>
      </c>
      <c r="R92" s="23" t="s">
        <v>206</v>
      </c>
      <c r="S92" s="23" t="s">
        <v>40</v>
      </c>
      <c r="T92" s="23" t="s">
        <v>40</v>
      </c>
    </row>
    <row r="93" spans="1:20" x14ac:dyDescent="0.25">
      <c r="A93" s="23" t="s">
        <v>8079</v>
      </c>
      <c r="B93" s="23" t="s">
        <v>205</v>
      </c>
      <c r="C93" s="23" t="s">
        <v>8067</v>
      </c>
      <c r="D93" s="23" t="s">
        <v>8080</v>
      </c>
      <c r="E93" s="23" t="s">
        <v>8081</v>
      </c>
      <c r="F93" s="23" t="s">
        <v>40</v>
      </c>
      <c r="G93" s="23" t="s">
        <v>8082</v>
      </c>
      <c r="H93" s="23" t="s">
        <v>8083</v>
      </c>
      <c r="I93" s="23" t="s">
        <v>8084</v>
      </c>
      <c r="J93" s="23" t="s">
        <v>15</v>
      </c>
      <c r="K93" s="27" t="s">
        <v>404</v>
      </c>
      <c r="L93" s="23" t="s">
        <v>405</v>
      </c>
      <c r="M93" s="25" t="s">
        <v>18</v>
      </c>
      <c r="N93" s="23" t="s">
        <v>40</v>
      </c>
      <c r="O93" s="23" t="s">
        <v>387</v>
      </c>
      <c r="P93" s="23" t="s">
        <v>40</v>
      </c>
      <c r="Q93" s="23" t="s">
        <v>40</v>
      </c>
      <c r="R93" s="23" t="s">
        <v>206</v>
      </c>
      <c r="S93" s="23" t="s">
        <v>8085</v>
      </c>
      <c r="T93" s="23" t="s">
        <v>40</v>
      </c>
    </row>
    <row r="94" spans="1:20" x14ac:dyDescent="0.25">
      <c r="A94" s="23" t="s">
        <v>8086</v>
      </c>
      <c r="B94" s="23" t="s">
        <v>205</v>
      </c>
      <c r="C94" s="23" t="s">
        <v>8067</v>
      </c>
      <c r="D94" s="23" t="s">
        <v>8087</v>
      </c>
      <c r="E94" s="23" t="s">
        <v>8088</v>
      </c>
      <c r="F94" s="23" t="s">
        <v>40</v>
      </c>
      <c r="G94" s="23" t="s">
        <v>8089</v>
      </c>
      <c r="H94" s="23" t="s">
        <v>8090</v>
      </c>
      <c r="I94" s="23" t="s">
        <v>8091</v>
      </c>
      <c r="J94" s="23" t="s">
        <v>15</v>
      </c>
      <c r="K94" s="27" t="s">
        <v>404</v>
      </c>
      <c r="L94" s="23" t="s">
        <v>405</v>
      </c>
      <c r="M94" s="25" t="s">
        <v>18</v>
      </c>
      <c r="N94" s="23" t="s">
        <v>40</v>
      </c>
      <c r="O94" s="23" t="s">
        <v>387</v>
      </c>
      <c r="P94" s="23" t="s">
        <v>40</v>
      </c>
      <c r="Q94" s="23" t="s">
        <v>40</v>
      </c>
      <c r="R94" s="23" t="s">
        <v>206</v>
      </c>
      <c r="S94" s="23" t="s">
        <v>40</v>
      </c>
      <c r="T94" s="23" t="s">
        <v>40</v>
      </c>
    </row>
    <row r="95" spans="1:20" x14ac:dyDescent="0.25">
      <c r="A95" s="23" t="s">
        <v>8092</v>
      </c>
      <c r="B95" s="23" t="s">
        <v>205</v>
      </c>
      <c r="C95" s="23" t="s">
        <v>1685</v>
      </c>
      <c r="D95" s="23" t="s">
        <v>8093</v>
      </c>
      <c r="E95" s="23" t="s">
        <v>8094</v>
      </c>
      <c r="F95" s="23" t="s">
        <v>40</v>
      </c>
      <c r="G95" s="23" t="s">
        <v>8095</v>
      </c>
      <c r="H95" s="23" t="s">
        <v>8096</v>
      </c>
      <c r="I95" s="23" t="s">
        <v>8097</v>
      </c>
      <c r="J95" s="23" t="s">
        <v>14</v>
      </c>
      <c r="K95" s="24" t="s">
        <v>386</v>
      </c>
      <c r="L95" s="23" t="s">
        <v>405</v>
      </c>
      <c r="M95" s="25" t="s">
        <v>18</v>
      </c>
      <c r="N95" s="23" t="s">
        <v>40</v>
      </c>
      <c r="O95" s="23" t="s">
        <v>387</v>
      </c>
      <c r="P95" s="23" t="s">
        <v>40</v>
      </c>
      <c r="Q95" s="23" t="s">
        <v>40</v>
      </c>
      <c r="R95" s="23" t="s">
        <v>206</v>
      </c>
      <c r="S95" s="23" t="s">
        <v>40</v>
      </c>
      <c r="T95" s="23" t="s">
        <v>5100</v>
      </c>
    </row>
    <row r="96" spans="1:20" x14ac:dyDescent="0.25">
      <c r="A96" s="23" t="s">
        <v>8098</v>
      </c>
      <c r="B96" s="23" t="s">
        <v>205</v>
      </c>
      <c r="C96" s="23" t="s">
        <v>1685</v>
      </c>
      <c r="D96" s="23" t="s">
        <v>8099</v>
      </c>
      <c r="E96" s="23" t="s">
        <v>8094</v>
      </c>
      <c r="F96" s="23" t="s">
        <v>40</v>
      </c>
      <c r="G96" s="23" t="s">
        <v>8100</v>
      </c>
      <c r="H96" s="23" t="s">
        <v>8101</v>
      </c>
      <c r="I96" s="23" t="s">
        <v>8102</v>
      </c>
      <c r="J96" s="23" t="s">
        <v>15</v>
      </c>
      <c r="K96" s="27" t="s">
        <v>404</v>
      </c>
      <c r="L96" s="23" t="s">
        <v>405</v>
      </c>
      <c r="M96" s="25" t="s">
        <v>18</v>
      </c>
      <c r="N96" s="23" t="s">
        <v>40</v>
      </c>
      <c r="O96" s="23" t="s">
        <v>387</v>
      </c>
      <c r="P96" s="23" t="s">
        <v>40</v>
      </c>
      <c r="Q96" s="23" t="s">
        <v>40</v>
      </c>
      <c r="R96" s="23" t="s">
        <v>206</v>
      </c>
      <c r="S96" s="23" t="s">
        <v>40</v>
      </c>
      <c r="T96" s="23" t="s">
        <v>8103</v>
      </c>
    </row>
    <row r="97" spans="1:20" x14ac:dyDescent="0.25">
      <c r="A97" s="23" t="s">
        <v>8104</v>
      </c>
      <c r="B97" s="23" t="s">
        <v>205</v>
      </c>
      <c r="C97" s="23" t="s">
        <v>1685</v>
      </c>
      <c r="D97" s="23" t="s">
        <v>8105</v>
      </c>
      <c r="E97" s="23" t="s">
        <v>8106</v>
      </c>
      <c r="F97" s="23" t="s">
        <v>40</v>
      </c>
      <c r="G97" s="23" t="s">
        <v>8107</v>
      </c>
      <c r="H97" s="23" t="s">
        <v>8108</v>
      </c>
      <c r="I97" s="23" t="s">
        <v>8109</v>
      </c>
      <c r="J97" s="23" t="s">
        <v>15</v>
      </c>
      <c r="K97" s="27" t="s">
        <v>404</v>
      </c>
      <c r="L97" s="23" t="s">
        <v>405</v>
      </c>
      <c r="M97" s="25" t="s">
        <v>18</v>
      </c>
      <c r="N97" s="23" t="s">
        <v>40</v>
      </c>
      <c r="O97" s="23" t="s">
        <v>387</v>
      </c>
      <c r="P97" s="23" t="s">
        <v>40</v>
      </c>
      <c r="Q97" s="23" t="s">
        <v>40</v>
      </c>
      <c r="R97" s="23" t="s">
        <v>206</v>
      </c>
      <c r="S97" s="23" t="s">
        <v>40</v>
      </c>
      <c r="T97" s="23" t="s">
        <v>8103</v>
      </c>
    </row>
    <row r="98" spans="1:20" x14ac:dyDescent="0.25">
      <c r="A98" s="23" t="s">
        <v>8110</v>
      </c>
      <c r="B98" s="23" t="s">
        <v>205</v>
      </c>
      <c r="C98" s="23" t="s">
        <v>951</v>
      </c>
      <c r="D98" s="23" t="s">
        <v>8111</v>
      </c>
      <c r="E98" s="23" t="s">
        <v>3835</v>
      </c>
      <c r="F98" s="23" t="s">
        <v>40</v>
      </c>
      <c r="G98" s="23" t="s">
        <v>8112</v>
      </c>
      <c r="H98" s="23" t="s">
        <v>8113</v>
      </c>
      <c r="I98" s="23" t="s">
        <v>8114</v>
      </c>
      <c r="J98" s="23" t="s">
        <v>385</v>
      </c>
      <c r="K98" s="32" t="s">
        <v>747</v>
      </c>
      <c r="L98" s="23" t="s">
        <v>490</v>
      </c>
      <c r="M98" s="25" t="s">
        <v>18</v>
      </c>
      <c r="N98" s="23" t="s">
        <v>40</v>
      </c>
      <c r="O98" s="23" t="s">
        <v>387</v>
      </c>
      <c r="P98" s="23" t="s">
        <v>40</v>
      </c>
      <c r="Q98" s="23" t="s">
        <v>40</v>
      </c>
      <c r="R98" s="23" t="s">
        <v>206</v>
      </c>
      <c r="S98" s="23" t="s">
        <v>40</v>
      </c>
      <c r="T98" s="23" t="s">
        <v>40</v>
      </c>
    </row>
    <row r="99" spans="1:20" x14ac:dyDescent="0.25">
      <c r="A99" s="23" t="s">
        <v>8115</v>
      </c>
      <c r="B99" s="23" t="s">
        <v>205</v>
      </c>
      <c r="C99" s="23" t="s">
        <v>6700</v>
      </c>
      <c r="D99" s="23" t="s">
        <v>8116</v>
      </c>
      <c r="E99" s="23" t="s">
        <v>8117</v>
      </c>
      <c r="F99" s="23" t="s">
        <v>40</v>
      </c>
      <c r="G99" s="23" t="s">
        <v>8118</v>
      </c>
      <c r="H99" s="23" t="s">
        <v>8119</v>
      </c>
      <c r="I99" s="23" t="s">
        <v>8120</v>
      </c>
      <c r="J99" s="23" t="s">
        <v>525</v>
      </c>
      <c r="K99" s="24" t="s">
        <v>386</v>
      </c>
      <c r="L99" s="23" t="s">
        <v>405</v>
      </c>
      <c r="M99" s="25" t="s">
        <v>18</v>
      </c>
      <c r="N99" s="23" t="s">
        <v>40</v>
      </c>
      <c r="O99" s="23" t="s">
        <v>387</v>
      </c>
      <c r="P99" s="23" t="s">
        <v>40</v>
      </c>
      <c r="Q99" s="23" t="s">
        <v>40</v>
      </c>
      <c r="R99" s="23" t="s">
        <v>206</v>
      </c>
      <c r="S99" s="23" t="s">
        <v>40</v>
      </c>
      <c r="T99" s="23" t="s">
        <v>8103</v>
      </c>
    </row>
    <row r="100" spans="1:20" x14ac:dyDescent="0.25">
      <c r="A100" s="23" t="s">
        <v>8121</v>
      </c>
      <c r="B100" s="23" t="s">
        <v>208</v>
      </c>
      <c r="C100" s="23" t="s">
        <v>944</v>
      </c>
      <c r="D100" s="23" t="s">
        <v>8122</v>
      </c>
      <c r="E100" s="23" t="s">
        <v>3835</v>
      </c>
      <c r="F100" s="23" t="s">
        <v>8123</v>
      </c>
      <c r="G100" s="23" t="s">
        <v>8124</v>
      </c>
      <c r="H100" s="23" t="s">
        <v>8125</v>
      </c>
      <c r="I100" s="23" t="s">
        <v>8126</v>
      </c>
      <c r="J100" s="23" t="s">
        <v>385</v>
      </c>
      <c r="K100" s="24" t="s">
        <v>386</v>
      </c>
      <c r="L100" s="23" t="s">
        <v>13</v>
      </c>
      <c r="M100" s="31" t="s">
        <v>17</v>
      </c>
      <c r="N100" s="23" t="s">
        <v>8127</v>
      </c>
      <c r="O100" s="29" t="s">
        <v>87</v>
      </c>
      <c r="P100" s="23" t="s">
        <v>40</v>
      </c>
      <c r="Q100" s="23" t="s">
        <v>40</v>
      </c>
      <c r="R100" s="23" t="s">
        <v>209</v>
      </c>
      <c r="S100" s="23" t="s">
        <v>40</v>
      </c>
      <c r="T100" s="23" t="s">
        <v>40</v>
      </c>
    </row>
    <row r="101" spans="1:20" x14ac:dyDescent="0.25">
      <c r="A101" s="23" t="s">
        <v>8128</v>
      </c>
      <c r="B101" s="23" t="s">
        <v>208</v>
      </c>
      <c r="C101" s="23" t="s">
        <v>8129</v>
      </c>
      <c r="D101" s="23" t="s">
        <v>8130</v>
      </c>
      <c r="E101" s="23" t="s">
        <v>3835</v>
      </c>
      <c r="F101" s="23" t="s">
        <v>8131</v>
      </c>
      <c r="G101" s="23" t="s">
        <v>8132</v>
      </c>
      <c r="H101" s="23" t="s">
        <v>8133</v>
      </c>
      <c r="I101" s="23" t="s">
        <v>8134</v>
      </c>
      <c r="J101" s="23" t="s">
        <v>14</v>
      </c>
      <c r="K101" s="26" t="s">
        <v>396</v>
      </c>
      <c r="L101" s="23" t="s">
        <v>13</v>
      </c>
      <c r="M101" s="28" t="s">
        <v>16</v>
      </c>
      <c r="N101" s="23" t="s">
        <v>8135</v>
      </c>
      <c r="O101" s="29" t="s">
        <v>87</v>
      </c>
      <c r="P101" s="23" t="s">
        <v>40</v>
      </c>
      <c r="Q101" s="23" t="s">
        <v>40</v>
      </c>
      <c r="R101" s="23" t="s">
        <v>209</v>
      </c>
      <c r="S101" s="23" t="s">
        <v>40</v>
      </c>
      <c r="T101" s="23" t="s">
        <v>40</v>
      </c>
    </row>
    <row r="102" spans="1:20" x14ac:dyDescent="0.25">
      <c r="A102" s="23" t="s">
        <v>8136</v>
      </c>
      <c r="B102" s="23" t="s">
        <v>208</v>
      </c>
      <c r="C102" s="23" t="s">
        <v>8129</v>
      </c>
      <c r="D102" s="23" t="s">
        <v>8137</v>
      </c>
      <c r="E102" s="23" t="s">
        <v>3835</v>
      </c>
      <c r="F102" s="23" t="s">
        <v>8138</v>
      </c>
      <c r="G102" s="23" t="s">
        <v>8139</v>
      </c>
      <c r="H102" s="23" t="s">
        <v>8140</v>
      </c>
      <c r="I102" s="23" t="s">
        <v>8141</v>
      </c>
      <c r="J102" s="23" t="s">
        <v>14</v>
      </c>
      <c r="K102" s="24" t="s">
        <v>386</v>
      </c>
      <c r="L102" s="23" t="s">
        <v>405</v>
      </c>
      <c r="M102" s="25" t="s">
        <v>18</v>
      </c>
      <c r="N102" s="23" t="s">
        <v>40</v>
      </c>
      <c r="O102" s="23" t="s">
        <v>387</v>
      </c>
      <c r="P102" s="23" t="s">
        <v>40</v>
      </c>
      <c r="Q102" s="23" t="s">
        <v>40</v>
      </c>
      <c r="R102" s="23" t="s">
        <v>209</v>
      </c>
      <c r="S102" s="23" t="s">
        <v>40</v>
      </c>
      <c r="T102" s="23" t="s">
        <v>40</v>
      </c>
    </row>
    <row r="103" spans="1:20" x14ac:dyDescent="0.25">
      <c r="A103" s="23" t="s">
        <v>8142</v>
      </c>
      <c r="B103" s="23" t="s">
        <v>208</v>
      </c>
      <c r="C103" s="23" t="s">
        <v>8129</v>
      </c>
      <c r="D103" s="23" t="s">
        <v>8143</v>
      </c>
      <c r="E103" s="23" t="s">
        <v>3835</v>
      </c>
      <c r="F103" s="23" t="s">
        <v>8144</v>
      </c>
      <c r="G103" s="23" t="s">
        <v>8145</v>
      </c>
      <c r="H103" s="23" t="s">
        <v>8146</v>
      </c>
      <c r="I103" s="23" t="s">
        <v>8147</v>
      </c>
      <c r="J103" s="23" t="s">
        <v>14</v>
      </c>
      <c r="K103" s="24" t="s">
        <v>386</v>
      </c>
      <c r="L103" s="23" t="s">
        <v>405</v>
      </c>
      <c r="M103" s="25" t="s">
        <v>18</v>
      </c>
      <c r="N103" s="23" t="s">
        <v>40</v>
      </c>
      <c r="O103" s="23" t="s">
        <v>387</v>
      </c>
      <c r="P103" s="23" t="s">
        <v>40</v>
      </c>
      <c r="Q103" s="23" t="s">
        <v>40</v>
      </c>
      <c r="R103" s="23" t="s">
        <v>209</v>
      </c>
      <c r="S103" s="23" t="s">
        <v>40</v>
      </c>
      <c r="T103" s="23" t="s">
        <v>40</v>
      </c>
    </row>
    <row r="104" spans="1:20" x14ac:dyDescent="0.25">
      <c r="A104" s="23" t="s">
        <v>8148</v>
      </c>
      <c r="B104" s="23" t="s">
        <v>208</v>
      </c>
      <c r="C104" s="23" t="s">
        <v>8129</v>
      </c>
      <c r="D104" s="23" t="s">
        <v>8149</v>
      </c>
      <c r="E104" s="23" t="s">
        <v>3835</v>
      </c>
      <c r="F104" s="23" t="s">
        <v>8150</v>
      </c>
      <c r="G104" s="23" t="s">
        <v>8151</v>
      </c>
      <c r="H104" s="23" t="s">
        <v>8152</v>
      </c>
      <c r="I104" s="23" t="s">
        <v>8153</v>
      </c>
      <c r="J104" s="23" t="s">
        <v>14</v>
      </c>
      <c r="K104" s="24" t="s">
        <v>386</v>
      </c>
      <c r="L104" s="23" t="s">
        <v>405</v>
      </c>
      <c r="M104" s="25" t="s">
        <v>18</v>
      </c>
      <c r="N104" s="23" t="s">
        <v>40</v>
      </c>
      <c r="O104" s="23" t="s">
        <v>387</v>
      </c>
      <c r="P104" s="23" t="s">
        <v>40</v>
      </c>
      <c r="Q104" s="23" t="s">
        <v>40</v>
      </c>
      <c r="R104" s="23" t="s">
        <v>209</v>
      </c>
      <c r="S104" s="23" t="s">
        <v>40</v>
      </c>
      <c r="T104" s="23" t="s">
        <v>40</v>
      </c>
    </row>
    <row r="105" spans="1:20" x14ac:dyDescent="0.25">
      <c r="A105" s="23" t="s">
        <v>8154</v>
      </c>
      <c r="B105" s="23" t="s">
        <v>208</v>
      </c>
      <c r="C105" s="23" t="s">
        <v>8129</v>
      </c>
      <c r="D105" s="23" t="s">
        <v>8155</v>
      </c>
      <c r="E105" s="23" t="s">
        <v>3835</v>
      </c>
      <c r="F105" s="23" t="s">
        <v>8156</v>
      </c>
      <c r="G105" s="23" t="s">
        <v>8157</v>
      </c>
      <c r="H105" s="23" t="s">
        <v>8158</v>
      </c>
      <c r="I105" s="23" t="s">
        <v>8159</v>
      </c>
      <c r="J105" s="23" t="s">
        <v>14</v>
      </c>
      <c r="K105" s="27" t="s">
        <v>404</v>
      </c>
      <c r="L105" s="23" t="s">
        <v>490</v>
      </c>
      <c r="M105" s="25" t="s">
        <v>18</v>
      </c>
      <c r="N105" s="23" t="s">
        <v>40</v>
      </c>
      <c r="O105" s="23" t="s">
        <v>387</v>
      </c>
      <c r="P105" s="23" t="s">
        <v>40</v>
      </c>
      <c r="Q105" s="23" t="s">
        <v>40</v>
      </c>
      <c r="R105" s="23" t="s">
        <v>209</v>
      </c>
      <c r="S105" s="23" t="s">
        <v>40</v>
      </c>
      <c r="T105" s="23" t="s">
        <v>40</v>
      </c>
    </row>
    <row r="106" spans="1:20" x14ac:dyDescent="0.25">
      <c r="A106" s="23" t="s">
        <v>8160</v>
      </c>
      <c r="B106" s="23" t="s">
        <v>208</v>
      </c>
      <c r="C106" s="23" t="s">
        <v>461</v>
      </c>
      <c r="D106" s="23" t="s">
        <v>8161</v>
      </c>
      <c r="E106" s="23" t="s">
        <v>3835</v>
      </c>
      <c r="F106" s="23" t="s">
        <v>40</v>
      </c>
      <c r="G106" s="23" t="s">
        <v>8162</v>
      </c>
      <c r="H106" s="23" t="s">
        <v>8163</v>
      </c>
      <c r="I106" s="23" t="s">
        <v>8164</v>
      </c>
      <c r="J106" s="23" t="s">
        <v>466</v>
      </c>
      <c r="K106" s="27" t="s">
        <v>404</v>
      </c>
      <c r="L106" s="23" t="s">
        <v>405</v>
      </c>
      <c r="M106" s="25" t="s">
        <v>18</v>
      </c>
      <c r="N106" s="23" t="s">
        <v>40</v>
      </c>
      <c r="O106" s="23" t="s">
        <v>387</v>
      </c>
      <c r="P106" s="23" t="s">
        <v>40</v>
      </c>
      <c r="Q106" s="23" t="s">
        <v>40</v>
      </c>
      <c r="R106" s="23" t="s">
        <v>209</v>
      </c>
      <c r="S106" s="23" t="s">
        <v>40</v>
      </c>
      <c r="T106" s="23" t="s">
        <v>40</v>
      </c>
    </row>
    <row r="107" spans="1:20" x14ac:dyDescent="0.25">
      <c r="A107" s="23" t="s">
        <v>8165</v>
      </c>
      <c r="B107" s="23" t="s">
        <v>208</v>
      </c>
      <c r="C107" s="23" t="s">
        <v>461</v>
      </c>
      <c r="D107" s="23" t="s">
        <v>8166</v>
      </c>
      <c r="E107" s="23" t="s">
        <v>3835</v>
      </c>
      <c r="F107" s="23" t="s">
        <v>40</v>
      </c>
      <c r="G107" s="23" t="s">
        <v>8167</v>
      </c>
      <c r="H107" s="23" t="s">
        <v>8168</v>
      </c>
      <c r="I107" s="23" t="s">
        <v>8169</v>
      </c>
      <c r="J107" s="23" t="s">
        <v>466</v>
      </c>
      <c r="K107" s="27" t="s">
        <v>404</v>
      </c>
      <c r="L107" s="23" t="s">
        <v>405</v>
      </c>
      <c r="M107" s="25" t="s">
        <v>18</v>
      </c>
      <c r="N107" s="23" t="s">
        <v>40</v>
      </c>
      <c r="O107" s="23" t="s">
        <v>387</v>
      </c>
      <c r="P107" s="23" t="s">
        <v>40</v>
      </c>
      <c r="Q107" s="23" t="s">
        <v>40</v>
      </c>
      <c r="R107" s="23" t="s">
        <v>209</v>
      </c>
      <c r="S107" s="23" t="s">
        <v>40</v>
      </c>
      <c r="T107" s="23" t="s">
        <v>40</v>
      </c>
    </row>
    <row r="108" spans="1:20" x14ac:dyDescent="0.25">
      <c r="A108" s="23" t="s">
        <v>8170</v>
      </c>
      <c r="B108" s="23" t="s">
        <v>208</v>
      </c>
      <c r="C108" s="23" t="s">
        <v>461</v>
      </c>
      <c r="D108" s="23" t="s">
        <v>8171</v>
      </c>
      <c r="E108" s="23" t="s">
        <v>3835</v>
      </c>
      <c r="F108" s="23" t="s">
        <v>40</v>
      </c>
      <c r="G108" s="23" t="s">
        <v>8172</v>
      </c>
      <c r="H108" s="23" t="s">
        <v>8173</v>
      </c>
      <c r="I108" s="23" t="s">
        <v>8174</v>
      </c>
      <c r="J108" s="23" t="s">
        <v>466</v>
      </c>
      <c r="K108" s="27" t="s">
        <v>404</v>
      </c>
      <c r="L108" s="23" t="s">
        <v>405</v>
      </c>
      <c r="M108" s="25" t="s">
        <v>18</v>
      </c>
      <c r="N108" s="23" t="s">
        <v>40</v>
      </c>
      <c r="O108" s="23" t="s">
        <v>387</v>
      </c>
      <c r="P108" s="23" t="s">
        <v>40</v>
      </c>
      <c r="Q108" s="23" t="s">
        <v>40</v>
      </c>
      <c r="R108" s="23" t="s">
        <v>209</v>
      </c>
      <c r="S108" s="23" t="s">
        <v>40</v>
      </c>
      <c r="T108" s="23" t="s">
        <v>40</v>
      </c>
    </row>
    <row r="109" spans="1:20" x14ac:dyDescent="0.25">
      <c r="A109" s="23" t="s">
        <v>8175</v>
      </c>
      <c r="B109" s="23" t="s">
        <v>208</v>
      </c>
      <c r="C109" s="23" t="s">
        <v>6581</v>
      </c>
      <c r="D109" s="23" t="s">
        <v>8176</v>
      </c>
      <c r="E109" s="23" t="s">
        <v>3835</v>
      </c>
      <c r="F109" s="23" t="s">
        <v>40</v>
      </c>
      <c r="G109" s="23" t="s">
        <v>8177</v>
      </c>
      <c r="H109" s="23" t="s">
        <v>8178</v>
      </c>
      <c r="I109" s="23" t="s">
        <v>6623</v>
      </c>
      <c r="J109" s="23" t="s">
        <v>15</v>
      </c>
      <c r="K109" s="27" t="s">
        <v>404</v>
      </c>
      <c r="L109" s="23" t="s">
        <v>405</v>
      </c>
      <c r="M109" s="25" t="s">
        <v>18</v>
      </c>
      <c r="N109" s="23" t="s">
        <v>40</v>
      </c>
      <c r="O109" s="23" t="s">
        <v>387</v>
      </c>
      <c r="P109" s="23" t="s">
        <v>40</v>
      </c>
      <c r="Q109" s="23" t="s">
        <v>40</v>
      </c>
      <c r="R109" s="23" t="s">
        <v>209</v>
      </c>
      <c r="S109" s="23" t="s">
        <v>40</v>
      </c>
      <c r="T109" s="23" t="s">
        <v>40</v>
      </c>
    </row>
    <row r="110" spans="1:20" x14ac:dyDescent="0.25">
      <c r="A110" s="23" t="s">
        <v>8179</v>
      </c>
      <c r="B110" s="23" t="s">
        <v>208</v>
      </c>
      <c r="C110" s="23" t="s">
        <v>6581</v>
      </c>
      <c r="D110" s="23" t="s">
        <v>8180</v>
      </c>
      <c r="E110" s="23" t="s">
        <v>8181</v>
      </c>
      <c r="F110" s="23" t="s">
        <v>40</v>
      </c>
      <c r="G110" s="23" t="s">
        <v>8182</v>
      </c>
      <c r="H110" s="23" t="s">
        <v>8183</v>
      </c>
      <c r="I110" s="23" t="s">
        <v>8184</v>
      </c>
      <c r="J110" s="23" t="s">
        <v>15</v>
      </c>
      <c r="K110" s="27" t="s">
        <v>404</v>
      </c>
      <c r="L110" s="23" t="s">
        <v>405</v>
      </c>
      <c r="M110" s="25" t="s">
        <v>18</v>
      </c>
      <c r="N110" s="23" t="s">
        <v>40</v>
      </c>
      <c r="O110" s="23" t="s">
        <v>387</v>
      </c>
      <c r="P110" s="23" t="s">
        <v>40</v>
      </c>
      <c r="Q110" s="23" t="s">
        <v>40</v>
      </c>
      <c r="R110" s="23" t="s">
        <v>209</v>
      </c>
      <c r="S110" s="23" t="s">
        <v>40</v>
      </c>
      <c r="T110" s="23" t="s">
        <v>2114</v>
      </c>
    </row>
    <row r="111" spans="1:20" x14ac:dyDescent="0.25">
      <c r="A111" s="23" t="s">
        <v>8185</v>
      </c>
      <c r="B111" s="23" t="s">
        <v>208</v>
      </c>
      <c r="C111" s="23" t="s">
        <v>6581</v>
      </c>
      <c r="D111" s="23" t="s">
        <v>8186</v>
      </c>
      <c r="E111" s="23" t="s">
        <v>3835</v>
      </c>
      <c r="F111" s="23" t="s">
        <v>40</v>
      </c>
      <c r="G111" s="23" t="s">
        <v>8187</v>
      </c>
      <c r="H111" s="23" t="s">
        <v>8188</v>
      </c>
      <c r="I111" s="23" t="s">
        <v>8189</v>
      </c>
      <c r="J111" s="23" t="s">
        <v>15</v>
      </c>
      <c r="K111" s="27" t="s">
        <v>404</v>
      </c>
      <c r="L111" s="23" t="s">
        <v>490</v>
      </c>
      <c r="M111" s="25" t="s">
        <v>18</v>
      </c>
      <c r="N111" s="23" t="s">
        <v>40</v>
      </c>
      <c r="O111" s="23" t="s">
        <v>387</v>
      </c>
      <c r="P111" s="23" t="s">
        <v>40</v>
      </c>
      <c r="Q111" s="23" t="s">
        <v>40</v>
      </c>
      <c r="R111" s="23" t="s">
        <v>209</v>
      </c>
      <c r="S111" s="23" t="s">
        <v>40</v>
      </c>
      <c r="T111" s="23" t="s">
        <v>40</v>
      </c>
    </row>
    <row r="112" spans="1:20" x14ac:dyDescent="0.25">
      <c r="A112" s="23" t="s">
        <v>8190</v>
      </c>
      <c r="B112" s="23" t="s">
        <v>208</v>
      </c>
      <c r="C112" s="23" t="s">
        <v>6581</v>
      </c>
      <c r="D112" s="23" t="s">
        <v>8191</v>
      </c>
      <c r="E112" s="23" t="s">
        <v>3835</v>
      </c>
      <c r="F112" s="23" t="s">
        <v>40</v>
      </c>
      <c r="G112" s="23" t="s">
        <v>8192</v>
      </c>
      <c r="H112" s="23" t="s">
        <v>8193</v>
      </c>
      <c r="I112" s="23" t="s">
        <v>8194</v>
      </c>
      <c r="J112" s="23" t="s">
        <v>489</v>
      </c>
      <c r="K112" s="27" t="s">
        <v>404</v>
      </c>
      <c r="L112" s="23" t="s">
        <v>490</v>
      </c>
      <c r="M112" s="25" t="s">
        <v>18</v>
      </c>
      <c r="N112" s="23" t="s">
        <v>40</v>
      </c>
      <c r="O112" s="23" t="s">
        <v>387</v>
      </c>
      <c r="P112" s="23" t="s">
        <v>40</v>
      </c>
      <c r="Q112" s="23" t="s">
        <v>40</v>
      </c>
      <c r="R112" s="23" t="s">
        <v>209</v>
      </c>
      <c r="S112" s="23" t="s">
        <v>40</v>
      </c>
      <c r="T112" s="23" t="s">
        <v>40</v>
      </c>
    </row>
    <row r="113" spans="1:20" x14ac:dyDescent="0.25">
      <c r="A113" s="23" t="s">
        <v>8195</v>
      </c>
      <c r="B113" s="23" t="s">
        <v>208</v>
      </c>
      <c r="C113" s="23" t="s">
        <v>6292</v>
      </c>
      <c r="D113" s="23" t="s">
        <v>8196</v>
      </c>
      <c r="E113" s="23" t="s">
        <v>3835</v>
      </c>
      <c r="F113" s="23" t="s">
        <v>40</v>
      </c>
      <c r="G113" s="23" t="s">
        <v>8197</v>
      </c>
      <c r="H113" s="23" t="s">
        <v>8198</v>
      </c>
      <c r="I113" s="23" t="s">
        <v>8199</v>
      </c>
      <c r="J113" s="23" t="s">
        <v>14</v>
      </c>
      <c r="K113" s="24" t="s">
        <v>386</v>
      </c>
      <c r="L113" s="23" t="s">
        <v>405</v>
      </c>
      <c r="M113" s="25" t="s">
        <v>18</v>
      </c>
      <c r="N113" s="23" t="s">
        <v>40</v>
      </c>
      <c r="O113" s="23" t="s">
        <v>387</v>
      </c>
      <c r="P113" s="23" t="s">
        <v>40</v>
      </c>
      <c r="Q113" s="23" t="s">
        <v>40</v>
      </c>
      <c r="R113" s="23" t="s">
        <v>209</v>
      </c>
      <c r="S113" s="23" t="s">
        <v>40</v>
      </c>
      <c r="T113" s="23" t="s">
        <v>40</v>
      </c>
    </row>
    <row r="114" spans="1:20" x14ac:dyDescent="0.25">
      <c r="A114" s="23" t="s">
        <v>8200</v>
      </c>
      <c r="B114" s="23" t="s">
        <v>208</v>
      </c>
      <c r="C114" s="23" t="s">
        <v>6292</v>
      </c>
      <c r="D114" s="23" t="s">
        <v>8201</v>
      </c>
      <c r="E114" s="23" t="s">
        <v>3835</v>
      </c>
      <c r="F114" s="23" t="s">
        <v>40</v>
      </c>
      <c r="G114" s="23" t="s">
        <v>8202</v>
      </c>
      <c r="H114" s="23" t="s">
        <v>8203</v>
      </c>
      <c r="I114" s="23" t="s">
        <v>8204</v>
      </c>
      <c r="J114" s="23" t="s">
        <v>14</v>
      </c>
      <c r="K114" s="24" t="s">
        <v>386</v>
      </c>
      <c r="L114" s="23" t="s">
        <v>405</v>
      </c>
      <c r="M114" s="25" t="s">
        <v>18</v>
      </c>
      <c r="N114" s="23" t="s">
        <v>40</v>
      </c>
      <c r="O114" s="23" t="s">
        <v>387</v>
      </c>
      <c r="P114" s="23" t="s">
        <v>40</v>
      </c>
      <c r="Q114" s="23" t="s">
        <v>40</v>
      </c>
      <c r="R114" s="23" t="s">
        <v>209</v>
      </c>
      <c r="S114" s="23" t="s">
        <v>40</v>
      </c>
      <c r="T114" s="23" t="s">
        <v>40</v>
      </c>
    </row>
    <row r="115" spans="1:20" x14ac:dyDescent="0.25">
      <c r="A115" s="23" t="s">
        <v>8205</v>
      </c>
      <c r="B115" s="23" t="s">
        <v>208</v>
      </c>
      <c r="C115" s="23" t="s">
        <v>1753</v>
      </c>
      <c r="D115" s="23" t="s">
        <v>8206</v>
      </c>
      <c r="E115" s="23" t="s">
        <v>3835</v>
      </c>
      <c r="F115" s="23" t="s">
        <v>40</v>
      </c>
      <c r="G115" s="23" t="s">
        <v>8207</v>
      </c>
      <c r="H115" s="23" t="s">
        <v>8208</v>
      </c>
      <c r="I115" s="23" t="s">
        <v>8209</v>
      </c>
      <c r="J115" s="23" t="s">
        <v>385</v>
      </c>
      <c r="K115" s="27" t="s">
        <v>404</v>
      </c>
      <c r="L115" s="23" t="s">
        <v>405</v>
      </c>
      <c r="M115" s="25" t="s">
        <v>18</v>
      </c>
      <c r="N115" s="23" t="s">
        <v>40</v>
      </c>
      <c r="O115" s="23" t="s">
        <v>387</v>
      </c>
      <c r="P115" s="23" t="s">
        <v>40</v>
      </c>
      <c r="Q115" s="23" t="s">
        <v>40</v>
      </c>
      <c r="R115" s="23" t="s">
        <v>209</v>
      </c>
      <c r="S115" s="23" t="s">
        <v>40</v>
      </c>
      <c r="T115" s="23" t="s">
        <v>40</v>
      </c>
    </row>
    <row r="116" spans="1:20" x14ac:dyDescent="0.25">
      <c r="A116" s="23" t="s">
        <v>8210</v>
      </c>
      <c r="B116" s="23" t="s">
        <v>208</v>
      </c>
      <c r="C116" s="23" t="s">
        <v>1753</v>
      </c>
      <c r="D116" s="23" t="s">
        <v>8211</v>
      </c>
      <c r="E116" s="23" t="s">
        <v>3835</v>
      </c>
      <c r="F116" s="23" t="s">
        <v>40</v>
      </c>
      <c r="G116" s="23" t="s">
        <v>8212</v>
      </c>
      <c r="H116" s="23" t="s">
        <v>8213</v>
      </c>
      <c r="I116" s="23" t="s">
        <v>8214</v>
      </c>
      <c r="J116" s="23" t="s">
        <v>14</v>
      </c>
      <c r="K116" s="27" t="s">
        <v>404</v>
      </c>
      <c r="L116" s="23" t="s">
        <v>490</v>
      </c>
      <c r="M116" s="25" t="s">
        <v>18</v>
      </c>
      <c r="N116" s="23" t="s">
        <v>40</v>
      </c>
      <c r="O116" s="23" t="s">
        <v>387</v>
      </c>
      <c r="P116" s="23" t="s">
        <v>40</v>
      </c>
      <c r="Q116" s="23" t="s">
        <v>40</v>
      </c>
      <c r="R116" s="23" t="s">
        <v>209</v>
      </c>
      <c r="S116" s="23" t="s">
        <v>40</v>
      </c>
      <c r="T116" s="23" t="s">
        <v>40</v>
      </c>
    </row>
    <row r="117" spans="1:20" x14ac:dyDescent="0.25">
      <c r="A117" s="23" t="s">
        <v>8215</v>
      </c>
      <c r="B117" s="23" t="s">
        <v>208</v>
      </c>
      <c r="C117" s="23" t="s">
        <v>1753</v>
      </c>
      <c r="D117" s="23" t="s">
        <v>8216</v>
      </c>
      <c r="E117" s="23" t="s">
        <v>3835</v>
      </c>
      <c r="F117" s="23" t="s">
        <v>40</v>
      </c>
      <c r="G117" s="23" t="s">
        <v>8217</v>
      </c>
      <c r="H117" s="23" t="s">
        <v>8218</v>
      </c>
      <c r="I117" s="23" t="s">
        <v>8219</v>
      </c>
      <c r="J117" s="23" t="s">
        <v>385</v>
      </c>
      <c r="K117" s="32" t="s">
        <v>747</v>
      </c>
      <c r="L117" s="23" t="s">
        <v>490</v>
      </c>
      <c r="M117" s="25" t="s">
        <v>18</v>
      </c>
      <c r="N117" s="23" t="s">
        <v>40</v>
      </c>
      <c r="O117" s="23" t="s">
        <v>387</v>
      </c>
      <c r="P117" s="23" t="s">
        <v>40</v>
      </c>
      <c r="Q117" s="23" t="s">
        <v>40</v>
      </c>
      <c r="R117" s="23" t="s">
        <v>209</v>
      </c>
      <c r="S117" s="23" t="s">
        <v>40</v>
      </c>
      <c r="T117" s="23" t="s">
        <v>40</v>
      </c>
    </row>
    <row r="118" spans="1:20" x14ac:dyDescent="0.25">
      <c r="A118" s="23" t="s">
        <v>8220</v>
      </c>
      <c r="B118" s="23" t="s">
        <v>208</v>
      </c>
      <c r="C118" s="23" t="s">
        <v>1984</v>
      </c>
      <c r="D118" s="23" t="s">
        <v>8221</v>
      </c>
      <c r="E118" s="23" t="s">
        <v>8222</v>
      </c>
      <c r="F118" s="23" t="s">
        <v>40</v>
      </c>
      <c r="G118" s="23" t="s">
        <v>8223</v>
      </c>
      <c r="H118" s="23" t="s">
        <v>8224</v>
      </c>
      <c r="I118" s="23" t="s">
        <v>8225</v>
      </c>
      <c r="J118" s="23" t="s">
        <v>14</v>
      </c>
      <c r="K118" s="27" t="s">
        <v>404</v>
      </c>
      <c r="L118" s="23" t="s">
        <v>490</v>
      </c>
      <c r="M118" s="25" t="s">
        <v>18</v>
      </c>
      <c r="N118" s="23" t="s">
        <v>40</v>
      </c>
      <c r="O118" s="23" t="s">
        <v>387</v>
      </c>
      <c r="P118" s="23" t="s">
        <v>40</v>
      </c>
      <c r="Q118" s="23" t="s">
        <v>40</v>
      </c>
      <c r="R118" s="23" t="s">
        <v>209</v>
      </c>
      <c r="S118" s="23" t="s">
        <v>40</v>
      </c>
      <c r="T118" s="23" t="s">
        <v>1119</v>
      </c>
    </row>
    <row r="119" spans="1:20" x14ac:dyDescent="0.25">
      <c r="A119" s="23" t="s">
        <v>8226</v>
      </c>
      <c r="B119" s="23" t="s">
        <v>208</v>
      </c>
      <c r="C119" s="23" t="s">
        <v>801</v>
      </c>
      <c r="D119" s="23" t="s">
        <v>8227</v>
      </c>
      <c r="E119" s="23" t="s">
        <v>8228</v>
      </c>
      <c r="F119" s="23" t="s">
        <v>40</v>
      </c>
      <c r="G119" s="23" t="s">
        <v>8229</v>
      </c>
      <c r="H119" s="23" t="s">
        <v>8230</v>
      </c>
      <c r="I119" s="23" t="s">
        <v>8231</v>
      </c>
      <c r="J119" s="23" t="s">
        <v>801</v>
      </c>
      <c r="K119" s="24" t="s">
        <v>386</v>
      </c>
      <c r="L119" s="23" t="s">
        <v>405</v>
      </c>
      <c r="M119" s="25" t="s">
        <v>18</v>
      </c>
      <c r="N119" s="23" t="s">
        <v>40</v>
      </c>
      <c r="O119" s="23" t="s">
        <v>387</v>
      </c>
      <c r="P119" s="23" t="s">
        <v>40</v>
      </c>
      <c r="Q119" s="23" t="s">
        <v>40</v>
      </c>
      <c r="R119" s="23" t="s">
        <v>209</v>
      </c>
      <c r="S119" s="23" t="s">
        <v>40</v>
      </c>
      <c r="T119" s="23" t="s">
        <v>40</v>
      </c>
    </row>
    <row r="120" spans="1:20" x14ac:dyDescent="0.25">
      <c r="A120" s="23" t="s">
        <v>8232</v>
      </c>
      <c r="B120" s="23" t="s">
        <v>208</v>
      </c>
      <c r="C120" s="23" t="s">
        <v>6700</v>
      </c>
      <c r="D120" s="23" t="s">
        <v>8233</v>
      </c>
      <c r="E120" s="23" t="s">
        <v>5856</v>
      </c>
      <c r="F120" s="23" t="s">
        <v>40</v>
      </c>
      <c r="G120" s="23" t="s">
        <v>8234</v>
      </c>
      <c r="H120" s="23" t="s">
        <v>8235</v>
      </c>
      <c r="I120" s="23" t="s">
        <v>7013</v>
      </c>
      <c r="J120" s="23" t="s">
        <v>525</v>
      </c>
      <c r="K120" s="24" t="s">
        <v>386</v>
      </c>
      <c r="L120" s="23" t="s">
        <v>405</v>
      </c>
      <c r="M120" s="25" t="s">
        <v>18</v>
      </c>
      <c r="N120" s="23" t="s">
        <v>40</v>
      </c>
      <c r="O120" s="23" t="s">
        <v>387</v>
      </c>
      <c r="P120" s="23" t="s">
        <v>40</v>
      </c>
      <c r="Q120" s="23" t="s">
        <v>40</v>
      </c>
      <c r="R120" s="23" t="s">
        <v>209</v>
      </c>
      <c r="S120" s="23" t="s">
        <v>40</v>
      </c>
      <c r="T120" s="23" t="s">
        <v>40</v>
      </c>
    </row>
    <row r="121" spans="1:20" x14ac:dyDescent="0.25">
      <c r="A121" s="23" t="s">
        <v>8236</v>
      </c>
      <c r="B121" s="23" t="s">
        <v>211</v>
      </c>
      <c r="C121" s="23" t="s">
        <v>944</v>
      </c>
      <c r="D121" s="23" t="s">
        <v>8237</v>
      </c>
      <c r="E121" s="23" t="s">
        <v>3835</v>
      </c>
      <c r="F121" s="23" t="s">
        <v>8238</v>
      </c>
      <c r="G121" s="23" t="s">
        <v>8239</v>
      </c>
      <c r="H121" s="23" t="s">
        <v>8240</v>
      </c>
      <c r="I121" s="23" t="s">
        <v>8241</v>
      </c>
      <c r="J121" s="23" t="s">
        <v>385</v>
      </c>
      <c r="K121" s="24" t="s">
        <v>386</v>
      </c>
      <c r="L121" s="23" t="s">
        <v>13</v>
      </c>
      <c r="M121" s="31" t="s">
        <v>17</v>
      </c>
      <c r="N121" s="23" t="s">
        <v>8242</v>
      </c>
      <c r="O121" s="29" t="s">
        <v>87</v>
      </c>
      <c r="P121" s="23" t="s">
        <v>40</v>
      </c>
      <c r="Q121" s="23" t="s">
        <v>40</v>
      </c>
      <c r="R121" s="23" t="s">
        <v>212</v>
      </c>
      <c r="S121" s="23" t="s">
        <v>40</v>
      </c>
      <c r="T121" s="23" t="s">
        <v>40</v>
      </c>
    </row>
    <row r="122" spans="1:20" x14ac:dyDescent="0.25">
      <c r="A122" s="23" t="s">
        <v>8243</v>
      </c>
      <c r="B122" s="23" t="s">
        <v>211</v>
      </c>
      <c r="C122" s="23" t="s">
        <v>7991</v>
      </c>
      <c r="D122" s="23" t="s">
        <v>8244</v>
      </c>
      <c r="E122" s="23" t="s">
        <v>8245</v>
      </c>
      <c r="F122" s="23" t="s">
        <v>40</v>
      </c>
      <c r="G122" s="23" t="s">
        <v>8246</v>
      </c>
      <c r="H122" s="23" t="s">
        <v>8247</v>
      </c>
      <c r="I122" s="23" t="s">
        <v>8248</v>
      </c>
      <c r="J122" s="23" t="s">
        <v>14</v>
      </c>
      <c r="K122" s="26" t="s">
        <v>396</v>
      </c>
      <c r="L122" s="23" t="s">
        <v>13</v>
      </c>
      <c r="M122" s="28" t="s">
        <v>16</v>
      </c>
      <c r="N122" s="23" t="s">
        <v>8249</v>
      </c>
      <c r="O122" s="29" t="s">
        <v>87</v>
      </c>
      <c r="P122" s="23" t="s">
        <v>40</v>
      </c>
      <c r="Q122" s="23" t="s">
        <v>40</v>
      </c>
      <c r="R122" s="23" t="s">
        <v>212</v>
      </c>
      <c r="S122" s="23" t="s">
        <v>40</v>
      </c>
      <c r="T122" s="23" t="s">
        <v>40</v>
      </c>
    </row>
    <row r="123" spans="1:20" x14ac:dyDescent="0.25">
      <c r="A123" s="23" t="s">
        <v>8250</v>
      </c>
      <c r="B123" s="23" t="s">
        <v>211</v>
      </c>
      <c r="C123" s="23" t="s">
        <v>7991</v>
      </c>
      <c r="D123" s="23" t="s">
        <v>8251</v>
      </c>
      <c r="E123" s="23" t="s">
        <v>3835</v>
      </c>
      <c r="F123" s="23" t="s">
        <v>40</v>
      </c>
      <c r="G123" s="23" t="s">
        <v>8252</v>
      </c>
      <c r="H123" s="23" t="s">
        <v>8253</v>
      </c>
      <c r="I123" s="23" t="s">
        <v>8254</v>
      </c>
      <c r="J123" s="23" t="s">
        <v>14</v>
      </c>
      <c r="K123" s="24" t="s">
        <v>386</v>
      </c>
      <c r="L123" s="23" t="s">
        <v>405</v>
      </c>
      <c r="M123" s="25" t="s">
        <v>18</v>
      </c>
      <c r="N123" s="23" t="s">
        <v>40</v>
      </c>
      <c r="O123" s="23" t="s">
        <v>387</v>
      </c>
      <c r="P123" s="23" t="s">
        <v>40</v>
      </c>
      <c r="Q123" s="23" t="s">
        <v>40</v>
      </c>
      <c r="R123" s="23" t="s">
        <v>212</v>
      </c>
      <c r="S123" s="23" t="s">
        <v>40</v>
      </c>
      <c r="T123" s="23" t="s">
        <v>40</v>
      </c>
    </row>
    <row r="124" spans="1:20" x14ac:dyDescent="0.25">
      <c r="A124" s="23" t="s">
        <v>8255</v>
      </c>
      <c r="B124" s="23" t="s">
        <v>211</v>
      </c>
      <c r="C124" s="23" t="s">
        <v>7991</v>
      </c>
      <c r="D124" s="23" t="s">
        <v>8256</v>
      </c>
      <c r="E124" s="23" t="s">
        <v>3835</v>
      </c>
      <c r="F124" s="23" t="s">
        <v>40</v>
      </c>
      <c r="G124" s="23" t="s">
        <v>8257</v>
      </c>
      <c r="H124" s="23" t="s">
        <v>8258</v>
      </c>
      <c r="I124" s="23" t="s">
        <v>8259</v>
      </c>
      <c r="J124" s="23" t="s">
        <v>14</v>
      </c>
      <c r="K124" s="24" t="s">
        <v>386</v>
      </c>
      <c r="L124" s="23" t="s">
        <v>405</v>
      </c>
      <c r="M124" s="25" t="s">
        <v>18</v>
      </c>
      <c r="N124" s="23" t="s">
        <v>40</v>
      </c>
      <c r="O124" s="23" t="s">
        <v>387</v>
      </c>
      <c r="P124" s="23" t="s">
        <v>40</v>
      </c>
      <c r="Q124" s="23" t="s">
        <v>40</v>
      </c>
      <c r="R124" s="23" t="s">
        <v>212</v>
      </c>
      <c r="S124" s="23" t="s">
        <v>40</v>
      </c>
      <c r="T124" s="23" t="s">
        <v>40</v>
      </c>
    </row>
    <row r="125" spans="1:20" x14ac:dyDescent="0.25">
      <c r="A125" s="23" t="s">
        <v>8260</v>
      </c>
      <c r="B125" s="23" t="s">
        <v>211</v>
      </c>
      <c r="C125" s="23" t="s">
        <v>461</v>
      </c>
      <c r="D125" s="23" t="s">
        <v>8261</v>
      </c>
      <c r="E125" s="23" t="s">
        <v>3835</v>
      </c>
      <c r="F125" s="23" t="s">
        <v>40</v>
      </c>
      <c r="G125" s="23" t="s">
        <v>8262</v>
      </c>
      <c r="H125" s="23" t="s">
        <v>8263</v>
      </c>
      <c r="I125" s="23" t="s">
        <v>8264</v>
      </c>
      <c r="J125" s="23" t="s">
        <v>466</v>
      </c>
      <c r="K125" s="27" t="s">
        <v>404</v>
      </c>
      <c r="L125" s="23" t="s">
        <v>405</v>
      </c>
      <c r="M125" s="25" t="s">
        <v>18</v>
      </c>
      <c r="N125" s="23" t="s">
        <v>40</v>
      </c>
      <c r="O125" s="23" t="s">
        <v>387</v>
      </c>
      <c r="P125" s="23" t="s">
        <v>40</v>
      </c>
      <c r="Q125" s="23" t="s">
        <v>40</v>
      </c>
      <c r="R125" s="23" t="s">
        <v>212</v>
      </c>
      <c r="S125" s="23" t="s">
        <v>40</v>
      </c>
      <c r="T125" s="23" t="s">
        <v>40</v>
      </c>
    </row>
    <row r="126" spans="1:20" x14ac:dyDescent="0.25">
      <c r="A126" s="23" t="s">
        <v>8265</v>
      </c>
      <c r="B126" s="23" t="s">
        <v>211</v>
      </c>
      <c r="C126" s="23" t="s">
        <v>461</v>
      </c>
      <c r="D126" s="23" t="s">
        <v>8266</v>
      </c>
      <c r="E126" s="23" t="s">
        <v>3835</v>
      </c>
      <c r="F126" s="23" t="s">
        <v>40</v>
      </c>
      <c r="G126" s="23" t="s">
        <v>8267</v>
      </c>
      <c r="H126" s="23" t="s">
        <v>8268</v>
      </c>
      <c r="I126" s="23" t="s">
        <v>8269</v>
      </c>
      <c r="J126" s="23" t="s">
        <v>466</v>
      </c>
      <c r="K126" s="27" t="s">
        <v>404</v>
      </c>
      <c r="L126" s="23" t="s">
        <v>405</v>
      </c>
      <c r="M126" s="25" t="s">
        <v>18</v>
      </c>
      <c r="N126" s="23" t="s">
        <v>40</v>
      </c>
      <c r="O126" s="23" t="s">
        <v>387</v>
      </c>
      <c r="P126" s="23" t="s">
        <v>40</v>
      </c>
      <c r="Q126" s="23" t="s">
        <v>40</v>
      </c>
      <c r="R126" s="23" t="s">
        <v>212</v>
      </c>
      <c r="S126" s="23" t="s">
        <v>40</v>
      </c>
      <c r="T126" s="23" t="s">
        <v>40</v>
      </c>
    </row>
    <row r="127" spans="1:20" x14ac:dyDescent="0.25">
      <c r="A127" s="23" t="s">
        <v>8270</v>
      </c>
      <c r="B127" s="23" t="s">
        <v>211</v>
      </c>
      <c r="C127" s="23" t="s">
        <v>8271</v>
      </c>
      <c r="D127" s="23" t="s">
        <v>8272</v>
      </c>
      <c r="E127" s="23" t="s">
        <v>3835</v>
      </c>
      <c r="F127" s="23" t="s">
        <v>8273</v>
      </c>
      <c r="G127" s="23" t="s">
        <v>8274</v>
      </c>
      <c r="H127" s="23" t="s">
        <v>8275</v>
      </c>
      <c r="I127" s="23" t="s">
        <v>8276</v>
      </c>
      <c r="J127" s="23" t="s">
        <v>385</v>
      </c>
      <c r="K127" s="32" t="s">
        <v>747</v>
      </c>
      <c r="L127" s="23" t="s">
        <v>490</v>
      </c>
      <c r="M127" s="25" t="s">
        <v>18</v>
      </c>
      <c r="N127" s="23" t="s">
        <v>40</v>
      </c>
      <c r="O127" s="23" t="s">
        <v>387</v>
      </c>
      <c r="P127" s="23" t="s">
        <v>40</v>
      </c>
      <c r="Q127" s="23" t="s">
        <v>40</v>
      </c>
      <c r="R127" s="23" t="s">
        <v>212</v>
      </c>
      <c r="S127" s="23" t="s">
        <v>40</v>
      </c>
      <c r="T127" s="23" t="s">
        <v>40</v>
      </c>
    </row>
    <row r="128" spans="1:20" x14ac:dyDescent="0.25">
      <c r="A128" s="23" t="s">
        <v>8277</v>
      </c>
      <c r="B128" s="23" t="s">
        <v>211</v>
      </c>
      <c r="C128" s="23" t="s">
        <v>8271</v>
      </c>
      <c r="D128" s="23" t="s">
        <v>8278</v>
      </c>
      <c r="E128" s="23" t="s">
        <v>3835</v>
      </c>
      <c r="F128" s="23" t="s">
        <v>40</v>
      </c>
      <c r="G128" s="23" t="s">
        <v>8279</v>
      </c>
      <c r="H128" s="23" t="s">
        <v>8280</v>
      </c>
      <c r="I128" s="23" t="s">
        <v>8281</v>
      </c>
      <c r="J128" s="23" t="s">
        <v>385</v>
      </c>
      <c r="K128" s="32" t="s">
        <v>747</v>
      </c>
      <c r="L128" s="23" t="s">
        <v>490</v>
      </c>
      <c r="M128" s="25" t="s">
        <v>18</v>
      </c>
      <c r="N128" s="23" t="s">
        <v>40</v>
      </c>
      <c r="O128" s="23" t="s">
        <v>387</v>
      </c>
      <c r="P128" s="23" t="s">
        <v>40</v>
      </c>
      <c r="Q128" s="23" t="s">
        <v>40</v>
      </c>
      <c r="R128" s="23" t="s">
        <v>212</v>
      </c>
      <c r="S128" s="23" t="s">
        <v>40</v>
      </c>
      <c r="T128" s="23" t="s">
        <v>40</v>
      </c>
    </row>
    <row r="129" spans="1:20" x14ac:dyDescent="0.25">
      <c r="A129" s="23" t="s">
        <v>8282</v>
      </c>
      <c r="B129" s="23" t="s">
        <v>211</v>
      </c>
      <c r="C129" s="23" t="s">
        <v>951</v>
      </c>
      <c r="D129" s="23" t="s">
        <v>8283</v>
      </c>
      <c r="E129" s="23" t="s">
        <v>8284</v>
      </c>
      <c r="F129" s="23" t="s">
        <v>40</v>
      </c>
      <c r="G129" s="23" t="s">
        <v>8285</v>
      </c>
      <c r="H129" s="23" t="s">
        <v>8286</v>
      </c>
      <c r="I129" s="23" t="s">
        <v>8287</v>
      </c>
      <c r="J129" s="23" t="s">
        <v>385</v>
      </c>
      <c r="K129" s="32" t="s">
        <v>747</v>
      </c>
      <c r="L129" s="23" t="s">
        <v>490</v>
      </c>
      <c r="M129" s="25" t="s">
        <v>18</v>
      </c>
      <c r="N129" s="23" t="s">
        <v>40</v>
      </c>
      <c r="O129" s="23" t="s">
        <v>387</v>
      </c>
      <c r="P129" s="23" t="s">
        <v>40</v>
      </c>
      <c r="Q129" s="23" t="s">
        <v>40</v>
      </c>
      <c r="R129" s="23" t="s">
        <v>212</v>
      </c>
      <c r="S129" s="23" t="s">
        <v>40</v>
      </c>
      <c r="T129" s="23" t="s">
        <v>40</v>
      </c>
    </row>
    <row r="130" spans="1:20" x14ac:dyDescent="0.25">
      <c r="A130" s="23" t="s">
        <v>8288</v>
      </c>
      <c r="B130" s="23" t="s">
        <v>211</v>
      </c>
      <c r="C130" s="23" t="s">
        <v>2166</v>
      </c>
      <c r="D130" s="23" t="s">
        <v>8289</v>
      </c>
      <c r="E130" s="23" t="s">
        <v>8290</v>
      </c>
      <c r="F130" s="23" t="s">
        <v>40</v>
      </c>
      <c r="G130" s="23" t="s">
        <v>8291</v>
      </c>
      <c r="H130" s="23" t="s">
        <v>8292</v>
      </c>
      <c r="I130" s="23" t="s">
        <v>8293</v>
      </c>
      <c r="J130" s="23" t="s">
        <v>14</v>
      </c>
      <c r="K130" s="24" t="s">
        <v>386</v>
      </c>
      <c r="L130" s="23" t="s">
        <v>405</v>
      </c>
      <c r="M130" s="25" t="s">
        <v>18</v>
      </c>
      <c r="N130" s="23" t="s">
        <v>40</v>
      </c>
      <c r="O130" s="23" t="s">
        <v>387</v>
      </c>
      <c r="P130" s="23" t="s">
        <v>40</v>
      </c>
      <c r="Q130" s="23" t="s">
        <v>40</v>
      </c>
      <c r="R130" s="23" t="s">
        <v>212</v>
      </c>
      <c r="S130" s="23" t="s">
        <v>40</v>
      </c>
      <c r="T130" s="23" t="s">
        <v>40</v>
      </c>
    </row>
    <row r="131" spans="1:20" x14ac:dyDescent="0.25">
      <c r="A131" s="23" t="s">
        <v>8294</v>
      </c>
      <c r="B131" s="23" t="s">
        <v>211</v>
      </c>
      <c r="C131" s="23" t="s">
        <v>2166</v>
      </c>
      <c r="D131" s="23" t="s">
        <v>8295</v>
      </c>
      <c r="E131" s="23" t="s">
        <v>3835</v>
      </c>
      <c r="F131" s="23" t="s">
        <v>40</v>
      </c>
      <c r="G131" s="23" t="s">
        <v>8296</v>
      </c>
      <c r="H131" s="23" t="s">
        <v>8297</v>
      </c>
      <c r="I131" s="23" t="s">
        <v>8298</v>
      </c>
      <c r="J131" s="23" t="s">
        <v>14</v>
      </c>
      <c r="K131" s="27" t="s">
        <v>404</v>
      </c>
      <c r="L131" s="23" t="s">
        <v>490</v>
      </c>
      <c r="M131" s="25" t="s">
        <v>18</v>
      </c>
      <c r="N131" s="23" t="s">
        <v>40</v>
      </c>
      <c r="O131" s="23" t="s">
        <v>387</v>
      </c>
      <c r="P131" s="23" t="s">
        <v>40</v>
      </c>
      <c r="Q131" s="23" t="s">
        <v>40</v>
      </c>
      <c r="R131" s="23" t="s">
        <v>212</v>
      </c>
      <c r="S131" s="23" t="s">
        <v>40</v>
      </c>
      <c r="T131" s="23" t="s">
        <v>40</v>
      </c>
    </row>
    <row r="132" spans="1:20" x14ac:dyDescent="0.25">
      <c r="A132" s="23" t="s">
        <v>8299</v>
      </c>
      <c r="B132" s="23" t="s">
        <v>211</v>
      </c>
      <c r="C132" s="23" t="s">
        <v>466</v>
      </c>
      <c r="D132" s="23" t="s">
        <v>8300</v>
      </c>
      <c r="E132" s="23" t="s">
        <v>8301</v>
      </c>
      <c r="F132" s="23" t="s">
        <v>40</v>
      </c>
      <c r="G132" s="23" t="s">
        <v>8302</v>
      </c>
      <c r="H132" s="23" t="s">
        <v>8303</v>
      </c>
      <c r="I132" s="23" t="s">
        <v>8304</v>
      </c>
      <c r="J132" s="23" t="s">
        <v>15</v>
      </c>
      <c r="K132" s="27" t="s">
        <v>404</v>
      </c>
      <c r="L132" s="23" t="s">
        <v>490</v>
      </c>
      <c r="M132" s="25" t="s">
        <v>18</v>
      </c>
      <c r="N132" s="23" t="s">
        <v>40</v>
      </c>
      <c r="O132" s="23" t="s">
        <v>387</v>
      </c>
      <c r="P132" s="23" t="s">
        <v>40</v>
      </c>
      <c r="Q132" s="23" t="s">
        <v>40</v>
      </c>
      <c r="R132" s="23" t="s">
        <v>212</v>
      </c>
      <c r="S132" s="23" t="s">
        <v>40</v>
      </c>
      <c r="T132" s="23" t="s">
        <v>40</v>
      </c>
    </row>
    <row r="133" spans="1:20" x14ac:dyDescent="0.25">
      <c r="A133" s="23" t="s">
        <v>8305</v>
      </c>
      <c r="B133" s="23" t="s">
        <v>211</v>
      </c>
      <c r="C133" s="23" t="s">
        <v>801</v>
      </c>
      <c r="D133" s="23" t="s">
        <v>8306</v>
      </c>
      <c r="E133" s="23" t="s">
        <v>8307</v>
      </c>
      <c r="F133" s="23" t="s">
        <v>40</v>
      </c>
      <c r="G133" s="23" t="s">
        <v>8308</v>
      </c>
      <c r="H133" s="23" t="s">
        <v>8309</v>
      </c>
      <c r="I133" s="23" t="s">
        <v>8310</v>
      </c>
      <c r="J133" s="23" t="s">
        <v>801</v>
      </c>
      <c r="K133" s="26" t="s">
        <v>396</v>
      </c>
      <c r="L133" s="23" t="s">
        <v>13</v>
      </c>
      <c r="M133" s="25" t="s">
        <v>18</v>
      </c>
      <c r="N133" s="23" t="s">
        <v>40</v>
      </c>
      <c r="O133" s="23" t="s">
        <v>387</v>
      </c>
      <c r="P133" s="23" t="s">
        <v>40</v>
      </c>
      <c r="Q133" s="23" t="s">
        <v>40</v>
      </c>
      <c r="R133" s="23" t="s">
        <v>212</v>
      </c>
      <c r="S133" s="23" t="s">
        <v>40</v>
      </c>
      <c r="T133" s="23" t="s">
        <v>8311</v>
      </c>
    </row>
    <row r="134" spans="1:20" x14ac:dyDescent="0.25">
      <c r="A134" s="23" t="s">
        <v>8312</v>
      </c>
      <c r="B134" s="23" t="s">
        <v>211</v>
      </c>
      <c r="C134" s="23" t="s">
        <v>801</v>
      </c>
      <c r="D134" s="23" t="s">
        <v>8313</v>
      </c>
      <c r="E134" s="23" t="s">
        <v>8314</v>
      </c>
      <c r="F134" s="23" t="s">
        <v>40</v>
      </c>
      <c r="G134" s="23" t="s">
        <v>8315</v>
      </c>
      <c r="H134" s="23" t="s">
        <v>8316</v>
      </c>
      <c r="I134" s="23" t="s">
        <v>8317</v>
      </c>
      <c r="J134" s="23" t="s">
        <v>801</v>
      </c>
      <c r="K134" s="24" t="s">
        <v>386</v>
      </c>
      <c r="L134" s="23" t="s">
        <v>405</v>
      </c>
      <c r="M134" s="25" t="s">
        <v>18</v>
      </c>
      <c r="N134" s="23" t="s">
        <v>40</v>
      </c>
      <c r="O134" s="23" t="s">
        <v>387</v>
      </c>
      <c r="P134" s="23" t="s">
        <v>40</v>
      </c>
      <c r="Q134" s="23" t="s">
        <v>40</v>
      </c>
      <c r="R134" s="23" t="s">
        <v>212</v>
      </c>
      <c r="S134" s="23" t="s">
        <v>40</v>
      </c>
      <c r="T134" s="23" t="s">
        <v>1119</v>
      </c>
    </row>
    <row r="135" spans="1:20" x14ac:dyDescent="0.25">
      <c r="A135" s="23" t="s">
        <v>8318</v>
      </c>
      <c r="B135" s="23" t="s">
        <v>211</v>
      </c>
      <c r="C135" s="23" t="s">
        <v>951</v>
      </c>
      <c r="D135" s="23" t="s">
        <v>8319</v>
      </c>
      <c r="E135" s="23" t="s">
        <v>3835</v>
      </c>
      <c r="F135" s="23" t="s">
        <v>40</v>
      </c>
      <c r="G135" s="23" t="s">
        <v>8320</v>
      </c>
      <c r="H135" s="23" t="s">
        <v>8321</v>
      </c>
      <c r="I135" s="23" t="s">
        <v>8322</v>
      </c>
      <c r="J135" s="23" t="s">
        <v>385</v>
      </c>
      <c r="K135" s="32" t="s">
        <v>747</v>
      </c>
      <c r="L135" s="23" t="s">
        <v>490</v>
      </c>
      <c r="M135" s="25" t="s">
        <v>18</v>
      </c>
      <c r="N135" s="23" t="s">
        <v>40</v>
      </c>
      <c r="O135" s="23" t="s">
        <v>387</v>
      </c>
      <c r="P135" s="23" t="s">
        <v>40</v>
      </c>
      <c r="Q135" s="23" t="s">
        <v>40</v>
      </c>
      <c r="R135" s="23" t="s">
        <v>212</v>
      </c>
      <c r="S135" s="23" t="s">
        <v>40</v>
      </c>
      <c r="T135" s="23" t="s">
        <v>40</v>
      </c>
    </row>
    <row r="136" spans="1:20" x14ac:dyDescent="0.25">
      <c r="A136" s="23" t="s">
        <v>8323</v>
      </c>
      <c r="B136" s="23" t="s">
        <v>211</v>
      </c>
      <c r="C136" s="23" t="s">
        <v>6700</v>
      </c>
      <c r="D136" s="23" t="s">
        <v>8324</v>
      </c>
      <c r="E136" s="23" t="s">
        <v>5856</v>
      </c>
      <c r="F136" s="23" t="s">
        <v>40</v>
      </c>
      <c r="G136" s="23" t="s">
        <v>8325</v>
      </c>
      <c r="H136" s="23" t="s">
        <v>8326</v>
      </c>
      <c r="I136" s="23" t="s">
        <v>7013</v>
      </c>
      <c r="J136" s="23" t="s">
        <v>525</v>
      </c>
      <c r="K136" s="24" t="s">
        <v>386</v>
      </c>
      <c r="L136" s="23" t="s">
        <v>405</v>
      </c>
      <c r="M136" s="25" t="s">
        <v>18</v>
      </c>
      <c r="N136" s="23" t="s">
        <v>40</v>
      </c>
      <c r="O136" s="23" t="s">
        <v>387</v>
      </c>
      <c r="P136" s="23" t="s">
        <v>40</v>
      </c>
      <c r="Q136" s="23" t="s">
        <v>40</v>
      </c>
      <c r="R136" s="23" t="s">
        <v>212</v>
      </c>
      <c r="S136" s="23" t="s">
        <v>40</v>
      </c>
      <c r="T136" s="23" t="s">
        <v>40</v>
      </c>
    </row>
    <row r="137" spans="1:20" x14ac:dyDescent="0.25">
      <c r="A137" s="23" t="s">
        <v>8327</v>
      </c>
      <c r="B137" s="23" t="s">
        <v>214</v>
      </c>
      <c r="C137" s="23" t="s">
        <v>944</v>
      </c>
      <c r="D137" s="23" t="s">
        <v>8328</v>
      </c>
      <c r="E137" s="23" t="s">
        <v>3835</v>
      </c>
      <c r="F137" s="23" t="s">
        <v>8329</v>
      </c>
      <c r="G137" s="23" t="s">
        <v>8330</v>
      </c>
      <c r="H137" s="23" t="s">
        <v>8331</v>
      </c>
      <c r="I137" s="23" t="s">
        <v>8332</v>
      </c>
      <c r="J137" s="23" t="s">
        <v>385</v>
      </c>
      <c r="K137" s="24" t="s">
        <v>386</v>
      </c>
      <c r="L137" s="23" t="s">
        <v>13</v>
      </c>
      <c r="M137" s="31" t="s">
        <v>17</v>
      </c>
      <c r="N137" s="23" t="s">
        <v>8333</v>
      </c>
      <c r="O137" s="29" t="s">
        <v>87</v>
      </c>
      <c r="P137" s="23" t="s">
        <v>40</v>
      </c>
      <c r="Q137" s="23" t="s">
        <v>40</v>
      </c>
      <c r="R137" s="23" t="s">
        <v>215</v>
      </c>
      <c r="S137" s="23" t="s">
        <v>40</v>
      </c>
      <c r="T137" s="23" t="s">
        <v>40</v>
      </c>
    </row>
    <row r="138" spans="1:20" x14ac:dyDescent="0.25">
      <c r="A138" s="23" t="s">
        <v>8334</v>
      </c>
      <c r="B138" s="23" t="s">
        <v>214</v>
      </c>
      <c r="C138" s="23" t="s">
        <v>8335</v>
      </c>
      <c r="D138" s="23" t="s">
        <v>8336</v>
      </c>
      <c r="E138" s="23" t="s">
        <v>8337</v>
      </c>
      <c r="F138" s="23" t="s">
        <v>8338</v>
      </c>
      <c r="G138" s="23" t="s">
        <v>8339</v>
      </c>
      <c r="H138" s="23" t="s">
        <v>8340</v>
      </c>
      <c r="I138" s="23" t="s">
        <v>8341</v>
      </c>
      <c r="J138" s="23" t="s">
        <v>14</v>
      </c>
      <c r="K138" s="26" t="s">
        <v>396</v>
      </c>
      <c r="L138" s="23" t="s">
        <v>13</v>
      </c>
      <c r="M138" s="28" t="s">
        <v>16</v>
      </c>
      <c r="N138" s="23" t="s">
        <v>8342</v>
      </c>
      <c r="O138" s="29" t="s">
        <v>87</v>
      </c>
      <c r="P138" s="23" t="s">
        <v>40</v>
      </c>
      <c r="Q138" s="23" t="s">
        <v>40</v>
      </c>
      <c r="R138" s="23" t="s">
        <v>215</v>
      </c>
      <c r="S138" s="23" t="s">
        <v>40</v>
      </c>
      <c r="T138" s="23" t="s">
        <v>40</v>
      </c>
    </row>
    <row r="139" spans="1:20" x14ac:dyDescent="0.25">
      <c r="A139" s="23" t="s">
        <v>8343</v>
      </c>
      <c r="B139" s="23" t="s">
        <v>214</v>
      </c>
      <c r="C139" s="23" t="s">
        <v>8335</v>
      </c>
      <c r="D139" s="23" t="s">
        <v>8344</v>
      </c>
      <c r="E139" s="23" t="s">
        <v>8337</v>
      </c>
      <c r="F139" s="23" t="s">
        <v>40</v>
      </c>
      <c r="G139" s="23" t="s">
        <v>8345</v>
      </c>
      <c r="H139" s="23" t="s">
        <v>8346</v>
      </c>
      <c r="I139" s="23" t="s">
        <v>8347</v>
      </c>
      <c r="J139" s="23" t="s">
        <v>14</v>
      </c>
      <c r="K139" s="24" t="s">
        <v>386</v>
      </c>
      <c r="L139" s="23" t="s">
        <v>405</v>
      </c>
      <c r="M139" s="25" t="s">
        <v>18</v>
      </c>
      <c r="N139" s="23" t="s">
        <v>40</v>
      </c>
      <c r="O139" s="23" t="s">
        <v>387</v>
      </c>
      <c r="P139" s="23" t="s">
        <v>40</v>
      </c>
      <c r="Q139" s="23" t="s">
        <v>40</v>
      </c>
      <c r="R139" s="23" t="s">
        <v>215</v>
      </c>
      <c r="S139" s="23" t="s">
        <v>40</v>
      </c>
      <c r="T139" s="23" t="s">
        <v>40</v>
      </c>
    </row>
    <row r="140" spans="1:20" x14ac:dyDescent="0.25">
      <c r="A140" s="23" t="s">
        <v>8348</v>
      </c>
      <c r="B140" s="23" t="s">
        <v>214</v>
      </c>
      <c r="C140" s="23" t="s">
        <v>1741</v>
      </c>
      <c r="D140" s="23" t="s">
        <v>8349</v>
      </c>
      <c r="E140" s="23" t="s">
        <v>3835</v>
      </c>
      <c r="F140" s="23" t="s">
        <v>40</v>
      </c>
      <c r="G140" s="23" t="s">
        <v>8350</v>
      </c>
      <c r="H140" s="23" t="s">
        <v>8351</v>
      </c>
      <c r="I140" s="23" t="s">
        <v>8352</v>
      </c>
      <c r="J140" s="23" t="s">
        <v>385</v>
      </c>
      <c r="K140" s="27" t="s">
        <v>404</v>
      </c>
      <c r="L140" s="23" t="s">
        <v>405</v>
      </c>
      <c r="M140" s="25" t="s">
        <v>18</v>
      </c>
      <c r="N140" s="23" t="s">
        <v>40</v>
      </c>
      <c r="O140" s="23" t="s">
        <v>387</v>
      </c>
      <c r="P140" s="23" t="s">
        <v>40</v>
      </c>
      <c r="Q140" s="23" t="s">
        <v>40</v>
      </c>
      <c r="R140" s="23" t="s">
        <v>215</v>
      </c>
      <c r="S140" s="23" t="s">
        <v>40</v>
      </c>
      <c r="T140" s="23" t="s">
        <v>40</v>
      </c>
    </row>
    <row r="141" spans="1:20" x14ac:dyDescent="0.25">
      <c r="A141" s="23" t="s">
        <v>8353</v>
      </c>
      <c r="B141" s="23" t="s">
        <v>214</v>
      </c>
      <c r="C141" s="23" t="s">
        <v>1741</v>
      </c>
      <c r="D141" s="23" t="s">
        <v>8354</v>
      </c>
      <c r="E141" s="23" t="s">
        <v>3835</v>
      </c>
      <c r="F141" s="23" t="s">
        <v>40</v>
      </c>
      <c r="G141" s="23" t="s">
        <v>8355</v>
      </c>
      <c r="H141" s="23" t="s">
        <v>8356</v>
      </c>
      <c r="I141" s="23" t="s">
        <v>8357</v>
      </c>
      <c r="J141" s="23" t="s">
        <v>385</v>
      </c>
      <c r="K141" s="32" t="s">
        <v>747</v>
      </c>
      <c r="L141" s="23" t="s">
        <v>490</v>
      </c>
      <c r="M141" s="25" t="s">
        <v>18</v>
      </c>
      <c r="N141" s="23" t="s">
        <v>40</v>
      </c>
      <c r="O141" s="23" t="s">
        <v>387</v>
      </c>
      <c r="P141" s="23" t="s">
        <v>40</v>
      </c>
      <c r="Q141" s="23" t="s">
        <v>40</v>
      </c>
      <c r="R141" s="23" t="s">
        <v>215</v>
      </c>
      <c r="S141" s="23" t="s">
        <v>40</v>
      </c>
      <c r="T141" s="23" t="s">
        <v>40</v>
      </c>
    </row>
    <row r="142" spans="1:20" x14ac:dyDescent="0.25">
      <c r="A142" s="23" t="s">
        <v>8358</v>
      </c>
      <c r="B142" s="23" t="s">
        <v>214</v>
      </c>
      <c r="C142" s="23" t="s">
        <v>8359</v>
      </c>
      <c r="D142" s="23" t="s">
        <v>8360</v>
      </c>
      <c r="E142" s="23" t="s">
        <v>8337</v>
      </c>
      <c r="F142" s="23" t="s">
        <v>40</v>
      </c>
      <c r="G142" s="23" t="s">
        <v>8361</v>
      </c>
      <c r="H142" s="23" t="s">
        <v>8362</v>
      </c>
      <c r="I142" s="23" t="s">
        <v>8363</v>
      </c>
      <c r="J142" s="23" t="s">
        <v>385</v>
      </c>
      <c r="K142" s="27" t="s">
        <v>404</v>
      </c>
      <c r="L142" s="23" t="s">
        <v>405</v>
      </c>
      <c r="M142" s="25" t="s">
        <v>18</v>
      </c>
      <c r="N142" s="23" t="s">
        <v>40</v>
      </c>
      <c r="O142" s="23" t="s">
        <v>387</v>
      </c>
      <c r="P142" s="23" t="s">
        <v>40</v>
      </c>
      <c r="Q142" s="23" t="s">
        <v>40</v>
      </c>
      <c r="R142" s="23" t="s">
        <v>215</v>
      </c>
      <c r="S142" s="23" t="s">
        <v>40</v>
      </c>
      <c r="T142" s="23" t="s">
        <v>40</v>
      </c>
    </row>
    <row r="143" spans="1:20" x14ac:dyDescent="0.25">
      <c r="A143" s="23" t="s">
        <v>8364</v>
      </c>
      <c r="B143" s="23" t="s">
        <v>214</v>
      </c>
      <c r="C143" s="23" t="s">
        <v>8359</v>
      </c>
      <c r="D143" s="23" t="s">
        <v>8365</v>
      </c>
      <c r="E143" s="23" t="s">
        <v>8366</v>
      </c>
      <c r="F143" s="23" t="s">
        <v>40</v>
      </c>
      <c r="G143" s="23" t="s">
        <v>8367</v>
      </c>
      <c r="H143" s="23" t="s">
        <v>8368</v>
      </c>
      <c r="I143" s="23" t="s">
        <v>8369</v>
      </c>
      <c r="J143" s="23" t="s">
        <v>15</v>
      </c>
      <c r="K143" s="27" t="s">
        <v>404</v>
      </c>
      <c r="L143" s="23" t="s">
        <v>405</v>
      </c>
      <c r="M143" s="25" t="s">
        <v>18</v>
      </c>
      <c r="N143" s="23" t="s">
        <v>40</v>
      </c>
      <c r="O143" s="23" t="s">
        <v>387</v>
      </c>
      <c r="P143" s="23" t="s">
        <v>40</v>
      </c>
      <c r="Q143" s="23" t="s">
        <v>40</v>
      </c>
      <c r="R143" s="23" t="s">
        <v>215</v>
      </c>
      <c r="S143" s="23" t="s">
        <v>8370</v>
      </c>
      <c r="T143" s="23" t="s">
        <v>40</v>
      </c>
    </row>
    <row r="144" spans="1:20" x14ac:dyDescent="0.25">
      <c r="A144" s="23" t="s">
        <v>8371</v>
      </c>
      <c r="B144" s="23" t="s">
        <v>214</v>
      </c>
      <c r="C144" s="23" t="s">
        <v>461</v>
      </c>
      <c r="D144" s="23" t="s">
        <v>8372</v>
      </c>
      <c r="E144" s="23" t="s">
        <v>3835</v>
      </c>
      <c r="F144" s="23" t="s">
        <v>40</v>
      </c>
      <c r="G144" s="23" t="s">
        <v>8373</v>
      </c>
      <c r="H144" s="23" t="s">
        <v>8374</v>
      </c>
      <c r="I144" s="23" t="s">
        <v>8375</v>
      </c>
      <c r="J144" s="23" t="s">
        <v>466</v>
      </c>
      <c r="K144" s="27" t="s">
        <v>404</v>
      </c>
      <c r="L144" s="23" t="s">
        <v>405</v>
      </c>
      <c r="M144" s="25" t="s">
        <v>18</v>
      </c>
      <c r="N144" s="23" t="s">
        <v>40</v>
      </c>
      <c r="O144" s="23" t="s">
        <v>387</v>
      </c>
      <c r="P144" s="23" t="s">
        <v>40</v>
      </c>
      <c r="Q144" s="23" t="s">
        <v>40</v>
      </c>
      <c r="R144" s="23" t="s">
        <v>215</v>
      </c>
      <c r="S144" s="23" t="s">
        <v>40</v>
      </c>
      <c r="T144" s="23" t="s">
        <v>40</v>
      </c>
    </row>
    <row r="145" spans="1:20" x14ac:dyDescent="0.25">
      <c r="A145" s="23" t="s">
        <v>8376</v>
      </c>
      <c r="B145" s="23" t="s">
        <v>214</v>
      </c>
      <c r="C145" s="23" t="s">
        <v>461</v>
      </c>
      <c r="D145" s="23" t="s">
        <v>8377</v>
      </c>
      <c r="E145" s="23" t="s">
        <v>8337</v>
      </c>
      <c r="F145" s="23" t="s">
        <v>40</v>
      </c>
      <c r="G145" s="23" t="s">
        <v>8378</v>
      </c>
      <c r="H145" s="23" t="s">
        <v>8379</v>
      </c>
      <c r="I145" s="23" t="s">
        <v>8380</v>
      </c>
      <c r="J145" s="23" t="s">
        <v>466</v>
      </c>
      <c r="K145" s="27" t="s">
        <v>404</v>
      </c>
      <c r="L145" s="23" t="s">
        <v>405</v>
      </c>
      <c r="M145" s="25" t="s">
        <v>18</v>
      </c>
      <c r="N145" s="23" t="s">
        <v>40</v>
      </c>
      <c r="O145" s="23" t="s">
        <v>387</v>
      </c>
      <c r="P145" s="23" t="s">
        <v>40</v>
      </c>
      <c r="Q145" s="23" t="s">
        <v>40</v>
      </c>
      <c r="R145" s="23" t="s">
        <v>215</v>
      </c>
      <c r="S145" s="23" t="s">
        <v>40</v>
      </c>
      <c r="T145" s="23" t="s">
        <v>40</v>
      </c>
    </row>
    <row r="146" spans="1:20" x14ac:dyDescent="0.25">
      <c r="A146" s="23" t="s">
        <v>8381</v>
      </c>
      <c r="B146" s="23" t="s">
        <v>214</v>
      </c>
      <c r="C146" s="23" t="s">
        <v>466</v>
      </c>
      <c r="D146" s="23" t="s">
        <v>8382</v>
      </c>
      <c r="E146" s="23" t="s">
        <v>8337</v>
      </c>
      <c r="F146" s="23" t="s">
        <v>40</v>
      </c>
      <c r="G146" s="23" t="s">
        <v>8383</v>
      </c>
      <c r="H146" s="23" t="s">
        <v>8384</v>
      </c>
      <c r="I146" s="23" t="s">
        <v>8385</v>
      </c>
      <c r="J146" s="23" t="s">
        <v>15</v>
      </c>
      <c r="K146" s="24" t="s">
        <v>386</v>
      </c>
      <c r="L146" s="23" t="s">
        <v>13</v>
      </c>
      <c r="M146" s="25" t="s">
        <v>18</v>
      </c>
      <c r="N146" s="23" t="s">
        <v>40</v>
      </c>
      <c r="O146" s="23" t="s">
        <v>387</v>
      </c>
      <c r="P146" s="23" t="s">
        <v>40</v>
      </c>
      <c r="Q146" s="23" t="s">
        <v>40</v>
      </c>
      <c r="R146" s="23" t="s">
        <v>215</v>
      </c>
      <c r="S146" s="23" t="s">
        <v>40</v>
      </c>
      <c r="T146" s="23" t="s">
        <v>40</v>
      </c>
    </row>
    <row r="147" spans="1:20" x14ac:dyDescent="0.25">
      <c r="A147" s="23" t="s">
        <v>8386</v>
      </c>
      <c r="B147" s="23" t="s">
        <v>214</v>
      </c>
      <c r="C147" s="23" t="s">
        <v>466</v>
      </c>
      <c r="D147" s="23" t="s">
        <v>8387</v>
      </c>
      <c r="E147" s="23" t="s">
        <v>8388</v>
      </c>
      <c r="F147" s="23" t="s">
        <v>40</v>
      </c>
      <c r="G147" s="23" t="s">
        <v>8389</v>
      </c>
      <c r="H147" s="23" t="s">
        <v>8390</v>
      </c>
      <c r="I147" s="23" t="s">
        <v>8391</v>
      </c>
      <c r="J147" s="23" t="s">
        <v>15</v>
      </c>
      <c r="K147" s="24" t="s">
        <v>386</v>
      </c>
      <c r="L147" s="23" t="s">
        <v>13</v>
      </c>
      <c r="M147" s="25" t="s">
        <v>18</v>
      </c>
      <c r="N147" s="23" t="s">
        <v>40</v>
      </c>
      <c r="O147" s="23" t="s">
        <v>387</v>
      </c>
      <c r="P147" s="23" t="s">
        <v>40</v>
      </c>
      <c r="Q147" s="23" t="s">
        <v>40</v>
      </c>
      <c r="R147" s="23" t="s">
        <v>215</v>
      </c>
      <c r="S147" s="23" t="s">
        <v>40</v>
      </c>
      <c r="T147" s="23" t="s">
        <v>8392</v>
      </c>
    </row>
    <row r="148" spans="1:20" x14ac:dyDescent="0.25">
      <c r="A148" s="23" t="s">
        <v>8393</v>
      </c>
      <c r="B148" s="23" t="s">
        <v>214</v>
      </c>
      <c r="C148" s="23" t="s">
        <v>466</v>
      </c>
      <c r="D148" s="23" t="s">
        <v>8394</v>
      </c>
      <c r="E148" s="23" t="s">
        <v>8395</v>
      </c>
      <c r="F148" s="23" t="s">
        <v>40</v>
      </c>
      <c r="G148" s="23" t="s">
        <v>8396</v>
      </c>
      <c r="H148" s="23" t="s">
        <v>8397</v>
      </c>
      <c r="I148" s="23" t="s">
        <v>8398</v>
      </c>
      <c r="J148" s="23" t="s">
        <v>15</v>
      </c>
      <c r="K148" s="24" t="s">
        <v>386</v>
      </c>
      <c r="L148" s="23" t="s">
        <v>13</v>
      </c>
      <c r="M148" s="25" t="s">
        <v>18</v>
      </c>
      <c r="N148" s="23" t="s">
        <v>40</v>
      </c>
      <c r="O148" s="23" t="s">
        <v>387</v>
      </c>
      <c r="P148" s="23" t="s">
        <v>40</v>
      </c>
      <c r="Q148" s="23" t="s">
        <v>40</v>
      </c>
      <c r="R148" s="23" t="s">
        <v>215</v>
      </c>
      <c r="S148" s="23" t="s">
        <v>40</v>
      </c>
      <c r="T148" s="23" t="s">
        <v>2114</v>
      </c>
    </row>
    <row r="149" spans="1:20" x14ac:dyDescent="0.25">
      <c r="A149" s="23" t="s">
        <v>8399</v>
      </c>
      <c r="B149" s="23" t="s">
        <v>214</v>
      </c>
      <c r="C149" s="23" t="s">
        <v>466</v>
      </c>
      <c r="D149" s="23" t="s">
        <v>8400</v>
      </c>
      <c r="E149" s="23" t="s">
        <v>8337</v>
      </c>
      <c r="F149" s="23" t="s">
        <v>40</v>
      </c>
      <c r="G149" s="23" t="s">
        <v>8401</v>
      </c>
      <c r="H149" s="23" t="s">
        <v>8402</v>
      </c>
      <c r="I149" s="23" t="s">
        <v>8403</v>
      </c>
      <c r="J149" s="23" t="s">
        <v>15</v>
      </c>
      <c r="K149" s="27" t="s">
        <v>404</v>
      </c>
      <c r="L149" s="23" t="s">
        <v>405</v>
      </c>
      <c r="M149" s="25" t="s">
        <v>18</v>
      </c>
      <c r="N149" s="23" t="s">
        <v>40</v>
      </c>
      <c r="O149" s="23" t="s">
        <v>387</v>
      </c>
      <c r="P149" s="23" t="s">
        <v>40</v>
      </c>
      <c r="Q149" s="23" t="s">
        <v>40</v>
      </c>
      <c r="R149" s="23" t="s">
        <v>215</v>
      </c>
      <c r="S149" s="23" t="s">
        <v>40</v>
      </c>
      <c r="T149" s="23" t="s">
        <v>8404</v>
      </c>
    </row>
    <row r="150" spans="1:20" x14ac:dyDescent="0.25">
      <c r="A150" s="23" t="s">
        <v>8405</v>
      </c>
      <c r="B150" s="23" t="s">
        <v>214</v>
      </c>
      <c r="C150" s="23" t="s">
        <v>466</v>
      </c>
      <c r="D150" s="23" t="s">
        <v>8406</v>
      </c>
      <c r="E150" s="23" t="s">
        <v>8407</v>
      </c>
      <c r="F150" s="23" t="s">
        <v>40</v>
      </c>
      <c r="G150" s="23" t="s">
        <v>8408</v>
      </c>
      <c r="H150" s="23" t="s">
        <v>8409</v>
      </c>
      <c r="I150" s="23" t="s">
        <v>8410</v>
      </c>
      <c r="J150" s="23" t="s">
        <v>489</v>
      </c>
      <c r="K150" s="27" t="s">
        <v>404</v>
      </c>
      <c r="L150" s="23" t="s">
        <v>405</v>
      </c>
      <c r="M150" s="25" t="s">
        <v>18</v>
      </c>
      <c r="N150" s="23" t="s">
        <v>40</v>
      </c>
      <c r="O150" s="23" t="s">
        <v>387</v>
      </c>
      <c r="P150" s="23" t="s">
        <v>40</v>
      </c>
      <c r="Q150" s="23" t="s">
        <v>40</v>
      </c>
      <c r="R150" s="23" t="s">
        <v>215</v>
      </c>
      <c r="S150" s="23" t="s">
        <v>40</v>
      </c>
      <c r="T150" s="23" t="s">
        <v>40</v>
      </c>
    </row>
    <row r="151" spans="1:20" x14ac:dyDescent="0.25">
      <c r="A151" s="23" t="s">
        <v>8411</v>
      </c>
      <c r="B151" s="23" t="s">
        <v>214</v>
      </c>
      <c r="C151" s="23" t="s">
        <v>8412</v>
      </c>
      <c r="D151" s="23" t="s">
        <v>8413</v>
      </c>
      <c r="E151" s="23" t="s">
        <v>8414</v>
      </c>
      <c r="F151" s="23" t="s">
        <v>40</v>
      </c>
      <c r="G151" s="23" t="s">
        <v>8415</v>
      </c>
      <c r="H151" s="23" t="s">
        <v>8416</v>
      </c>
      <c r="I151" s="23" t="s">
        <v>8417</v>
      </c>
      <c r="J151" s="23" t="s">
        <v>14</v>
      </c>
      <c r="K151" s="24" t="s">
        <v>386</v>
      </c>
      <c r="L151" s="23" t="s">
        <v>405</v>
      </c>
      <c r="M151" s="25" t="s">
        <v>18</v>
      </c>
      <c r="N151" s="23" t="s">
        <v>40</v>
      </c>
      <c r="O151" s="23" t="s">
        <v>387</v>
      </c>
      <c r="P151" s="23" t="s">
        <v>40</v>
      </c>
      <c r="Q151" s="23" t="s">
        <v>40</v>
      </c>
      <c r="R151" s="23" t="s">
        <v>215</v>
      </c>
      <c r="S151" s="23" t="s">
        <v>40</v>
      </c>
      <c r="T151" s="23" t="s">
        <v>40</v>
      </c>
    </row>
    <row r="152" spans="1:20" x14ac:dyDescent="0.25">
      <c r="A152" s="23" t="s">
        <v>8418</v>
      </c>
      <c r="B152" s="23" t="s">
        <v>214</v>
      </c>
      <c r="C152" s="23" t="s">
        <v>8419</v>
      </c>
      <c r="D152" s="23" t="s">
        <v>8420</v>
      </c>
      <c r="E152" s="23" t="s">
        <v>8421</v>
      </c>
      <c r="F152" s="23" t="s">
        <v>8422</v>
      </c>
      <c r="G152" s="23" t="s">
        <v>8423</v>
      </c>
      <c r="H152" s="23" t="s">
        <v>8424</v>
      </c>
      <c r="I152" s="23" t="s">
        <v>8425</v>
      </c>
      <c r="J152" s="23" t="s">
        <v>14</v>
      </c>
      <c r="K152" s="27" t="s">
        <v>404</v>
      </c>
      <c r="L152" s="23" t="s">
        <v>490</v>
      </c>
      <c r="M152" s="25" t="s">
        <v>18</v>
      </c>
      <c r="N152" s="23" t="s">
        <v>40</v>
      </c>
      <c r="O152" s="23" t="s">
        <v>387</v>
      </c>
      <c r="P152" s="23" t="s">
        <v>40</v>
      </c>
      <c r="Q152" s="23" t="s">
        <v>40</v>
      </c>
      <c r="R152" s="23" t="s">
        <v>215</v>
      </c>
      <c r="S152" s="23" t="s">
        <v>40</v>
      </c>
      <c r="T152" s="23" t="s">
        <v>40</v>
      </c>
    </row>
    <row r="153" spans="1:20" x14ac:dyDescent="0.25">
      <c r="A153" s="23" t="s">
        <v>8426</v>
      </c>
      <c r="B153" s="23" t="s">
        <v>214</v>
      </c>
      <c r="C153" s="23" t="s">
        <v>801</v>
      </c>
      <c r="D153" s="23" t="s">
        <v>8427</v>
      </c>
      <c r="E153" s="23" t="s">
        <v>8428</v>
      </c>
      <c r="F153" s="23" t="s">
        <v>40</v>
      </c>
      <c r="G153" s="23" t="s">
        <v>8429</v>
      </c>
      <c r="H153" s="23" t="s">
        <v>8430</v>
      </c>
      <c r="I153" s="23" t="s">
        <v>8431</v>
      </c>
      <c r="J153" s="23" t="s">
        <v>801</v>
      </c>
      <c r="K153" s="24" t="s">
        <v>386</v>
      </c>
      <c r="L153" s="23" t="s">
        <v>405</v>
      </c>
      <c r="M153" s="25" t="s">
        <v>18</v>
      </c>
      <c r="N153" s="23" t="s">
        <v>40</v>
      </c>
      <c r="O153" s="23" t="s">
        <v>387</v>
      </c>
      <c r="P153" s="23" t="s">
        <v>40</v>
      </c>
      <c r="Q153" s="23" t="s">
        <v>40</v>
      </c>
      <c r="R153" s="23" t="s">
        <v>215</v>
      </c>
      <c r="S153" s="23" t="s">
        <v>40</v>
      </c>
      <c r="T153" s="23" t="s">
        <v>40</v>
      </c>
    </row>
    <row r="154" spans="1:20" x14ac:dyDescent="0.25">
      <c r="A154" s="23" t="s">
        <v>8432</v>
      </c>
      <c r="B154" s="23" t="s">
        <v>214</v>
      </c>
      <c r="C154" s="23" t="s">
        <v>801</v>
      </c>
      <c r="D154" s="23" t="s">
        <v>8433</v>
      </c>
      <c r="E154" s="23" t="s">
        <v>8428</v>
      </c>
      <c r="F154" s="23" t="s">
        <v>40</v>
      </c>
      <c r="G154" s="23" t="s">
        <v>8434</v>
      </c>
      <c r="H154" s="23" t="s">
        <v>8435</v>
      </c>
      <c r="I154" s="23" t="s">
        <v>8436</v>
      </c>
      <c r="J154" s="23" t="s">
        <v>801</v>
      </c>
      <c r="K154" s="24" t="s">
        <v>386</v>
      </c>
      <c r="L154" s="23" t="s">
        <v>405</v>
      </c>
      <c r="M154" s="25" t="s">
        <v>18</v>
      </c>
      <c r="N154" s="23" t="s">
        <v>40</v>
      </c>
      <c r="O154" s="23" t="s">
        <v>387</v>
      </c>
      <c r="P154" s="23" t="s">
        <v>40</v>
      </c>
      <c r="Q154" s="23" t="s">
        <v>40</v>
      </c>
      <c r="R154" s="23" t="s">
        <v>215</v>
      </c>
      <c r="S154" s="23" t="s">
        <v>40</v>
      </c>
      <c r="T154" s="23" t="s">
        <v>40</v>
      </c>
    </row>
    <row r="155" spans="1:20" x14ac:dyDescent="0.25">
      <c r="A155" s="23" t="s">
        <v>8437</v>
      </c>
      <c r="B155" s="23" t="s">
        <v>214</v>
      </c>
      <c r="C155" s="23" t="s">
        <v>6700</v>
      </c>
      <c r="D155" s="23" t="s">
        <v>8438</v>
      </c>
      <c r="E155" s="23" t="s">
        <v>8439</v>
      </c>
      <c r="F155" s="23" t="s">
        <v>40</v>
      </c>
      <c r="G155" s="23" t="s">
        <v>8440</v>
      </c>
      <c r="H155" s="23" t="s">
        <v>8441</v>
      </c>
      <c r="I155" s="23" t="s">
        <v>8442</v>
      </c>
      <c r="J155" s="23" t="s">
        <v>525</v>
      </c>
      <c r="K155" s="24" t="s">
        <v>386</v>
      </c>
      <c r="L155" s="23" t="s">
        <v>405</v>
      </c>
      <c r="M155" s="25" t="s">
        <v>18</v>
      </c>
      <c r="N155" s="23" t="s">
        <v>40</v>
      </c>
      <c r="O155" s="23" t="s">
        <v>387</v>
      </c>
      <c r="P155" s="23" t="s">
        <v>40</v>
      </c>
      <c r="Q155" s="23" t="s">
        <v>40</v>
      </c>
      <c r="R155" s="23" t="s">
        <v>215</v>
      </c>
      <c r="S155" s="23" t="s">
        <v>40</v>
      </c>
      <c r="T155" s="23" t="s">
        <v>8443</v>
      </c>
    </row>
    <row r="156" spans="1:20" x14ac:dyDescent="0.25">
      <c r="A156" s="23" t="s">
        <v>8444</v>
      </c>
      <c r="B156" s="23" t="s">
        <v>214</v>
      </c>
      <c r="C156" s="23" t="s">
        <v>6700</v>
      </c>
      <c r="D156" s="23" t="s">
        <v>8445</v>
      </c>
      <c r="E156" s="23" t="s">
        <v>5856</v>
      </c>
      <c r="F156" s="23" t="s">
        <v>40</v>
      </c>
      <c r="G156" s="23" t="s">
        <v>8446</v>
      </c>
      <c r="H156" s="23" t="s">
        <v>8447</v>
      </c>
      <c r="I156" s="23" t="s">
        <v>7013</v>
      </c>
      <c r="J156" s="23" t="s">
        <v>525</v>
      </c>
      <c r="K156" s="24" t="s">
        <v>386</v>
      </c>
      <c r="L156" s="23" t="s">
        <v>13</v>
      </c>
      <c r="M156" s="25" t="s">
        <v>18</v>
      </c>
      <c r="N156" s="23" t="s">
        <v>40</v>
      </c>
      <c r="O156" s="23" t="s">
        <v>387</v>
      </c>
      <c r="P156" s="23" t="s">
        <v>40</v>
      </c>
      <c r="Q156" s="23" t="s">
        <v>40</v>
      </c>
      <c r="R156" s="23" t="s">
        <v>215</v>
      </c>
      <c r="S156" s="23" t="s">
        <v>40</v>
      </c>
      <c r="T156" s="23" t="s">
        <v>40</v>
      </c>
    </row>
    <row r="157" spans="1:20" x14ac:dyDescent="0.25">
      <c r="A157" s="23" t="s">
        <v>8448</v>
      </c>
      <c r="B157" s="23" t="s">
        <v>217</v>
      </c>
      <c r="C157" s="23" t="s">
        <v>944</v>
      </c>
      <c r="D157" s="23" t="s">
        <v>8449</v>
      </c>
      <c r="E157" s="23" t="s">
        <v>3835</v>
      </c>
      <c r="F157" s="23" t="s">
        <v>8450</v>
      </c>
      <c r="G157" s="23" t="s">
        <v>8451</v>
      </c>
      <c r="H157" s="23" t="s">
        <v>8452</v>
      </c>
      <c r="I157" s="23" t="s">
        <v>8453</v>
      </c>
      <c r="J157" s="23" t="s">
        <v>385</v>
      </c>
      <c r="K157" s="24" t="s">
        <v>386</v>
      </c>
      <c r="L157" s="23" t="s">
        <v>13</v>
      </c>
      <c r="M157" s="31" t="s">
        <v>17</v>
      </c>
      <c r="N157" s="23" t="s">
        <v>8454</v>
      </c>
      <c r="O157" s="29" t="s">
        <v>87</v>
      </c>
      <c r="P157" s="23" t="s">
        <v>40</v>
      </c>
      <c r="Q157" s="23" t="s">
        <v>40</v>
      </c>
      <c r="R157" s="23" t="s">
        <v>218</v>
      </c>
      <c r="S157" s="23" t="s">
        <v>40</v>
      </c>
      <c r="T157" s="23" t="s">
        <v>40</v>
      </c>
    </row>
    <row r="158" spans="1:20" x14ac:dyDescent="0.25">
      <c r="A158" s="23" t="s">
        <v>8455</v>
      </c>
      <c r="B158" s="23" t="s">
        <v>217</v>
      </c>
      <c r="C158" s="23" t="s">
        <v>6848</v>
      </c>
      <c r="D158" s="23" t="s">
        <v>8456</v>
      </c>
      <c r="E158" s="23" t="s">
        <v>8457</v>
      </c>
      <c r="F158" s="23" t="s">
        <v>8458</v>
      </c>
      <c r="G158" s="23" t="s">
        <v>8459</v>
      </c>
      <c r="H158" s="23" t="s">
        <v>8460</v>
      </c>
      <c r="I158" s="23" t="s">
        <v>8461</v>
      </c>
      <c r="J158" s="23" t="s">
        <v>563</v>
      </c>
      <c r="K158" s="26" t="s">
        <v>396</v>
      </c>
      <c r="L158" s="23" t="s">
        <v>13</v>
      </c>
      <c r="M158" s="28" t="s">
        <v>16</v>
      </c>
      <c r="N158" s="23" t="s">
        <v>1457</v>
      </c>
      <c r="O158" s="29" t="s">
        <v>87</v>
      </c>
      <c r="P158" s="23" t="s">
        <v>40</v>
      </c>
      <c r="Q158" s="23" t="s">
        <v>40</v>
      </c>
      <c r="R158" s="23" t="s">
        <v>218</v>
      </c>
      <c r="S158" s="23" t="s">
        <v>40</v>
      </c>
      <c r="T158" s="23" t="s">
        <v>40</v>
      </c>
    </row>
    <row r="159" spans="1:20" x14ac:dyDescent="0.25">
      <c r="A159" s="23" t="s">
        <v>8462</v>
      </c>
      <c r="B159" s="23" t="s">
        <v>217</v>
      </c>
      <c r="C159" s="23" t="s">
        <v>6848</v>
      </c>
      <c r="D159" s="23" t="s">
        <v>8463</v>
      </c>
      <c r="E159" s="23" t="s">
        <v>8464</v>
      </c>
      <c r="F159" s="23" t="s">
        <v>40</v>
      </c>
      <c r="G159" s="23" t="s">
        <v>8465</v>
      </c>
      <c r="H159" s="23" t="s">
        <v>8466</v>
      </c>
      <c r="I159" s="23" t="s">
        <v>8467</v>
      </c>
      <c r="J159" s="23" t="s">
        <v>385</v>
      </c>
      <c r="K159" s="27" t="s">
        <v>404</v>
      </c>
      <c r="L159" s="23" t="s">
        <v>405</v>
      </c>
      <c r="M159" s="25" t="s">
        <v>18</v>
      </c>
      <c r="N159" s="23" t="s">
        <v>40</v>
      </c>
      <c r="O159" s="23" t="s">
        <v>387</v>
      </c>
      <c r="P159" s="23" t="s">
        <v>40</v>
      </c>
      <c r="Q159" s="23" t="s">
        <v>40</v>
      </c>
      <c r="R159" s="23" t="s">
        <v>218</v>
      </c>
      <c r="S159" s="23" t="s">
        <v>40</v>
      </c>
      <c r="T159" s="23" t="s">
        <v>40</v>
      </c>
    </row>
    <row r="160" spans="1:20" x14ac:dyDescent="0.25">
      <c r="A160" s="23" t="s">
        <v>8468</v>
      </c>
      <c r="B160" s="23" t="s">
        <v>217</v>
      </c>
      <c r="C160" s="23" t="s">
        <v>6856</v>
      </c>
      <c r="D160" s="23" t="s">
        <v>8469</v>
      </c>
      <c r="E160" s="23" t="s">
        <v>8470</v>
      </c>
      <c r="F160" s="23" t="s">
        <v>8471</v>
      </c>
      <c r="G160" s="23" t="s">
        <v>8472</v>
      </c>
      <c r="H160" s="23" t="s">
        <v>8473</v>
      </c>
      <c r="I160" s="23" t="s">
        <v>8474</v>
      </c>
      <c r="J160" s="23" t="s">
        <v>14</v>
      </c>
      <c r="K160" s="26" t="s">
        <v>396</v>
      </c>
      <c r="L160" s="23" t="s">
        <v>13</v>
      </c>
      <c r="M160" s="25" t="s">
        <v>18</v>
      </c>
      <c r="N160" s="23" t="s">
        <v>40</v>
      </c>
      <c r="O160" s="23" t="s">
        <v>387</v>
      </c>
      <c r="P160" s="23" t="s">
        <v>40</v>
      </c>
      <c r="Q160" s="23" t="s">
        <v>40</v>
      </c>
      <c r="R160" s="23" t="s">
        <v>218</v>
      </c>
      <c r="S160" s="23" t="s">
        <v>40</v>
      </c>
      <c r="T160" s="23" t="s">
        <v>40</v>
      </c>
    </row>
    <row r="161" spans="1:20" x14ac:dyDescent="0.25">
      <c r="A161" s="23" t="s">
        <v>8475</v>
      </c>
      <c r="B161" s="23" t="s">
        <v>217</v>
      </c>
      <c r="C161" s="23" t="s">
        <v>6856</v>
      </c>
      <c r="D161" s="23" t="s">
        <v>8476</v>
      </c>
      <c r="E161" s="23" t="s">
        <v>6918</v>
      </c>
      <c r="F161" s="23" t="s">
        <v>40</v>
      </c>
      <c r="G161" s="23" t="s">
        <v>8477</v>
      </c>
      <c r="H161" s="23" t="s">
        <v>8478</v>
      </c>
      <c r="I161" s="23" t="s">
        <v>8479</v>
      </c>
      <c r="J161" s="23" t="s">
        <v>466</v>
      </c>
      <c r="K161" s="27" t="s">
        <v>404</v>
      </c>
      <c r="L161" s="23" t="s">
        <v>405</v>
      </c>
      <c r="M161" s="25" t="s">
        <v>18</v>
      </c>
      <c r="N161" s="23" t="s">
        <v>40</v>
      </c>
      <c r="O161" s="23" t="s">
        <v>387</v>
      </c>
      <c r="P161" s="23" t="s">
        <v>40</v>
      </c>
      <c r="Q161" s="23" t="s">
        <v>40</v>
      </c>
      <c r="R161" s="23" t="s">
        <v>218</v>
      </c>
      <c r="S161" s="23" t="s">
        <v>40</v>
      </c>
      <c r="T161" s="23" t="s">
        <v>40</v>
      </c>
    </row>
    <row r="162" spans="1:20" x14ac:dyDescent="0.25">
      <c r="A162" s="23" t="s">
        <v>8480</v>
      </c>
      <c r="B162" s="23" t="s">
        <v>217</v>
      </c>
      <c r="C162" s="23" t="s">
        <v>7505</v>
      </c>
      <c r="D162" s="23" t="s">
        <v>8481</v>
      </c>
      <c r="E162" s="23" t="s">
        <v>8482</v>
      </c>
      <c r="F162" s="23" t="s">
        <v>40</v>
      </c>
      <c r="G162" s="23" t="s">
        <v>8483</v>
      </c>
      <c r="H162" s="23" t="s">
        <v>8484</v>
      </c>
      <c r="I162" s="23" t="s">
        <v>8485</v>
      </c>
      <c r="J162" s="23" t="s">
        <v>14</v>
      </c>
      <c r="K162" s="24" t="s">
        <v>386</v>
      </c>
      <c r="L162" s="23" t="s">
        <v>405</v>
      </c>
      <c r="M162" s="25" t="s">
        <v>18</v>
      </c>
      <c r="N162" s="23" t="s">
        <v>40</v>
      </c>
      <c r="O162" s="23" t="s">
        <v>387</v>
      </c>
      <c r="P162" s="23" t="s">
        <v>40</v>
      </c>
      <c r="Q162" s="23" t="s">
        <v>40</v>
      </c>
      <c r="R162" s="23" t="s">
        <v>218</v>
      </c>
      <c r="S162" s="23" t="s">
        <v>40</v>
      </c>
      <c r="T162" s="23" t="s">
        <v>40</v>
      </c>
    </row>
    <row r="163" spans="1:20" x14ac:dyDescent="0.25">
      <c r="A163" s="23" t="s">
        <v>8486</v>
      </c>
      <c r="B163" s="23" t="s">
        <v>217</v>
      </c>
      <c r="C163" s="23" t="s">
        <v>7505</v>
      </c>
      <c r="D163" s="23" t="s">
        <v>8487</v>
      </c>
      <c r="E163" s="23" t="s">
        <v>8488</v>
      </c>
      <c r="F163" s="23" t="s">
        <v>40</v>
      </c>
      <c r="G163" s="23" t="s">
        <v>8489</v>
      </c>
      <c r="H163" s="23" t="s">
        <v>8490</v>
      </c>
      <c r="I163" s="23" t="s">
        <v>8491</v>
      </c>
      <c r="J163" s="23" t="s">
        <v>14</v>
      </c>
      <c r="K163" s="24" t="s">
        <v>386</v>
      </c>
      <c r="L163" s="23" t="s">
        <v>405</v>
      </c>
      <c r="M163" s="25" t="s">
        <v>18</v>
      </c>
      <c r="N163" s="23" t="s">
        <v>40</v>
      </c>
      <c r="O163" s="23" t="s">
        <v>387</v>
      </c>
      <c r="P163" s="23" t="s">
        <v>40</v>
      </c>
      <c r="Q163" s="23" t="s">
        <v>40</v>
      </c>
      <c r="R163" s="23" t="s">
        <v>218</v>
      </c>
      <c r="S163" s="23" t="s">
        <v>40</v>
      </c>
      <c r="T163" s="23" t="s">
        <v>40</v>
      </c>
    </row>
    <row r="164" spans="1:20" x14ac:dyDescent="0.25">
      <c r="A164" s="23" t="s">
        <v>8492</v>
      </c>
      <c r="B164" s="23" t="s">
        <v>217</v>
      </c>
      <c r="C164" s="23" t="s">
        <v>7505</v>
      </c>
      <c r="D164" s="23" t="s">
        <v>8493</v>
      </c>
      <c r="E164" s="23" t="s">
        <v>8494</v>
      </c>
      <c r="F164" s="23" t="s">
        <v>40</v>
      </c>
      <c r="G164" s="23" t="s">
        <v>8495</v>
      </c>
      <c r="H164" s="23" t="s">
        <v>8496</v>
      </c>
      <c r="I164" s="23" t="s">
        <v>8497</v>
      </c>
      <c r="J164" s="23" t="s">
        <v>385</v>
      </c>
      <c r="K164" s="32" t="s">
        <v>747</v>
      </c>
      <c r="L164" s="23" t="s">
        <v>490</v>
      </c>
      <c r="M164" s="25" t="s">
        <v>18</v>
      </c>
      <c r="N164" s="23" t="s">
        <v>40</v>
      </c>
      <c r="O164" s="23" t="s">
        <v>387</v>
      </c>
      <c r="P164" s="23" t="s">
        <v>40</v>
      </c>
      <c r="Q164" s="23" t="s">
        <v>40</v>
      </c>
      <c r="R164" s="23" t="s">
        <v>218</v>
      </c>
      <c r="S164" s="23" t="s">
        <v>40</v>
      </c>
      <c r="T164" s="23" t="s">
        <v>40</v>
      </c>
    </row>
    <row r="165" spans="1:20" x14ac:dyDescent="0.25">
      <c r="A165" s="23" t="s">
        <v>8498</v>
      </c>
      <c r="B165" s="23" t="s">
        <v>217</v>
      </c>
      <c r="C165" s="23" t="s">
        <v>8499</v>
      </c>
      <c r="D165" s="23" t="s">
        <v>8500</v>
      </c>
      <c r="E165" s="23" t="s">
        <v>8501</v>
      </c>
      <c r="F165" s="23" t="s">
        <v>40</v>
      </c>
      <c r="G165" s="23" t="s">
        <v>8502</v>
      </c>
      <c r="H165" s="23" t="s">
        <v>8503</v>
      </c>
      <c r="I165" s="23" t="s">
        <v>8504</v>
      </c>
      <c r="J165" s="23" t="s">
        <v>14</v>
      </c>
      <c r="K165" s="26" t="s">
        <v>396</v>
      </c>
      <c r="L165" s="23" t="s">
        <v>13</v>
      </c>
      <c r="M165" s="25" t="s">
        <v>18</v>
      </c>
      <c r="N165" s="23" t="s">
        <v>40</v>
      </c>
      <c r="O165" s="23" t="s">
        <v>387</v>
      </c>
      <c r="P165" s="23" t="s">
        <v>40</v>
      </c>
      <c r="Q165" s="23" t="s">
        <v>40</v>
      </c>
      <c r="R165" s="23" t="s">
        <v>218</v>
      </c>
      <c r="S165" s="23" t="s">
        <v>40</v>
      </c>
      <c r="T165" s="23" t="s">
        <v>5513</v>
      </c>
    </row>
    <row r="166" spans="1:20" x14ac:dyDescent="0.25">
      <c r="A166" s="23" t="s">
        <v>8505</v>
      </c>
      <c r="B166" s="23" t="s">
        <v>217</v>
      </c>
      <c r="C166" s="23" t="s">
        <v>8499</v>
      </c>
      <c r="D166" s="23" t="s">
        <v>8506</v>
      </c>
      <c r="E166" s="23" t="s">
        <v>8507</v>
      </c>
      <c r="F166" s="23" t="s">
        <v>40</v>
      </c>
      <c r="G166" s="23" t="s">
        <v>8508</v>
      </c>
      <c r="H166" s="23" t="s">
        <v>8509</v>
      </c>
      <c r="I166" s="23" t="s">
        <v>8510</v>
      </c>
      <c r="J166" s="23" t="s">
        <v>15</v>
      </c>
      <c r="K166" s="24" t="s">
        <v>386</v>
      </c>
      <c r="L166" s="23" t="s">
        <v>13</v>
      </c>
      <c r="M166" s="25" t="s">
        <v>18</v>
      </c>
      <c r="N166" s="23" t="s">
        <v>40</v>
      </c>
      <c r="O166" s="23" t="s">
        <v>387</v>
      </c>
      <c r="P166" s="23" t="s">
        <v>40</v>
      </c>
      <c r="Q166" s="23" t="s">
        <v>40</v>
      </c>
      <c r="R166" s="23" t="s">
        <v>218</v>
      </c>
      <c r="S166" s="23" t="s">
        <v>40</v>
      </c>
      <c r="T166" s="23" t="s">
        <v>8511</v>
      </c>
    </row>
    <row r="167" spans="1:20" x14ac:dyDescent="0.25">
      <c r="A167" s="23" t="s">
        <v>8512</v>
      </c>
      <c r="B167" s="23" t="s">
        <v>217</v>
      </c>
      <c r="C167" s="23" t="s">
        <v>8513</v>
      </c>
      <c r="D167" s="23" t="s">
        <v>8514</v>
      </c>
      <c r="E167" s="23" t="s">
        <v>8464</v>
      </c>
      <c r="F167" s="23" t="s">
        <v>40</v>
      </c>
      <c r="G167" s="23" t="s">
        <v>8515</v>
      </c>
      <c r="H167" s="23" t="s">
        <v>8516</v>
      </c>
      <c r="I167" s="23" t="s">
        <v>8517</v>
      </c>
      <c r="J167" s="23" t="s">
        <v>385</v>
      </c>
      <c r="K167" s="27" t="s">
        <v>404</v>
      </c>
      <c r="L167" s="23" t="s">
        <v>405</v>
      </c>
      <c r="M167" s="25" t="s">
        <v>18</v>
      </c>
      <c r="N167" s="23" t="s">
        <v>40</v>
      </c>
      <c r="O167" s="23" t="s">
        <v>387</v>
      </c>
      <c r="P167" s="23" t="s">
        <v>40</v>
      </c>
      <c r="Q167" s="23" t="s">
        <v>40</v>
      </c>
      <c r="R167" s="23" t="s">
        <v>218</v>
      </c>
      <c r="S167" s="23" t="s">
        <v>40</v>
      </c>
      <c r="T167" s="23" t="s">
        <v>40</v>
      </c>
    </row>
    <row r="168" spans="1:20" x14ac:dyDescent="0.25">
      <c r="A168" s="23" t="s">
        <v>8518</v>
      </c>
      <c r="B168" s="23" t="s">
        <v>217</v>
      </c>
      <c r="C168" s="23" t="s">
        <v>8513</v>
      </c>
      <c r="D168" s="23" t="s">
        <v>8519</v>
      </c>
      <c r="E168" s="23" t="s">
        <v>8520</v>
      </c>
      <c r="F168" s="23" t="s">
        <v>40</v>
      </c>
      <c r="G168" s="23" t="s">
        <v>8521</v>
      </c>
      <c r="H168" s="23" t="s">
        <v>8522</v>
      </c>
      <c r="I168" s="23" t="s">
        <v>8523</v>
      </c>
      <c r="J168" s="23" t="s">
        <v>403</v>
      </c>
      <c r="K168" s="32" t="s">
        <v>747</v>
      </c>
      <c r="L168" s="23" t="s">
        <v>490</v>
      </c>
      <c r="M168" s="25" t="s">
        <v>18</v>
      </c>
      <c r="N168" s="23" t="s">
        <v>40</v>
      </c>
      <c r="O168" s="23" t="s">
        <v>387</v>
      </c>
      <c r="P168" s="23" t="s">
        <v>40</v>
      </c>
      <c r="Q168" s="23" t="s">
        <v>40</v>
      </c>
      <c r="R168" s="23" t="s">
        <v>218</v>
      </c>
      <c r="S168" s="23" t="s">
        <v>8524</v>
      </c>
      <c r="T168" s="23" t="s">
        <v>40</v>
      </c>
    </row>
    <row r="169" spans="1:20" x14ac:dyDescent="0.25">
      <c r="A169" s="23" t="s">
        <v>8525</v>
      </c>
      <c r="B169" s="23" t="s">
        <v>217</v>
      </c>
      <c r="C169" s="23" t="s">
        <v>8526</v>
      </c>
      <c r="D169" s="23" t="s">
        <v>8527</v>
      </c>
      <c r="E169" s="23" t="s">
        <v>8528</v>
      </c>
      <c r="F169" s="23" t="s">
        <v>40</v>
      </c>
      <c r="G169" s="23" t="s">
        <v>8529</v>
      </c>
      <c r="H169" s="23" t="s">
        <v>8530</v>
      </c>
      <c r="I169" s="23" t="s">
        <v>8531</v>
      </c>
      <c r="J169" s="23" t="s">
        <v>525</v>
      </c>
      <c r="K169" s="24" t="s">
        <v>386</v>
      </c>
      <c r="L169" s="23" t="s">
        <v>13</v>
      </c>
      <c r="M169" s="25" t="s">
        <v>18</v>
      </c>
      <c r="N169" s="23" t="s">
        <v>40</v>
      </c>
      <c r="O169" s="23" t="s">
        <v>387</v>
      </c>
      <c r="P169" s="23" t="s">
        <v>40</v>
      </c>
      <c r="Q169" s="23" t="s">
        <v>40</v>
      </c>
      <c r="R169" s="23" t="s">
        <v>218</v>
      </c>
      <c r="S169" s="23" t="s">
        <v>8532</v>
      </c>
      <c r="T169" s="23" t="s">
        <v>40</v>
      </c>
    </row>
    <row r="170" spans="1:20" x14ac:dyDescent="0.25">
      <c r="A170" s="23" t="s">
        <v>8533</v>
      </c>
      <c r="B170" s="23" t="s">
        <v>217</v>
      </c>
      <c r="C170" s="23" t="s">
        <v>8526</v>
      </c>
      <c r="D170" s="23" t="s">
        <v>8534</v>
      </c>
      <c r="E170" s="23" t="s">
        <v>8535</v>
      </c>
      <c r="F170" s="23" t="s">
        <v>40</v>
      </c>
      <c r="G170" s="23" t="s">
        <v>8536</v>
      </c>
      <c r="H170" s="23" t="s">
        <v>8537</v>
      </c>
      <c r="I170" s="23" t="s">
        <v>8538</v>
      </c>
      <c r="J170" s="23" t="s">
        <v>525</v>
      </c>
      <c r="K170" s="24" t="s">
        <v>386</v>
      </c>
      <c r="L170" s="23" t="s">
        <v>13</v>
      </c>
      <c r="M170" s="25" t="s">
        <v>18</v>
      </c>
      <c r="N170" s="23" t="s">
        <v>40</v>
      </c>
      <c r="O170" s="23" t="s">
        <v>387</v>
      </c>
      <c r="P170" s="23" t="s">
        <v>40</v>
      </c>
      <c r="Q170" s="23" t="s">
        <v>40</v>
      </c>
      <c r="R170" s="23" t="s">
        <v>218</v>
      </c>
      <c r="S170" s="23" t="s">
        <v>40</v>
      </c>
      <c r="T170" s="23" t="s">
        <v>8059</v>
      </c>
    </row>
    <row r="171" spans="1:20" x14ac:dyDescent="0.25">
      <c r="A171" s="23" t="s">
        <v>8539</v>
      </c>
      <c r="B171" s="23" t="s">
        <v>217</v>
      </c>
      <c r="C171" s="23" t="s">
        <v>8526</v>
      </c>
      <c r="D171" s="23" t="s">
        <v>8540</v>
      </c>
      <c r="E171" s="23" t="s">
        <v>8541</v>
      </c>
      <c r="F171" s="23" t="s">
        <v>40</v>
      </c>
      <c r="G171" s="23" t="s">
        <v>8542</v>
      </c>
      <c r="H171" s="23" t="s">
        <v>8543</v>
      </c>
      <c r="I171" s="23" t="s">
        <v>8544</v>
      </c>
      <c r="J171" s="23" t="s">
        <v>525</v>
      </c>
      <c r="K171" s="24" t="s">
        <v>386</v>
      </c>
      <c r="L171" s="23" t="s">
        <v>13</v>
      </c>
      <c r="M171" s="25" t="s">
        <v>18</v>
      </c>
      <c r="N171" s="23" t="s">
        <v>40</v>
      </c>
      <c r="O171" s="23" t="s">
        <v>387</v>
      </c>
      <c r="P171" s="23" t="s">
        <v>40</v>
      </c>
      <c r="Q171" s="23" t="s">
        <v>40</v>
      </c>
      <c r="R171" s="23" t="s">
        <v>218</v>
      </c>
      <c r="S171" s="23" t="s">
        <v>40</v>
      </c>
      <c r="T171" s="23" t="s">
        <v>40</v>
      </c>
    </row>
    <row r="172" spans="1:20" x14ac:dyDescent="0.25">
      <c r="A172" s="23" t="s">
        <v>8545</v>
      </c>
      <c r="B172" s="23" t="s">
        <v>217</v>
      </c>
      <c r="C172" s="23" t="s">
        <v>8546</v>
      </c>
      <c r="D172" s="23" t="s">
        <v>8547</v>
      </c>
      <c r="E172" s="23" t="s">
        <v>8548</v>
      </c>
      <c r="F172" s="23" t="s">
        <v>40</v>
      </c>
      <c r="G172" s="23" t="s">
        <v>8549</v>
      </c>
      <c r="H172" s="23" t="s">
        <v>8550</v>
      </c>
      <c r="I172" s="23" t="s">
        <v>8551</v>
      </c>
      <c r="J172" s="23" t="s">
        <v>14</v>
      </c>
      <c r="K172" s="24" t="s">
        <v>386</v>
      </c>
      <c r="L172" s="23" t="s">
        <v>405</v>
      </c>
      <c r="M172" s="25" t="s">
        <v>18</v>
      </c>
      <c r="N172" s="23" t="s">
        <v>40</v>
      </c>
      <c r="O172" s="23" t="s">
        <v>387</v>
      </c>
      <c r="P172" s="23" t="s">
        <v>40</v>
      </c>
      <c r="Q172" s="23" t="s">
        <v>40</v>
      </c>
      <c r="R172" s="23" t="s">
        <v>218</v>
      </c>
      <c r="S172" s="23" t="s">
        <v>40</v>
      </c>
      <c r="T172" s="23" t="s">
        <v>5483</v>
      </c>
    </row>
    <row r="173" spans="1:20" x14ac:dyDescent="0.25">
      <c r="A173" s="23" t="s">
        <v>8552</v>
      </c>
      <c r="B173" s="23" t="s">
        <v>217</v>
      </c>
      <c r="C173" s="23" t="s">
        <v>8546</v>
      </c>
      <c r="D173" s="23" t="s">
        <v>8553</v>
      </c>
      <c r="E173" s="23" t="s">
        <v>8554</v>
      </c>
      <c r="F173" s="23" t="s">
        <v>40</v>
      </c>
      <c r="G173" s="23" t="s">
        <v>8555</v>
      </c>
      <c r="H173" s="23" t="s">
        <v>8556</v>
      </c>
      <c r="I173" s="23" t="s">
        <v>8557</v>
      </c>
      <c r="J173" s="23" t="s">
        <v>15</v>
      </c>
      <c r="K173" s="27" t="s">
        <v>404</v>
      </c>
      <c r="L173" s="23" t="s">
        <v>405</v>
      </c>
      <c r="M173" s="25" t="s">
        <v>18</v>
      </c>
      <c r="N173" s="23" t="s">
        <v>40</v>
      </c>
      <c r="O173" s="23" t="s">
        <v>387</v>
      </c>
      <c r="P173" s="23" t="s">
        <v>40</v>
      </c>
      <c r="Q173" s="23" t="s">
        <v>40</v>
      </c>
      <c r="R173" s="23" t="s">
        <v>218</v>
      </c>
      <c r="S173" s="23" t="s">
        <v>40</v>
      </c>
      <c r="T173" s="23" t="s">
        <v>5483</v>
      </c>
    </row>
    <row r="174" spans="1:20" x14ac:dyDescent="0.25">
      <c r="A174" s="23" t="s">
        <v>8558</v>
      </c>
      <c r="B174" s="23" t="s">
        <v>217</v>
      </c>
      <c r="C174" s="23" t="s">
        <v>8559</v>
      </c>
      <c r="D174" s="23" t="s">
        <v>8560</v>
      </c>
      <c r="E174" s="23" t="s">
        <v>8561</v>
      </c>
      <c r="F174" s="23" t="s">
        <v>40</v>
      </c>
      <c r="G174" s="23" t="s">
        <v>8562</v>
      </c>
      <c r="H174" s="23" t="s">
        <v>8563</v>
      </c>
      <c r="I174" s="23" t="s">
        <v>8564</v>
      </c>
      <c r="J174" s="23" t="s">
        <v>801</v>
      </c>
      <c r="K174" s="24" t="s">
        <v>386</v>
      </c>
      <c r="L174" s="23" t="s">
        <v>405</v>
      </c>
      <c r="M174" s="25" t="s">
        <v>18</v>
      </c>
      <c r="N174" s="23" t="s">
        <v>40</v>
      </c>
      <c r="O174" s="23" t="s">
        <v>387</v>
      </c>
      <c r="P174" s="23" t="s">
        <v>40</v>
      </c>
      <c r="Q174" s="23" t="s">
        <v>40</v>
      </c>
      <c r="R174" s="23" t="s">
        <v>218</v>
      </c>
      <c r="S174" s="23" t="s">
        <v>40</v>
      </c>
      <c r="T174" s="23" t="s">
        <v>40</v>
      </c>
    </row>
    <row r="175" spans="1:20" x14ac:dyDescent="0.25">
      <c r="A175" s="23" t="s">
        <v>8565</v>
      </c>
      <c r="B175" s="23" t="s">
        <v>217</v>
      </c>
      <c r="C175" s="23" t="s">
        <v>8419</v>
      </c>
      <c r="D175" s="23" t="s">
        <v>8566</v>
      </c>
      <c r="E175" s="23" t="s">
        <v>8567</v>
      </c>
      <c r="F175" s="23" t="s">
        <v>40</v>
      </c>
      <c r="G175" s="23" t="s">
        <v>8568</v>
      </c>
      <c r="H175" s="23" t="s">
        <v>8569</v>
      </c>
      <c r="I175" s="23" t="s">
        <v>8570</v>
      </c>
      <c r="J175" s="23" t="s">
        <v>15</v>
      </c>
      <c r="K175" s="27" t="s">
        <v>404</v>
      </c>
      <c r="L175" s="23" t="s">
        <v>405</v>
      </c>
      <c r="M175" s="25" t="s">
        <v>18</v>
      </c>
      <c r="N175" s="23" t="s">
        <v>40</v>
      </c>
      <c r="O175" s="23" t="s">
        <v>387</v>
      </c>
      <c r="P175" s="23" t="s">
        <v>40</v>
      </c>
      <c r="Q175" s="23" t="s">
        <v>40</v>
      </c>
      <c r="R175" s="23" t="s">
        <v>218</v>
      </c>
      <c r="S175" s="23" t="s">
        <v>40</v>
      </c>
      <c r="T175" s="23" t="s">
        <v>2114</v>
      </c>
    </row>
    <row r="176" spans="1:20" x14ac:dyDescent="0.25">
      <c r="A176" s="23" t="s">
        <v>8571</v>
      </c>
      <c r="B176" s="23" t="s">
        <v>217</v>
      </c>
      <c r="C176" s="23" t="s">
        <v>8572</v>
      </c>
      <c r="D176" s="23" t="s">
        <v>8573</v>
      </c>
      <c r="E176" s="23" t="s">
        <v>8574</v>
      </c>
      <c r="F176" s="23" t="s">
        <v>40</v>
      </c>
      <c r="G176" s="23" t="s">
        <v>8575</v>
      </c>
      <c r="H176" s="23" t="s">
        <v>8576</v>
      </c>
      <c r="I176" s="23" t="s">
        <v>8577</v>
      </c>
      <c r="J176" s="23" t="s">
        <v>801</v>
      </c>
      <c r="K176" s="26" t="s">
        <v>396</v>
      </c>
      <c r="L176" s="23" t="s">
        <v>13</v>
      </c>
      <c r="M176" s="25" t="s">
        <v>18</v>
      </c>
      <c r="N176" s="23" t="s">
        <v>40</v>
      </c>
      <c r="O176" s="23" t="s">
        <v>387</v>
      </c>
      <c r="P176" s="23" t="s">
        <v>40</v>
      </c>
      <c r="Q176" s="23" t="s">
        <v>40</v>
      </c>
      <c r="R176" s="23" t="s">
        <v>218</v>
      </c>
      <c r="S176" s="23" t="s">
        <v>40</v>
      </c>
      <c r="T176" s="23" t="s">
        <v>40</v>
      </c>
    </row>
    <row r="177" spans="1:20" x14ac:dyDescent="0.25">
      <c r="A177" s="23" t="s">
        <v>8578</v>
      </c>
      <c r="B177" s="23" t="s">
        <v>217</v>
      </c>
      <c r="C177" s="23" t="s">
        <v>8579</v>
      </c>
      <c r="D177" s="23" t="s">
        <v>8580</v>
      </c>
      <c r="E177" s="23" t="s">
        <v>8581</v>
      </c>
      <c r="F177" s="23" t="s">
        <v>40</v>
      </c>
      <c r="G177" s="23" t="s">
        <v>8582</v>
      </c>
      <c r="H177" s="23" t="s">
        <v>8583</v>
      </c>
      <c r="I177" s="23" t="s">
        <v>8584</v>
      </c>
      <c r="J177" s="23" t="s">
        <v>14</v>
      </c>
      <c r="K177" s="24" t="s">
        <v>386</v>
      </c>
      <c r="L177" s="23" t="s">
        <v>405</v>
      </c>
      <c r="M177" s="25" t="s">
        <v>18</v>
      </c>
      <c r="N177" s="23" t="s">
        <v>40</v>
      </c>
      <c r="O177" s="23" t="s">
        <v>387</v>
      </c>
      <c r="P177" s="23" t="s">
        <v>40</v>
      </c>
      <c r="Q177" s="23" t="s">
        <v>40</v>
      </c>
      <c r="R177" s="23" t="s">
        <v>218</v>
      </c>
      <c r="S177" s="23" t="s">
        <v>40</v>
      </c>
      <c r="T177" s="23" t="s">
        <v>8443</v>
      </c>
    </row>
    <row r="178" spans="1:20" x14ac:dyDescent="0.25">
      <c r="A178" s="23" t="s">
        <v>8585</v>
      </c>
      <c r="B178" s="23" t="s">
        <v>217</v>
      </c>
      <c r="C178" s="23" t="s">
        <v>951</v>
      </c>
      <c r="D178" s="23" t="s">
        <v>8586</v>
      </c>
      <c r="E178" s="23" t="s">
        <v>3835</v>
      </c>
      <c r="F178" s="23" t="s">
        <v>40</v>
      </c>
      <c r="G178" s="23" t="s">
        <v>8587</v>
      </c>
      <c r="H178" s="23" t="s">
        <v>8588</v>
      </c>
      <c r="I178" s="23" t="s">
        <v>8589</v>
      </c>
      <c r="J178" s="23" t="s">
        <v>385</v>
      </c>
      <c r="K178" s="27" t="s">
        <v>404</v>
      </c>
      <c r="L178" s="23" t="s">
        <v>405</v>
      </c>
      <c r="M178" s="25" t="s">
        <v>18</v>
      </c>
      <c r="N178" s="23" t="s">
        <v>40</v>
      </c>
      <c r="O178" s="23" t="s">
        <v>387</v>
      </c>
      <c r="P178" s="23" t="s">
        <v>40</v>
      </c>
      <c r="Q178" s="23" t="s">
        <v>40</v>
      </c>
      <c r="R178" s="23" t="s">
        <v>218</v>
      </c>
      <c r="S178" s="23" t="s">
        <v>40</v>
      </c>
      <c r="T178" s="23" t="s">
        <v>40</v>
      </c>
    </row>
    <row r="179" spans="1:20" x14ac:dyDescent="0.25">
      <c r="A179" s="23" t="s">
        <v>8590</v>
      </c>
      <c r="B179" s="23" t="s">
        <v>217</v>
      </c>
      <c r="C179" s="23" t="s">
        <v>951</v>
      </c>
      <c r="D179" s="23" t="s">
        <v>8591</v>
      </c>
      <c r="E179" s="23" t="s">
        <v>8592</v>
      </c>
      <c r="F179" s="23" t="s">
        <v>40</v>
      </c>
      <c r="G179" s="23" t="s">
        <v>8593</v>
      </c>
      <c r="H179" s="23" t="s">
        <v>8594</v>
      </c>
      <c r="I179" s="23" t="s">
        <v>8595</v>
      </c>
      <c r="J179" s="23" t="s">
        <v>385</v>
      </c>
      <c r="K179" s="32" t="s">
        <v>747</v>
      </c>
      <c r="L179" s="23" t="s">
        <v>490</v>
      </c>
      <c r="M179" s="25" t="s">
        <v>18</v>
      </c>
      <c r="N179" s="23" t="s">
        <v>40</v>
      </c>
      <c r="O179" s="23" t="s">
        <v>387</v>
      </c>
      <c r="P179" s="23" t="s">
        <v>40</v>
      </c>
      <c r="Q179" s="23" t="s">
        <v>40</v>
      </c>
      <c r="R179" s="23" t="s">
        <v>218</v>
      </c>
      <c r="S179" s="23" t="s">
        <v>40</v>
      </c>
      <c r="T179" s="23" t="s">
        <v>40</v>
      </c>
    </row>
    <row r="180" spans="1:20" x14ac:dyDescent="0.25">
      <c r="A180" s="23" t="s">
        <v>8596</v>
      </c>
      <c r="B180" s="23" t="s">
        <v>217</v>
      </c>
      <c r="C180" s="23" t="s">
        <v>951</v>
      </c>
      <c r="D180" s="23" t="s">
        <v>5889</v>
      </c>
      <c r="E180" s="23" t="s">
        <v>3835</v>
      </c>
      <c r="F180" s="23" t="s">
        <v>40</v>
      </c>
      <c r="G180" s="23" t="s">
        <v>8597</v>
      </c>
      <c r="H180" s="23" t="s">
        <v>8598</v>
      </c>
      <c r="I180" s="23" t="s">
        <v>8599</v>
      </c>
      <c r="J180" s="23" t="s">
        <v>385</v>
      </c>
      <c r="K180" s="32" t="s">
        <v>747</v>
      </c>
      <c r="L180" s="23" t="s">
        <v>490</v>
      </c>
      <c r="M180" s="25" t="s">
        <v>18</v>
      </c>
      <c r="N180" s="23" t="s">
        <v>40</v>
      </c>
      <c r="O180" s="23" t="s">
        <v>387</v>
      </c>
      <c r="P180" s="23" t="s">
        <v>40</v>
      </c>
      <c r="Q180" s="23" t="s">
        <v>40</v>
      </c>
      <c r="R180" s="23" t="s">
        <v>218</v>
      </c>
      <c r="S180" s="23" t="s">
        <v>40</v>
      </c>
      <c r="T180" s="23" t="s">
        <v>40</v>
      </c>
    </row>
    <row r="181" spans="1:20" x14ac:dyDescent="0.25">
      <c r="A181" s="23" t="s">
        <v>8600</v>
      </c>
      <c r="B181" s="23" t="s">
        <v>217</v>
      </c>
      <c r="C181" s="23" t="s">
        <v>8601</v>
      </c>
      <c r="D181" s="23" t="s">
        <v>8602</v>
      </c>
      <c r="E181" s="23" t="s">
        <v>8603</v>
      </c>
      <c r="F181" s="23" t="s">
        <v>40</v>
      </c>
      <c r="G181" s="23" t="s">
        <v>8604</v>
      </c>
      <c r="H181" s="23" t="s">
        <v>8605</v>
      </c>
      <c r="I181" s="23" t="s">
        <v>8606</v>
      </c>
      <c r="J181" s="23" t="s">
        <v>801</v>
      </c>
      <c r="K181" s="24" t="s">
        <v>386</v>
      </c>
      <c r="L181" s="23" t="s">
        <v>405</v>
      </c>
      <c r="M181" s="25" t="s">
        <v>18</v>
      </c>
      <c r="N181" s="23" t="s">
        <v>40</v>
      </c>
      <c r="O181" s="23" t="s">
        <v>387</v>
      </c>
      <c r="P181" s="23" t="s">
        <v>40</v>
      </c>
      <c r="Q181" s="23" t="s">
        <v>40</v>
      </c>
      <c r="R181" s="23" t="s">
        <v>218</v>
      </c>
      <c r="S181" s="23" t="s">
        <v>40</v>
      </c>
      <c r="T181" s="23" t="s">
        <v>8607</v>
      </c>
    </row>
    <row r="182" spans="1:20" x14ac:dyDescent="0.25">
      <c r="A182" s="23" t="s">
        <v>8608</v>
      </c>
      <c r="B182" s="23" t="s">
        <v>220</v>
      </c>
      <c r="C182" s="23" t="s">
        <v>944</v>
      </c>
      <c r="D182" s="23" t="s">
        <v>8609</v>
      </c>
      <c r="E182" s="23" t="s">
        <v>3835</v>
      </c>
      <c r="F182" s="23" t="s">
        <v>8610</v>
      </c>
      <c r="G182" s="23" t="s">
        <v>8611</v>
      </c>
      <c r="H182" s="23" t="s">
        <v>8612</v>
      </c>
      <c r="I182" s="23" t="s">
        <v>8613</v>
      </c>
      <c r="J182" s="23" t="s">
        <v>385</v>
      </c>
      <c r="K182" s="24" t="s">
        <v>386</v>
      </c>
      <c r="L182" s="23" t="s">
        <v>13</v>
      </c>
      <c r="M182" s="31" t="s">
        <v>17</v>
      </c>
      <c r="N182" s="23" t="s">
        <v>8614</v>
      </c>
      <c r="O182" s="29" t="s">
        <v>87</v>
      </c>
      <c r="P182" s="23" t="s">
        <v>40</v>
      </c>
      <c r="Q182" s="23" t="s">
        <v>40</v>
      </c>
      <c r="R182" s="23" t="s">
        <v>221</v>
      </c>
      <c r="S182" s="23" t="s">
        <v>40</v>
      </c>
      <c r="T182" s="23" t="s">
        <v>40</v>
      </c>
    </row>
    <row r="183" spans="1:20" x14ac:dyDescent="0.25">
      <c r="A183" s="23" t="s">
        <v>8615</v>
      </c>
      <c r="B183" s="23" t="s">
        <v>220</v>
      </c>
      <c r="C183" s="23" t="s">
        <v>8616</v>
      </c>
      <c r="D183" s="23" t="s">
        <v>8617</v>
      </c>
      <c r="E183" s="23" t="s">
        <v>8618</v>
      </c>
      <c r="F183" s="23" t="s">
        <v>40</v>
      </c>
      <c r="G183" s="23" t="s">
        <v>8619</v>
      </c>
      <c r="H183" s="23" t="s">
        <v>8620</v>
      </c>
      <c r="I183" s="23" t="s">
        <v>8621</v>
      </c>
      <c r="J183" s="23" t="s">
        <v>385</v>
      </c>
      <c r="K183" s="27" t="s">
        <v>404</v>
      </c>
      <c r="L183" s="23" t="s">
        <v>405</v>
      </c>
      <c r="M183" s="25" t="s">
        <v>18</v>
      </c>
      <c r="N183" s="23" t="s">
        <v>40</v>
      </c>
      <c r="O183" s="23" t="s">
        <v>387</v>
      </c>
      <c r="P183" s="23" t="s">
        <v>40</v>
      </c>
      <c r="Q183" s="23" t="s">
        <v>40</v>
      </c>
      <c r="R183" s="23" t="s">
        <v>221</v>
      </c>
      <c r="S183" s="23" t="s">
        <v>40</v>
      </c>
      <c r="T183" s="23" t="s">
        <v>40</v>
      </c>
    </row>
    <row r="184" spans="1:20" x14ac:dyDescent="0.25">
      <c r="A184" s="23" t="s">
        <v>8622</v>
      </c>
      <c r="B184" s="23" t="s">
        <v>220</v>
      </c>
      <c r="C184" s="23" t="s">
        <v>6848</v>
      </c>
      <c r="D184" s="23" t="s">
        <v>8623</v>
      </c>
      <c r="E184" s="23" t="s">
        <v>8624</v>
      </c>
      <c r="F184" s="23" t="s">
        <v>40</v>
      </c>
      <c r="G184" s="23" t="s">
        <v>8625</v>
      </c>
      <c r="H184" s="23" t="s">
        <v>8626</v>
      </c>
      <c r="I184" s="23" t="s">
        <v>8627</v>
      </c>
      <c r="J184" s="23" t="s">
        <v>14</v>
      </c>
      <c r="K184" s="26" t="s">
        <v>396</v>
      </c>
      <c r="L184" s="23" t="s">
        <v>13</v>
      </c>
      <c r="M184" s="25" t="s">
        <v>18</v>
      </c>
      <c r="N184" s="23" t="s">
        <v>40</v>
      </c>
      <c r="O184" s="23" t="s">
        <v>387</v>
      </c>
      <c r="P184" s="23" t="s">
        <v>40</v>
      </c>
      <c r="Q184" s="23" t="s">
        <v>40</v>
      </c>
      <c r="R184" s="23" t="s">
        <v>221</v>
      </c>
      <c r="S184" s="23" t="s">
        <v>40</v>
      </c>
      <c r="T184" s="23" t="s">
        <v>40</v>
      </c>
    </row>
    <row r="185" spans="1:20" x14ac:dyDescent="0.25">
      <c r="A185" s="23" t="s">
        <v>8628</v>
      </c>
      <c r="B185" s="23" t="s">
        <v>220</v>
      </c>
      <c r="C185" s="23" t="s">
        <v>6848</v>
      </c>
      <c r="D185" s="23" t="s">
        <v>8629</v>
      </c>
      <c r="E185" s="23" t="s">
        <v>8630</v>
      </c>
      <c r="F185" s="23" t="s">
        <v>40</v>
      </c>
      <c r="G185" s="23" t="s">
        <v>8631</v>
      </c>
      <c r="H185" s="23" t="s">
        <v>8632</v>
      </c>
      <c r="I185" s="23" t="s">
        <v>8633</v>
      </c>
      <c r="J185" s="23" t="s">
        <v>14</v>
      </c>
      <c r="K185" s="24" t="s">
        <v>386</v>
      </c>
      <c r="L185" s="23" t="s">
        <v>405</v>
      </c>
      <c r="M185" s="25" t="s">
        <v>18</v>
      </c>
      <c r="N185" s="23" t="s">
        <v>40</v>
      </c>
      <c r="O185" s="23" t="s">
        <v>387</v>
      </c>
      <c r="P185" s="23" t="s">
        <v>40</v>
      </c>
      <c r="Q185" s="23" t="s">
        <v>40</v>
      </c>
      <c r="R185" s="23" t="s">
        <v>221</v>
      </c>
      <c r="S185" s="23" t="s">
        <v>40</v>
      </c>
      <c r="T185" s="23" t="s">
        <v>40</v>
      </c>
    </row>
    <row r="186" spans="1:20" x14ac:dyDescent="0.25">
      <c r="A186" s="23" t="s">
        <v>8634</v>
      </c>
      <c r="B186" s="23" t="s">
        <v>220</v>
      </c>
      <c r="C186" s="23" t="s">
        <v>6848</v>
      </c>
      <c r="D186" s="23" t="s">
        <v>8635</v>
      </c>
      <c r="E186" s="23" t="s">
        <v>8636</v>
      </c>
      <c r="F186" s="23" t="s">
        <v>40</v>
      </c>
      <c r="G186" s="23" t="s">
        <v>8631</v>
      </c>
      <c r="H186" s="23" t="s">
        <v>8637</v>
      </c>
      <c r="I186" s="23" t="s">
        <v>8638</v>
      </c>
      <c r="J186" s="23" t="s">
        <v>14</v>
      </c>
      <c r="K186" s="24" t="s">
        <v>386</v>
      </c>
      <c r="L186" s="23" t="s">
        <v>405</v>
      </c>
      <c r="M186" s="25" t="s">
        <v>18</v>
      </c>
      <c r="N186" s="23" t="s">
        <v>40</v>
      </c>
      <c r="O186" s="23" t="s">
        <v>387</v>
      </c>
      <c r="P186" s="23" t="s">
        <v>40</v>
      </c>
      <c r="Q186" s="23" t="s">
        <v>40</v>
      </c>
      <c r="R186" s="23" t="s">
        <v>221</v>
      </c>
      <c r="S186" s="23" t="s">
        <v>40</v>
      </c>
      <c r="T186" s="23" t="s">
        <v>40</v>
      </c>
    </row>
    <row r="187" spans="1:20" x14ac:dyDescent="0.25">
      <c r="A187" s="23" t="s">
        <v>8639</v>
      </c>
      <c r="B187" s="23" t="s">
        <v>220</v>
      </c>
      <c r="C187" s="23" t="s">
        <v>6856</v>
      </c>
      <c r="D187" s="23" t="s">
        <v>8640</v>
      </c>
      <c r="E187" s="23" t="s">
        <v>8641</v>
      </c>
      <c r="F187" s="23" t="s">
        <v>40</v>
      </c>
      <c r="G187" s="23" t="s">
        <v>8642</v>
      </c>
      <c r="H187" s="23" t="s">
        <v>8643</v>
      </c>
      <c r="I187" s="23" t="s">
        <v>8644</v>
      </c>
      <c r="J187" s="23" t="s">
        <v>14</v>
      </c>
      <c r="K187" s="24" t="s">
        <v>386</v>
      </c>
      <c r="L187" s="23" t="s">
        <v>405</v>
      </c>
      <c r="M187" s="25" t="s">
        <v>18</v>
      </c>
      <c r="N187" s="23" t="s">
        <v>40</v>
      </c>
      <c r="O187" s="23" t="s">
        <v>387</v>
      </c>
      <c r="P187" s="23" t="s">
        <v>40</v>
      </c>
      <c r="Q187" s="23" t="s">
        <v>40</v>
      </c>
      <c r="R187" s="23" t="s">
        <v>221</v>
      </c>
      <c r="S187" s="23" t="s">
        <v>40</v>
      </c>
      <c r="T187" s="23" t="s">
        <v>40</v>
      </c>
    </row>
    <row r="188" spans="1:20" x14ac:dyDescent="0.25">
      <c r="A188" s="23" t="s">
        <v>8645</v>
      </c>
      <c r="B188" s="23" t="s">
        <v>220</v>
      </c>
      <c r="C188" s="23" t="s">
        <v>7505</v>
      </c>
      <c r="D188" s="23" t="s">
        <v>8646</v>
      </c>
      <c r="E188" s="23" t="s">
        <v>8647</v>
      </c>
      <c r="F188" s="23" t="s">
        <v>40</v>
      </c>
      <c r="G188" s="23" t="s">
        <v>8648</v>
      </c>
      <c r="H188" s="23" t="s">
        <v>8649</v>
      </c>
      <c r="I188" s="23" t="s">
        <v>8650</v>
      </c>
      <c r="J188" s="23" t="s">
        <v>14</v>
      </c>
      <c r="K188" s="27" t="s">
        <v>404</v>
      </c>
      <c r="L188" s="23" t="s">
        <v>490</v>
      </c>
      <c r="M188" s="25" t="s">
        <v>18</v>
      </c>
      <c r="N188" s="23" t="s">
        <v>40</v>
      </c>
      <c r="O188" s="23" t="s">
        <v>387</v>
      </c>
      <c r="P188" s="23" t="s">
        <v>40</v>
      </c>
      <c r="Q188" s="23" t="s">
        <v>40</v>
      </c>
      <c r="R188" s="23" t="s">
        <v>221</v>
      </c>
      <c r="S188" s="23" t="s">
        <v>40</v>
      </c>
      <c r="T188" s="23" t="s">
        <v>40</v>
      </c>
    </row>
    <row r="189" spans="1:20" x14ac:dyDescent="0.25">
      <c r="A189" s="23" t="s">
        <v>8651</v>
      </c>
      <c r="B189" s="23" t="s">
        <v>220</v>
      </c>
      <c r="C189" s="23" t="s">
        <v>1971</v>
      </c>
      <c r="D189" s="23" t="s">
        <v>8652</v>
      </c>
      <c r="E189" s="23" t="s">
        <v>8653</v>
      </c>
      <c r="F189" s="23" t="s">
        <v>40</v>
      </c>
      <c r="G189" s="23" t="s">
        <v>8654</v>
      </c>
      <c r="H189" s="23" t="s">
        <v>8655</v>
      </c>
      <c r="I189" s="23" t="s">
        <v>8656</v>
      </c>
      <c r="J189" s="23" t="s">
        <v>15</v>
      </c>
      <c r="K189" s="27" t="s">
        <v>404</v>
      </c>
      <c r="L189" s="23" t="s">
        <v>405</v>
      </c>
      <c r="M189" s="25" t="s">
        <v>18</v>
      </c>
      <c r="N189" s="23" t="s">
        <v>40</v>
      </c>
      <c r="O189" s="23" t="s">
        <v>387</v>
      </c>
      <c r="P189" s="23" t="s">
        <v>40</v>
      </c>
      <c r="Q189" s="23" t="s">
        <v>40</v>
      </c>
      <c r="R189" s="23" t="s">
        <v>221</v>
      </c>
      <c r="S189" s="23" t="s">
        <v>40</v>
      </c>
      <c r="T189" s="23" t="s">
        <v>2114</v>
      </c>
    </row>
    <row r="190" spans="1:20" x14ac:dyDescent="0.25">
      <c r="A190" s="23" t="s">
        <v>8657</v>
      </c>
      <c r="B190" s="23" t="s">
        <v>220</v>
      </c>
      <c r="C190" s="23" t="s">
        <v>1971</v>
      </c>
      <c r="D190" s="23" t="s">
        <v>8658</v>
      </c>
      <c r="E190" s="23" t="s">
        <v>8659</v>
      </c>
      <c r="F190" s="23" t="s">
        <v>40</v>
      </c>
      <c r="G190" s="23" t="s">
        <v>8660</v>
      </c>
      <c r="H190" s="23" t="s">
        <v>8661</v>
      </c>
      <c r="I190" s="23" t="s">
        <v>8662</v>
      </c>
      <c r="J190" s="23" t="s">
        <v>15</v>
      </c>
      <c r="K190" s="27" t="s">
        <v>404</v>
      </c>
      <c r="L190" s="23" t="s">
        <v>490</v>
      </c>
      <c r="M190" s="25" t="s">
        <v>18</v>
      </c>
      <c r="N190" s="23" t="s">
        <v>40</v>
      </c>
      <c r="O190" s="23" t="s">
        <v>387</v>
      </c>
      <c r="P190" s="23" t="s">
        <v>40</v>
      </c>
      <c r="Q190" s="23" t="s">
        <v>40</v>
      </c>
      <c r="R190" s="23" t="s">
        <v>221</v>
      </c>
      <c r="S190" s="23" t="s">
        <v>40</v>
      </c>
      <c r="T190" s="23" t="s">
        <v>8663</v>
      </c>
    </row>
    <row r="191" spans="1:20" x14ac:dyDescent="0.25">
      <c r="A191" s="23" t="s">
        <v>8664</v>
      </c>
      <c r="B191" s="23" t="s">
        <v>220</v>
      </c>
      <c r="C191" s="23" t="s">
        <v>8665</v>
      </c>
      <c r="D191" s="23" t="s">
        <v>8666</v>
      </c>
      <c r="E191" s="23" t="s">
        <v>8667</v>
      </c>
      <c r="F191" s="23" t="s">
        <v>40</v>
      </c>
      <c r="G191" s="23" t="s">
        <v>8668</v>
      </c>
      <c r="H191" s="23" t="s">
        <v>8669</v>
      </c>
      <c r="I191" s="23" t="s">
        <v>8670</v>
      </c>
      <c r="J191" s="23" t="s">
        <v>385</v>
      </c>
      <c r="K191" s="32" t="s">
        <v>747</v>
      </c>
      <c r="L191" s="23" t="s">
        <v>490</v>
      </c>
      <c r="M191" s="25" t="s">
        <v>18</v>
      </c>
      <c r="N191" s="23" t="s">
        <v>40</v>
      </c>
      <c r="O191" s="23" t="s">
        <v>387</v>
      </c>
      <c r="P191" s="23" t="s">
        <v>40</v>
      </c>
      <c r="Q191" s="23" t="s">
        <v>40</v>
      </c>
      <c r="R191" s="23" t="s">
        <v>221</v>
      </c>
      <c r="S191" s="23" t="s">
        <v>8671</v>
      </c>
      <c r="T191" s="23" t="s">
        <v>40</v>
      </c>
    </row>
    <row r="192" spans="1:20" x14ac:dyDescent="0.25">
      <c r="A192" s="23" t="s">
        <v>8672</v>
      </c>
      <c r="B192" s="23" t="s">
        <v>220</v>
      </c>
      <c r="C192" s="23" t="s">
        <v>6700</v>
      </c>
      <c r="D192" s="23" t="s">
        <v>8673</v>
      </c>
      <c r="E192" s="23" t="s">
        <v>5856</v>
      </c>
      <c r="F192" s="23" t="s">
        <v>40</v>
      </c>
      <c r="G192" s="23" t="s">
        <v>8674</v>
      </c>
      <c r="H192" s="23" t="s">
        <v>8675</v>
      </c>
      <c r="I192" s="23" t="s">
        <v>7013</v>
      </c>
      <c r="J192" s="23" t="s">
        <v>525</v>
      </c>
      <c r="K192" s="24" t="s">
        <v>386</v>
      </c>
      <c r="L192" s="23" t="s">
        <v>405</v>
      </c>
      <c r="M192" s="25" t="s">
        <v>18</v>
      </c>
      <c r="N192" s="23" t="s">
        <v>40</v>
      </c>
      <c r="O192" s="23" t="s">
        <v>387</v>
      </c>
      <c r="P192" s="23" t="s">
        <v>40</v>
      </c>
      <c r="Q192" s="23" t="s">
        <v>40</v>
      </c>
      <c r="R192" s="23" t="s">
        <v>221</v>
      </c>
      <c r="S192" s="23" t="s">
        <v>40</v>
      </c>
      <c r="T192" s="23" t="s">
        <v>40</v>
      </c>
    </row>
    <row r="193" spans="1:20" x14ac:dyDescent="0.25">
      <c r="A193" s="23" t="s">
        <v>8676</v>
      </c>
      <c r="B193" s="23" t="s">
        <v>222</v>
      </c>
      <c r="C193" s="23" t="s">
        <v>944</v>
      </c>
      <c r="D193" s="23" t="s">
        <v>8677</v>
      </c>
      <c r="E193" s="23" t="s">
        <v>3835</v>
      </c>
      <c r="F193" s="23" t="s">
        <v>8678</v>
      </c>
      <c r="G193" s="23" t="s">
        <v>8679</v>
      </c>
      <c r="H193" s="23" t="s">
        <v>8680</v>
      </c>
      <c r="I193" s="23" t="s">
        <v>8681</v>
      </c>
      <c r="J193" s="23" t="s">
        <v>385</v>
      </c>
      <c r="K193" s="24" t="s">
        <v>386</v>
      </c>
      <c r="L193" s="23" t="s">
        <v>13</v>
      </c>
      <c r="M193" s="31" t="s">
        <v>17</v>
      </c>
      <c r="N193" s="23" t="s">
        <v>8682</v>
      </c>
      <c r="O193" s="29" t="s">
        <v>87</v>
      </c>
      <c r="P193" s="23" t="s">
        <v>40</v>
      </c>
      <c r="Q193" s="23" t="s">
        <v>40</v>
      </c>
      <c r="R193" s="23" t="s">
        <v>223</v>
      </c>
      <c r="S193" s="23" t="s">
        <v>40</v>
      </c>
      <c r="T193" s="23" t="s">
        <v>40</v>
      </c>
    </row>
    <row r="194" spans="1:20" x14ac:dyDescent="0.25">
      <c r="A194" s="23" t="s">
        <v>8683</v>
      </c>
      <c r="B194" s="23" t="s">
        <v>222</v>
      </c>
      <c r="C194" s="23" t="s">
        <v>989</v>
      </c>
      <c r="D194" s="23" t="s">
        <v>8684</v>
      </c>
      <c r="E194" s="23" t="s">
        <v>3835</v>
      </c>
      <c r="F194" s="23" t="s">
        <v>40</v>
      </c>
      <c r="G194" s="23" t="s">
        <v>8685</v>
      </c>
      <c r="H194" s="23" t="s">
        <v>8686</v>
      </c>
      <c r="I194" s="23" t="s">
        <v>8687</v>
      </c>
      <c r="J194" s="23" t="s">
        <v>14</v>
      </c>
      <c r="K194" s="24" t="s">
        <v>386</v>
      </c>
      <c r="L194" s="23" t="s">
        <v>405</v>
      </c>
      <c r="M194" s="25" t="s">
        <v>18</v>
      </c>
      <c r="N194" s="23" t="s">
        <v>40</v>
      </c>
      <c r="O194" s="23" t="s">
        <v>387</v>
      </c>
      <c r="P194" s="23" t="s">
        <v>40</v>
      </c>
      <c r="Q194" s="23" t="s">
        <v>40</v>
      </c>
      <c r="R194" s="23" t="s">
        <v>223</v>
      </c>
      <c r="S194" s="23" t="s">
        <v>8688</v>
      </c>
      <c r="T194" s="23" t="s">
        <v>40</v>
      </c>
    </row>
    <row r="195" spans="1:20" x14ac:dyDescent="0.25">
      <c r="A195" s="23" t="s">
        <v>8689</v>
      </c>
      <c r="B195" s="23" t="s">
        <v>222</v>
      </c>
      <c r="C195" s="23" t="s">
        <v>7178</v>
      </c>
      <c r="D195" s="23" t="s">
        <v>8690</v>
      </c>
      <c r="E195" s="23" t="s">
        <v>3835</v>
      </c>
      <c r="F195" s="23" t="s">
        <v>40</v>
      </c>
      <c r="G195" s="23" t="s">
        <v>8691</v>
      </c>
      <c r="H195" s="23" t="s">
        <v>8692</v>
      </c>
      <c r="I195" s="23" t="s">
        <v>8693</v>
      </c>
      <c r="J195" s="23" t="s">
        <v>14</v>
      </c>
      <c r="K195" s="27" t="s">
        <v>404</v>
      </c>
      <c r="L195" s="23" t="s">
        <v>490</v>
      </c>
      <c r="M195" s="25" t="s">
        <v>18</v>
      </c>
      <c r="N195" s="23" t="s">
        <v>40</v>
      </c>
      <c r="O195" s="23" t="s">
        <v>387</v>
      </c>
      <c r="P195" s="23" t="s">
        <v>40</v>
      </c>
      <c r="Q195" s="23" t="s">
        <v>40</v>
      </c>
      <c r="R195" s="23" t="s">
        <v>223</v>
      </c>
      <c r="S195" s="23" t="s">
        <v>40</v>
      </c>
      <c r="T195" s="23" t="s">
        <v>8694</v>
      </c>
    </row>
    <row r="196" spans="1:20" x14ac:dyDescent="0.25">
      <c r="A196" s="23" t="s">
        <v>8695</v>
      </c>
      <c r="B196" s="23" t="s">
        <v>222</v>
      </c>
      <c r="C196" s="23" t="s">
        <v>8696</v>
      </c>
      <c r="D196" s="23" t="s">
        <v>8697</v>
      </c>
      <c r="E196" s="23" t="s">
        <v>8698</v>
      </c>
      <c r="F196" s="23" t="s">
        <v>40</v>
      </c>
      <c r="G196" s="23" t="s">
        <v>8699</v>
      </c>
      <c r="H196" s="23" t="s">
        <v>8700</v>
      </c>
      <c r="I196" s="23" t="s">
        <v>8701</v>
      </c>
      <c r="J196" s="23" t="s">
        <v>801</v>
      </c>
      <c r="K196" s="26" t="s">
        <v>396</v>
      </c>
      <c r="L196" s="23" t="s">
        <v>13</v>
      </c>
      <c r="M196" s="25" t="s">
        <v>18</v>
      </c>
      <c r="N196" s="23" t="s">
        <v>40</v>
      </c>
      <c r="O196" s="23" t="s">
        <v>387</v>
      </c>
      <c r="P196" s="23" t="s">
        <v>40</v>
      </c>
      <c r="Q196" s="23" t="s">
        <v>40</v>
      </c>
      <c r="R196" s="23" t="s">
        <v>223</v>
      </c>
      <c r="S196" s="23" t="s">
        <v>40</v>
      </c>
      <c r="T196" s="23" t="s">
        <v>40</v>
      </c>
    </row>
    <row r="197" spans="1:20" x14ac:dyDescent="0.25">
      <c r="A197" s="23" t="s">
        <v>8702</v>
      </c>
      <c r="B197" s="23" t="s">
        <v>222</v>
      </c>
      <c r="C197" s="23" t="s">
        <v>8696</v>
      </c>
      <c r="D197" s="23" t="s">
        <v>8703</v>
      </c>
      <c r="E197" s="23" t="s">
        <v>8704</v>
      </c>
      <c r="F197" s="23" t="s">
        <v>40</v>
      </c>
      <c r="G197" s="23" t="s">
        <v>8699</v>
      </c>
      <c r="H197" s="23" t="s">
        <v>8705</v>
      </c>
      <c r="I197" s="23" t="s">
        <v>8706</v>
      </c>
      <c r="J197" s="23" t="s">
        <v>801</v>
      </c>
      <c r="K197" s="26" t="s">
        <v>396</v>
      </c>
      <c r="L197" s="23" t="s">
        <v>13</v>
      </c>
      <c r="M197" s="25" t="s">
        <v>18</v>
      </c>
      <c r="N197" s="23" t="s">
        <v>40</v>
      </c>
      <c r="O197" s="23" t="s">
        <v>387</v>
      </c>
      <c r="P197" s="23" t="s">
        <v>40</v>
      </c>
      <c r="Q197" s="23" t="s">
        <v>40</v>
      </c>
      <c r="R197" s="23" t="s">
        <v>223</v>
      </c>
      <c r="S197" s="23" t="s">
        <v>40</v>
      </c>
      <c r="T197" s="23" t="s">
        <v>40</v>
      </c>
    </row>
    <row r="198" spans="1:20" x14ac:dyDescent="0.25">
      <c r="A198" s="23" t="s">
        <v>8707</v>
      </c>
      <c r="B198" s="23" t="s">
        <v>222</v>
      </c>
      <c r="C198" s="23" t="s">
        <v>8696</v>
      </c>
      <c r="D198" s="23" t="s">
        <v>8708</v>
      </c>
      <c r="E198" s="23" t="s">
        <v>3835</v>
      </c>
      <c r="F198" s="23" t="s">
        <v>40</v>
      </c>
      <c r="G198" s="23" t="s">
        <v>8709</v>
      </c>
      <c r="H198" s="23" t="s">
        <v>8710</v>
      </c>
      <c r="I198" s="23" t="s">
        <v>8711</v>
      </c>
      <c r="J198" s="23" t="s">
        <v>395</v>
      </c>
      <c r="K198" s="26" t="s">
        <v>396</v>
      </c>
      <c r="L198" s="23" t="s">
        <v>13</v>
      </c>
      <c r="M198" s="25" t="s">
        <v>18</v>
      </c>
      <c r="N198" s="23" t="s">
        <v>40</v>
      </c>
      <c r="O198" s="23" t="s">
        <v>387</v>
      </c>
      <c r="P198" s="23" t="s">
        <v>40</v>
      </c>
      <c r="Q198" s="23" t="s">
        <v>40</v>
      </c>
      <c r="R198" s="23" t="s">
        <v>223</v>
      </c>
      <c r="S198" s="23" t="s">
        <v>40</v>
      </c>
      <c r="T198" s="23" t="s">
        <v>8712</v>
      </c>
    </row>
    <row r="199" spans="1:20" x14ac:dyDescent="0.25">
      <c r="A199" s="23" t="s">
        <v>8713</v>
      </c>
      <c r="B199" s="23" t="s">
        <v>222</v>
      </c>
      <c r="C199" s="23" t="s">
        <v>8696</v>
      </c>
      <c r="D199" s="23" t="s">
        <v>8714</v>
      </c>
      <c r="E199" s="23" t="s">
        <v>8715</v>
      </c>
      <c r="F199" s="23" t="s">
        <v>40</v>
      </c>
      <c r="G199" s="23" t="s">
        <v>8716</v>
      </c>
      <c r="H199" s="23" t="s">
        <v>8717</v>
      </c>
      <c r="I199" s="23" t="s">
        <v>8718</v>
      </c>
      <c r="J199" s="23" t="s">
        <v>14</v>
      </c>
      <c r="K199" s="24" t="s">
        <v>386</v>
      </c>
      <c r="L199" s="23" t="s">
        <v>405</v>
      </c>
      <c r="M199" s="25" t="s">
        <v>18</v>
      </c>
      <c r="N199" s="23" t="s">
        <v>40</v>
      </c>
      <c r="O199" s="23" t="s">
        <v>387</v>
      </c>
      <c r="P199" s="23" t="s">
        <v>40</v>
      </c>
      <c r="Q199" s="23" t="s">
        <v>40</v>
      </c>
      <c r="R199" s="23" t="s">
        <v>223</v>
      </c>
      <c r="S199" s="23" t="s">
        <v>40</v>
      </c>
      <c r="T199" s="23" t="s">
        <v>7837</v>
      </c>
    </row>
    <row r="200" spans="1:20" x14ac:dyDescent="0.25">
      <c r="A200" s="23" t="s">
        <v>8719</v>
      </c>
      <c r="B200" s="23" t="s">
        <v>222</v>
      </c>
      <c r="C200" s="23" t="s">
        <v>8696</v>
      </c>
      <c r="D200" s="23" t="s">
        <v>8720</v>
      </c>
      <c r="E200" s="23" t="s">
        <v>8721</v>
      </c>
      <c r="F200" s="23" t="s">
        <v>40</v>
      </c>
      <c r="G200" s="23" t="s">
        <v>8722</v>
      </c>
      <c r="H200" s="23" t="s">
        <v>8723</v>
      </c>
      <c r="I200" s="23" t="s">
        <v>8724</v>
      </c>
      <c r="J200" s="23" t="s">
        <v>15</v>
      </c>
      <c r="K200" s="27" t="s">
        <v>404</v>
      </c>
      <c r="L200" s="23" t="s">
        <v>405</v>
      </c>
      <c r="M200" s="25" t="s">
        <v>18</v>
      </c>
      <c r="N200" s="23" t="s">
        <v>40</v>
      </c>
      <c r="O200" s="23" t="s">
        <v>387</v>
      </c>
      <c r="P200" s="23" t="s">
        <v>40</v>
      </c>
      <c r="Q200" s="23" t="s">
        <v>40</v>
      </c>
      <c r="R200" s="23" t="s">
        <v>223</v>
      </c>
      <c r="S200" s="23" t="s">
        <v>8725</v>
      </c>
      <c r="T200" s="23" t="s">
        <v>40</v>
      </c>
    </row>
    <row r="201" spans="1:20" x14ac:dyDescent="0.25">
      <c r="A201" s="23" t="s">
        <v>8726</v>
      </c>
      <c r="B201" s="23" t="s">
        <v>222</v>
      </c>
      <c r="C201" s="23" t="s">
        <v>8727</v>
      </c>
      <c r="D201" s="23" t="s">
        <v>8728</v>
      </c>
      <c r="E201" s="23" t="s">
        <v>8729</v>
      </c>
      <c r="F201" s="23" t="s">
        <v>40</v>
      </c>
      <c r="G201" s="23" t="s">
        <v>8730</v>
      </c>
      <c r="H201" s="23" t="s">
        <v>8731</v>
      </c>
      <c r="I201" s="23" t="s">
        <v>8732</v>
      </c>
      <c r="J201" s="23" t="s">
        <v>801</v>
      </c>
      <c r="K201" s="26" t="s">
        <v>396</v>
      </c>
      <c r="L201" s="23" t="s">
        <v>13</v>
      </c>
      <c r="M201" s="25" t="s">
        <v>18</v>
      </c>
      <c r="N201" s="23" t="s">
        <v>40</v>
      </c>
      <c r="O201" s="23" t="s">
        <v>387</v>
      </c>
      <c r="P201" s="23" t="s">
        <v>40</v>
      </c>
      <c r="Q201" s="23" t="s">
        <v>40</v>
      </c>
      <c r="R201" s="23" t="s">
        <v>223</v>
      </c>
      <c r="S201" s="23" t="s">
        <v>40</v>
      </c>
      <c r="T201" s="23" t="s">
        <v>8733</v>
      </c>
    </row>
    <row r="202" spans="1:20" x14ac:dyDescent="0.25">
      <c r="A202" s="23" t="s">
        <v>8734</v>
      </c>
      <c r="B202" s="23" t="s">
        <v>222</v>
      </c>
      <c r="C202" s="23" t="s">
        <v>951</v>
      </c>
      <c r="D202" s="23" t="s">
        <v>8735</v>
      </c>
      <c r="E202" s="23" t="s">
        <v>3835</v>
      </c>
      <c r="F202" s="23" t="s">
        <v>40</v>
      </c>
      <c r="G202" s="23" t="s">
        <v>8736</v>
      </c>
      <c r="H202" s="23" t="s">
        <v>8737</v>
      </c>
      <c r="I202" s="23" t="s">
        <v>8738</v>
      </c>
      <c r="J202" s="23" t="s">
        <v>385</v>
      </c>
      <c r="K202" s="32" t="s">
        <v>747</v>
      </c>
      <c r="L202" s="23" t="s">
        <v>490</v>
      </c>
      <c r="M202" s="25" t="s">
        <v>18</v>
      </c>
      <c r="N202" s="23" t="s">
        <v>40</v>
      </c>
      <c r="O202" s="23" t="s">
        <v>387</v>
      </c>
      <c r="P202" s="23" t="s">
        <v>40</v>
      </c>
      <c r="Q202" s="23" t="s">
        <v>40</v>
      </c>
      <c r="R202" s="23" t="s">
        <v>223</v>
      </c>
      <c r="S202" s="23" t="s">
        <v>40</v>
      </c>
      <c r="T202" s="23" t="s">
        <v>40</v>
      </c>
    </row>
    <row r="203" spans="1:20" x14ac:dyDescent="0.25">
      <c r="A203" s="23" t="s">
        <v>8739</v>
      </c>
      <c r="B203" s="23" t="s">
        <v>222</v>
      </c>
      <c r="C203" s="23" t="s">
        <v>6700</v>
      </c>
      <c r="D203" s="23" t="s">
        <v>8740</v>
      </c>
      <c r="E203" s="23" t="s">
        <v>8741</v>
      </c>
      <c r="F203" s="23" t="s">
        <v>40</v>
      </c>
      <c r="G203" s="23" t="s">
        <v>8742</v>
      </c>
      <c r="H203" s="23" t="s">
        <v>8743</v>
      </c>
      <c r="I203" s="23" t="s">
        <v>8744</v>
      </c>
      <c r="J203" s="23" t="s">
        <v>525</v>
      </c>
      <c r="K203" s="24" t="s">
        <v>386</v>
      </c>
      <c r="L203" s="23" t="s">
        <v>405</v>
      </c>
      <c r="M203" s="25" t="s">
        <v>18</v>
      </c>
      <c r="N203" s="23" t="s">
        <v>40</v>
      </c>
      <c r="O203" s="23" t="s">
        <v>387</v>
      </c>
      <c r="P203" s="23" t="s">
        <v>40</v>
      </c>
      <c r="Q203" s="23" t="s">
        <v>40</v>
      </c>
      <c r="R203" s="23" t="s">
        <v>223</v>
      </c>
      <c r="S203" s="23" t="s">
        <v>40</v>
      </c>
      <c r="T203" s="23" t="s">
        <v>1639</v>
      </c>
    </row>
    <row r="204" spans="1:20" x14ac:dyDescent="0.25">
      <c r="A204" s="23" t="s">
        <v>8745</v>
      </c>
      <c r="B204" s="23" t="s">
        <v>224</v>
      </c>
      <c r="C204" s="23" t="s">
        <v>944</v>
      </c>
      <c r="D204" s="23" t="s">
        <v>8746</v>
      </c>
      <c r="E204" s="23" t="s">
        <v>3835</v>
      </c>
      <c r="F204" s="23" t="s">
        <v>8747</v>
      </c>
      <c r="G204" s="23" t="s">
        <v>8748</v>
      </c>
      <c r="H204" s="23" t="s">
        <v>8749</v>
      </c>
      <c r="I204" s="23" t="s">
        <v>8750</v>
      </c>
      <c r="J204" s="23" t="s">
        <v>385</v>
      </c>
      <c r="K204" s="24" t="s">
        <v>386</v>
      </c>
      <c r="L204" s="23" t="s">
        <v>13</v>
      </c>
      <c r="M204" s="31" t="s">
        <v>17</v>
      </c>
      <c r="N204" s="23" t="s">
        <v>8751</v>
      </c>
      <c r="O204" s="29" t="s">
        <v>87</v>
      </c>
      <c r="P204" s="23" t="s">
        <v>40</v>
      </c>
      <c r="Q204" s="23" t="s">
        <v>40</v>
      </c>
      <c r="R204" s="23" t="s">
        <v>225</v>
      </c>
      <c r="S204" s="23" t="s">
        <v>40</v>
      </c>
      <c r="T204" s="23" t="s">
        <v>40</v>
      </c>
    </row>
    <row r="205" spans="1:20" x14ac:dyDescent="0.25">
      <c r="A205" s="23" t="s">
        <v>8752</v>
      </c>
      <c r="B205" s="23" t="s">
        <v>224</v>
      </c>
      <c r="C205" s="23" t="s">
        <v>8753</v>
      </c>
      <c r="D205" s="23" t="s">
        <v>8754</v>
      </c>
      <c r="E205" s="23" t="s">
        <v>8755</v>
      </c>
      <c r="F205" s="23" t="s">
        <v>40</v>
      </c>
      <c r="G205" s="23" t="s">
        <v>8756</v>
      </c>
      <c r="H205" s="23" t="s">
        <v>8757</v>
      </c>
      <c r="I205" s="23" t="s">
        <v>8758</v>
      </c>
      <c r="J205" s="23" t="s">
        <v>801</v>
      </c>
      <c r="K205" s="26" t="s">
        <v>396</v>
      </c>
      <c r="L205" s="23" t="s">
        <v>13</v>
      </c>
      <c r="M205" s="25" t="s">
        <v>18</v>
      </c>
      <c r="N205" s="23" t="s">
        <v>40</v>
      </c>
      <c r="O205" s="23" t="s">
        <v>387</v>
      </c>
      <c r="P205" s="23" t="s">
        <v>40</v>
      </c>
      <c r="Q205" s="23" t="s">
        <v>40</v>
      </c>
      <c r="R205" s="23" t="s">
        <v>225</v>
      </c>
      <c r="S205" s="23" t="s">
        <v>40</v>
      </c>
      <c r="T205" s="23" t="s">
        <v>8694</v>
      </c>
    </row>
    <row r="206" spans="1:20" x14ac:dyDescent="0.25">
      <c r="A206" s="23" t="s">
        <v>8759</v>
      </c>
      <c r="B206" s="23" t="s">
        <v>224</v>
      </c>
      <c r="C206" s="23" t="s">
        <v>8753</v>
      </c>
      <c r="D206" s="23" t="s">
        <v>8760</v>
      </c>
      <c r="E206" s="23" t="s">
        <v>8761</v>
      </c>
      <c r="F206" s="23" t="s">
        <v>40</v>
      </c>
      <c r="G206" s="23" t="s">
        <v>8762</v>
      </c>
      <c r="H206" s="23" t="s">
        <v>8763</v>
      </c>
      <c r="I206" s="23" t="s">
        <v>8764</v>
      </c>
      <c r="J206" s="23" t="s">
        <v>801</v>
      </c>
      <c r="K206" s="24" t="s">
        <v>386</v>
      </c>
      <c r="L206" s="23" t="s">
        <v>405</v>
      </c>
      <c r="M206" s="25" t="s">
        <v>18</v>
      </c>
      <c r="N206" s="23" t="s">
        <v>40</v>
      </c>
      <c r="O206" s="23" t="s">
        <v>387</v>
      </c>
      <c r="P206" s="23" t="s">
        <v>40</v>
      </c>
      <c r="Q206" s="23" t="s">
        <v>40</v>
      </c>
      <c r="R206" s="23" t="s">
        <v>225</v>
      </c>
      <c r="S206" s="23" t="s">
        <v>40</v>
      </c>
      <c r="T206" s="23" t="s">
        <v>40</v>
      </c>
    </row>
    <row r="207" spans="1:20" x14ac:dyDescent="0.25">
      <c r="A207" s="23" t="s">
        <v>8765</v>
      </c>
      <c r="B207" s="23" t="s">
        <v>224</v>
      </c>
      <c r="C207" s="23" t="s">
        <v>8753</v>
      </c>
      <c r="D207" s="23" t="s">
        <v>8766</v>
      </c>
      <c r="E207" s="23" t="s">
        <v>8767</v>
      </c>
      <c r="F207" s="23" t="s">
        <v>40</v>
      </c>
      <c r="G207" s="23" t="s">
        <v>8768</v>
      </c>
      <c r="H207" s="23" t="s">
        <v>8769</v>
      </c>
      <c r="I207" s="23" t="s">
        <v>8770</v>
      </c>
      <c r="J207" s="23" t="s">
        <v>801</v>
      </c>
      <c r="K207" s="24" t="s">
        <v>386</v>
      </c>
      <c r="L207" s="23" t="s">
        <v>405</v>
      </c>
      <c r="M207" s="25" t="s">
        <v>18</v>
      </c>
      <c r="N207" s="23" t="s">
        <v>40</v>
      </c>
      <c r="O207" s="23" t="s">
        <v>387</v>
      </c>
      <c r="P207" s="23" t="s">
        <v>40</v>
      </c>
      <c r="Q207" s="23" t="s">
        <v>40</v>
      </c>
      <c r="R207" s="23" t="s">
        <v>225</v>
      </c>
      <c r="S207" s="23" t="s">
        <v>40</v>
      </c>
      <c r="T207" s="23" t="s">
        <v>40</v>
      </c>
    </row>
    <row r="208" spans="1:20" x14ac:dyDescent="0.25">
      <c r="A208" s="23" t="s">
        <v>8771</v>
      </c>
      <c r="B208" s="23" t="s">
        <v>224</v>
      </c>
      <c r="C208" s="23" t="s">
        <v>8772</v>
      </c>
      <c r="D208" s="23" t="s">
        <v>8773</v>
      </c>
      <c r="E208" s="23" t="s">
        <v>3835</v>
      </c>
      <c r="F208" s="23" t="s">
        <v>40</v>
      </c>
      <c r="G208" s="23" t="s">
        <v>8774</v>
      </c>
      <c r="H208" s="23" t="s">
        <v>8775</v>
      </c>
      <c r="I208" s="23" t="s">
        <v>8776</v>
      </c>
      <c r="J208" s="23" t="s">
        <v>14</v>
      </c>
      <c r="K208" s="24" t="s">
        <v>386</v>
      </c>
      <c r="L208" s="23" t="s">
        <v>405</v>
      </c>
      <c r="M208" s="25" t="s">
        <v>18</v>
      </c>
      <c r="N208" s="23" t="s">
        <v>40</v>
      </c>
      <c r="O208" s="23" t="s">
        <v>387</v>
      </c>
      <c r="P208" s="23" t="s">
        <v>40</v>
      </c>
      <c r="Q208" s="23" t="s">
        <v>40</v>
      </c>
      <c r="R208" s="23" t="s">
        <v>225</v>
      </c>
      <c r="S208" s="23" t="s">
        <v>40</v>
      </c>
      <c r="T208" s="23" t="s">
        <v>1639</v>
      </c>
    </row>
    <row r="209" spans="1:20" x14ac:dyDescent="0.25">
      <c r="A209" s="23" t="s">
        <v>8777</v>
      </c>
      <c r="B209" s="23" t="s">
        <v>224</v>
      </c>
      <c r="C209" s="23" t="s">
        <v>8772</v>
      </c>
      <c r="D209" s="23" t="s">
        <v>8778</v>
      </c>
      <c r="E209" s="23" t="s">
        <v>8779</v>
      </c>
      <c r="F209" s="23" t="s">
        <v>40</v>
      </c>
      <c r="G209" s="23" t="s">
        <v>8780</v>
      </c>
      <c r="H209" s="23" t="s">
        <v>8781</v>
      </c>
      <c r="I209" s="23" t="s">
        <v>8782</v>
      </c>
      <c r="J209" s="23" t="s">
        <v>15</v>
      </c>
      <c r="K209" s="27" t="s">
        <v>404</v>
      </c>
      <c r="L209" s="23" t="s">
        <v>405</v>
      </c>
      <c r="M209" s="25" t="s">
        <v>18</v>
      </c>
      <c r="N209" s="23" t="s">
        <v>40</v>
      </c>
      <c r="O209" s="23" t="s">
        <v>387</v>
      </c>
      <c r="P209" s="23" t="s">
        <v>40</v>
      </c>
      <c r="Q209" s="23" t="s">
        <v>40</v>
      </c>
      <c r="R209" s="23" t="s">
        <v>225</v>
      </c>
      <c r="S209" s="23" t="s">
        <v>40</v>
      </c>
      <c r="T209" s="23" t="s">
        <v>40</v>
      </c>
    </row>
    <row r="210" spans="1:20" x14ac:dyDescent="0.25">
      <c r="A210" s="23" t="s">
        <v>8783</v>
      </c>
      <c r="B210" s="23" t="s">
        <v>224</v>
      </c>
      <c r="C210" s="23" t="s">
        <v>6700</v>
      </c>
      <c r="D210" s="23" t="s">
        <v>8784</v>
      </c>
      <c r="E210" s="23" t="s">
        <v>5856</v>
      </c>
      <c r="F210" s="23" t="s">
        <v>40</v>
      </c>
      <c r="G210" s="23" t="s">
        <v>8785</v>
      </c>
      <c r="H210" s="23" t="s">
        <v>8786</v>
      </c>
      <c r="I210" s="23" t="s">
        <v>7013</v>
      </c>
      <c r="J210" s="23" t="s">
        <v>525</v>
      </c>
      <c r="K210" s="27" t="s">
        <v>404</v>
      </c>
      <c r="L210" s="23" t="s">
        <v>490</v>
      </c>
      <c r="M210" s="25" t="s">
        <v>18</v>
      </c>
      <c r="N210" s="23" t="s">
        <v>40</v>
      </c>
      <c r="O210" s="23" t="s">
        <v>387</v>
      </c>
      <c r="P210" s="23" t="s">
        <v>40</v>
      </c>
      <c r="Q210" s="23" t="s">
        <v>40</v>
      </c>
      <c r="R210" s="23" t="s">
        <v>225</v>
      </c>
      <c r="S210" s="23" t="s">
        <v>40</v>
      </c>
      <c r="T210" s="23" t="s">
        <v>40</v>
      </c>
    </row>
    <row r="211" spans="1:20" x14ac:dyDescent="0.25">
      <c r="A211" s="23" t="s">
        <v>8787</v>
      </c>
      <c r="B211" s="23" t="s">
        <v>226</v>
      </c>
      <c r="C211" s="23" t="s">
        <v>944</v>
      </c>
      <c r="D211" s="23" t="s">
        <v>8788</v>
      </c>
      <c r="E211" s="23" t="s">
        <v>3835</v>
      </c>
      <c r="F211" s="23" t="s">
        <v>8789</v>
      </c>
      <c r="G211" s="23" t="s">
        <v>8790</v>
      </c>
      <c r="H211" s="23" t="s">
        <v>8791</v>
      </c>
      <c r="I211" s="23" t="s">
        <v>8792</v>
      </c>
      <c r="J211" s="23" t="s">
        <v>385</v>
      </c>
      <c r="K211" s="24" t="s">
        <v>386</v>
      </c>
      <c r="L211" s="23" t="s">
        <v>13</v>
      </c>
      <c r="M211" s="31" t="s">
        <v>17</v>
      </c>
      <c r="N211" s="23" t="s">
        <v>8793</v>
      </c>
      <c r="O211" s="29" t="s">
        <v>87</v>
      </c>
      <c r="P211" s="23" t="s">
        <v>40</v>
      </c>
      <c r="Q211" s="23" t="s">
        <v>40</v>
      </c>
      <c r="R211" s="23" t="s">
        <v>227</v>
      </c>
      <c r="S211" s="23" t="s">
        <v>40</v>
      </c>
      <c r="T211" s="23" t="s">
        <v>40</v>
      </c>
    </row>
    <row r="212" spans="1:20" x14ac:dyDescent="0.25">
      <c r="A212" s="23" t="s">
        <v>8794</v>
      </c>
      <c r="B212" s="23" t="s">
        <v>226</v>
      </c>
      <c r="C212" s="23" t="s">
        <v>8795</v>
      </c>
      <c r="D212" s="23" t="s">
        <v>8796</v>
      </c>
      <c r="E212" s="23" t="s">
        <v>3835</v>
      </c>
      <c r="F212" s="23" t="s">
        <v>40</v>
      </c>
      <c r="G212" s="23" t="s">
        <v>8797</v>
      </c>
      <c r="H212" s="23" t="s">
        <v>8798</v>
      </c>
      <c r="I212" s="23" t="s">
        <v>8799</v>
      </c>
      <c r="J212" s="23" t="s">
        <v>14</v>
      </c>
      <c r="K212" s="24" t="s">
        <v>386</v>
      </c>
      <c r="L212" s="23" t="s">
        <v>405</v>
      </c>
      <c r="M212" s="25" t="s">
        <v>18</v>
      </c>
      <c r="N212" s="23" t="s">
        <v>40</v>
      </c>
      <c r="O212" s="23" t="s">
        <v>387</v>
      </c>
      <c r="P212" s="23" t="s">
        <v>40</v>
      </c>
      <c r="Q212" s="23" t="s">
        <v>40</v>
      </c>
      <c r="R212" s="23" t="s">
        <v>227</v>
      </c>
      <c r="S212" s="23" t="s">
        <v>40</v>
      </c>
      <c r="T212" s="23" t="s">
        <v>8694</v>
      </c>
    </row>
    <row r="213" spans="1:20" x14ac:dyDescent="0.25">
      <c r="A213" s="23" t="s">
        <v>8800</v>
      </c>
      <c r="B213" s="23" t="s">
        <v>226</v>
      </c>
      <c r="C213" s="23" t="s">
        <v>8801</v>
      </c>
      <c r="D213" s="23" t="s">
        <v>8802</v>
      </c>
      <c r="E213" s="23" t="s">
        <v>3835</v>
      </c>
      <c r="F213" s="23" t="s">
        <v>40</v>
      </c>
      <c r="G213" s="23" t="s">
        <v>8803</v>
      </c>
      <c r="H213" s="23" t="s">
        <v>8804</v>
      </c>
      <c r="I213" s="23" t="s">
        <v>8805</v>
      </c>
      <c r="J213" s="23" t="s">
        <v>14</v>
      </c>
      <c r="K213" s="26" t="s">
        <v>396</v>
      </c>
      <c r="L213" s="23" t="s">
        <v>13</v>
      </c>
      <c r="M213" s="25" t="s">
        <v>18</v>
      </c>
      <c r="N213" s="23" t="s">
        <v>40</v>
      </c>
      <c r="O213" s="23" t="s">
        <v>387</v>
      </c>
      <c r="P213" s="23" t="s">
        <v>40</v>
      </c>
      <c r="Q213" s="23" t="s">
        <v>40</v>
      </c>
      <c r="R213" s="23" t="s">
        <v>227</v>
      </c>
      <c r="S213" s="23" t="s">
        <v>40</v>
      </c>
      <c r="T213" s="23" t="s">
        <v>8694</v>
      </c>
    </row>
    <row r="214" spans="1:20" x14ac:dyDescent="0.25">
      <c r="A214" s="23" t="s">
        <v>8806</v>
      </c>
      <c r="B214" s="23" t="s">
        <v>226</v>
      </c>
      <c r="C214" s="23" t="s">
        <v>8807</v>
      </c>
      <c r="D214" s="23" t="s">
        <v>8808</v>
      </c>
      <c r="E214" s="23" t="s">
        <v>3835</v>
      </c>
      <c r="F214" s="23" t="s">
        <v>40</v>
      </c>
      <c r="G214" s="23" t="s">
        <v>8809</v>
      </c>
      <c r="H214" s="23" t="s">
        <v>8810</v>
      </c>
      <c r="I214" s="23" t="s">
        <v>8811</v>
      </c>
      <c r="J214" s="23" t="s">
        <v>14</v>
      </c>
      <c r="K214" s="24" t="s">
        <v>386</v>
      </c>
      <c r="L214" s="23" t="s">
        <v>405</v>
      </c>
      <c r="M214" s="25" t="s">
        <v>18</v>
      </c>
      <c r="N214" s="23" t="s">
        <v>40</v>
      </c>
      <c r="O214" s="23" t="s">
        <v>387</v>
      </c>
      <c r="P214" s="23" t="s">
        <v>40</v>
      </c>
      <c r="Q214" s="23" t="s">
        <v>40</v>
      </c>
      <c r="R214" s="23" t="s">
        <v>227</v>
      </c>
      <c r="S214" s="23" t="s">
        <v>40</v>
      </c>
      <c r="T214" s="23" t="s">
        <v>8694</v>
      </c>
    </row>
    <row r="215" spans="1:20" x14ac:dyDescent="0.25">
      <c r="A215" s="23" t="s">
        <v>8812</v>
      </c>
      <c r="B215" s="23" t="s">
        <v>226</v>
      </c>
      <c r="C215" s="23" t="s">
        <v>1741</v>
      </c>
      <c r="D215" s="23" t="s">
        <v>8813</v>
      </c>
      <c r="E215" s="23" t="s">
        <v>3835</v>
      </c>
      <c r="F215" s="23" t="s">
        <v>40</v>
      </c>
      <c r="G215" s="23" t="s">
        <v>8814</v>
      </c>
      <c r="H215" s="23" t="s">
        <v>8815</v>
      </c>
      <c r="I215" s="23" t="s">
        <v>8816</v>
      </c>
      <c r="J215" s="23" t="s">
        <v>385</v>
      </c>
      <c r="K215" s="32" t="s">
        <v>747</v>
      </c>
      <c r="L215" s="23" t="s">
        <v>490</v>
      </c>
      <c r="M215" s="25" t="s">
        <v>18</v>
      </c>
      <c r="N215" s="23" t="s">
        <v>40</v>
      </c>
      <c r="O215" s="23" t="s">
        <v>387</v>
      </c>
      <c r="P215" s="23" t="s">
        <v>40</v>
      </c>
      <c r="Q215" s="23" t="s">
        <v>40</v>
      </c>
      <c r="R215" s="23" t="s">
        <v>227</v>
      </c>
      <c r="S215" s="23" t="s">
        <v>40</v>
      </c>
      <c r="T215" s="23" t="s">
        <v>40</v>
      </c>
    </row>
    <row r="216" spans="1:20" x14ac:dyDescent="0.25">
      <c r="A216" s="23" t="s">
        <v>8817</v>
      </c>
      <c r="B216" s="23" t="s">
        <v>226</v>
      </c>
      <c r="C216" s="23" t="s">
        <v>1741</v>
      </c>
      <c r="D216" s="23" t="s">
        <v>8818</v>
      </c>
      <c r="E216" s="23" t="s">
        <v>3835</v>
      </c>
      <c r="F216" s="23" t="s">
        <v>40</v>
      </c>
      <c r="G216" s="23" t="s">
        <v>8819</v>
      </c>
      <c r="H216" s="23" t="s">
        <v>8820</v>
      </c>
      <c r="I216" s="23" t="s">
        <v>8821</v>
      </c>
      <c r="J216" s="23" t="s">
        <v>15</v>
      </c>
      <c r="K216" s="27" t="s">
        <v>404</v>
      </c>
      <c r="L216" s="23" t="s">
        <v>490</v>
      </c>
      <c r="M216" s="25" t="s">
        <v>18</v>
      </c>
      <c r="N216" s="23" t="s">
        <v>40</v>
      </c>
      <c r="O216" s="23" t="s">
        <v>387</v>
      </c>
      <c r="P216" s="23" t="s">
        <v>40</v>
      </c>
      <c r="Q216" s="23" t="s">
        <v>40</v>
      </c>
      <c r="R216" s="23" t="s">
        <v>227</v>
      </c>
      <c r="S216" s="23" t="s">
        <v>40</v>
      </c>
      <c r="T216" s="23" t="s">
        <v>40</v>
      </c>
    </row>
    <row r="217" spans="1:20" x14ac:dyDescent="0.25">
      <c r="A217" s="23" t="s">
        <v>8822</v>
      </c>
      <c r="B217" s="23" t="s">
        <v>226</v>
      </c>
      <c r="C217" s="23" t="s">
        <v>1741</v>
      </c>
      <c r="D217" s="23" t="s">
        <v>8823</v>
      </c>
      <c r="E217" s="23" t="s">
        <v>3835</v>
      </c>
      <c r="F217" s="23" t="s">
        <v>40</v>
      </c>
      <c r="G217" s="23" t="s">
        <v>8824</v>
      </c>
      <c r="H217" s="23" t="s">
        <v>8825</v>
      </c>
      <c r="I217" s="23" t="s">
        <v>8826</v>
      </c>
      <c r="J217" s="23" t="s">
        <v>385</v>
      </c>
      <c r="K217" s="32" t="s">
        <v>747</v>
      </c>
      <c r="L217" s="23" t="s">
        <v>490</v>
      </c>
      <c r="M217" s="25" t="s">
        <v>18</v>
      </c>
      <c r="N217" s="23" t="s">
        <v>40</v>
      </c>
      <c r="O217" s="23" t="s">
        <v>387</v>
      </c>
      <c r="P217" s="23" t="s">
        <v>40</v>
      </c>
      <c r="Q217" s="23" t="s">
        <v>40</v>
      </c>
      <c r="R217" s="23" t="s">
        <v>227</v>
      </c>
      <c r="S217" s="23" t="s">
        <v>40</v>
      </c>
      <c r="T217" s="23" t="s">
        <v>40</v>
      </c>
    </row>
    <row r="218" spans="1:20" x14ac:dyDescent="0.25">
      <c r="A218" s="23" t="s">
        <v>8827</v>
      </c>
      <c r="B218" s="23" t="s">
        <v>226</v>
      </c>
      <c r="C218" s="23" t="s">
        <v>7178</v>
      </c>
      <c r="D218" s="23" t="s">
        <v>8828</v>
      </c>
      <c r="E218" s="23" t="s">
        <v>3835</v>
      </c>
      <c r="F218" s="23" t="s">
        <v>40</v>
      </c>
      <c r="G218" s="23" t="s">
        <v>8829</v>
      </c>
      <c r="H218" s="23" t="s">
        <v>8830</v>
      </c>
      <c r="I218" s="23" t="s">
        <v>8831</v>
      </c>
      <c r="J218" s="23" t="s">
        <v>14</v>
      </c>
      <c r="K218" s="24" t="s">
        <v>386</v>
      </c>
      <c r="L218" s="23" t="s">
        <v>405</v>
      </c>
      <c r="M218" s="25" t="s">
        <v>18</v>
      </c>
      <c r="N218" s="23" t="s">
        <v>40</v>
      </c>
      <c r="O218" s="23" t="s">
        <v>387</v>
      </c>
      <c r="P218" s="23" t="s">
        <v>40</v>
      </c>
      <c r="Q218" s="23" t="s">
        <v>40</v>
      </c>
      <c r="R218" s="23" t="s">
        <v>227</v>
      </c>
      <c r="S218" s="23" t="s">
        <v>40</v>
      </c>
      <c r="T218" s="23" t="s">
        <v>8694</v>
      </c>
    </row>
    <row r="219" spans="1:20" x14ac:dyDescent="0.25">
      <c r="A219" s="23" t="s">
        <v>8832</v>
      </c>
      <c r="B219" s="23" t="s">
        <v>226</v>
      </c>
      <c r="C219" s="23" t="s">
        <v>6700</v>
      </c>
      <c r="D219" s="23" t="s">
        <v>8833</v>
      </c>
      <c r="E219" s="23" t="s">
        <v>8834</v>
      </c>
      <c r="F219" s="23" t="s">
        <v>40</v>
      </c>
      <c r="G219" s="23" t="s">
        <v>8835</v>
      </c>
      <c r="H219" s="23" t="s">
        <v>8836</v>
      </c>
      <c r="I219" s="23" t="s">
        <v>8837</v>
      </c>
      <c r="J219" s="23" t="s">
        <v>525</v>
      </c>
      <c r="K219" s="24" t="s">
        <v>386</v>
      </c>
      <c r="L219" s="23" t="s">
        <v>405</v>
      </c>
      <c r="M219" s="25" t="s">
        <v>18</v>
      </c>
      <c r="N219" s="23" t="s">
        <v>40</v>
      </c>
      <c r="O219" s="23" t="s">
        <v>387</v>
      </c>
      <c r="P219" s="23" t="s">
        <v>40</v>
      </c>
      <c r="Q219" s="23" t="s">
        <v>40</v>
      </c>
      <c r="R219" s="23" t="s">
        <v>227</v>
      </c>
      <c r="S219" s="23" t="s">
        <v>40</v>
      </c>
      <c r="T219" s="23" t="s">
        <v>8694</v>
      </c>
    </row>
    <row r="220" spans="1:20" x14ac:dyDescent="0.25">
      <c r="A220" s="23" t="s">
        <v>8838</v>
      </c>
      <c r="B220" s="23" t="s">
        <v>228</v>
      </c>
      <c r="C220" s="23" t="s">
        <v>944</v>
      </c>
      <c r="D220" s="23" t="s">
        <v>8839</v>
      </c>
      <c r="E220" s="23" t="s">
        <v>3835</v>
      </c>
      <c r="F220" s="23" t="s">
        <v>8840</v>
      </c>
      <c r="G220" s="23" t="s">
        <v>8841</v>
      </c>
      <c r="H220" s="23" t="s">
        <v>8842</v>
      </c>
      <c r="I220" s="23" t="s">
        <v>8843</v>
      </c>
      <c r="J220" s="23" t="s">
        <v>385</v>
      </c>
      <c r="K220" s="24" t="s">
        <v>386</v>
      </c>
      <c r="L220" s="23" t="s">
        <v>13</v>
      </c>
      <c r="M220" s="31" t="s">
        <v>17</v>
      </c>
      <c r="N220" s="23" t="s">
        <v>8844</v>
      </c>
      <c r="O220" s="29" t="s">
        <v>87</v>
      </c>
      <c r="P220" s="23" t="s">
        <v>40</v>
      </c>
      <c r="Q220" s="23" t="s">
        <v>40</v>
      </c>
      <c r="R220" s="23" t="s">
        <v>229</v>
      </c>
      <c r="S220" s="23" t="s">
        <v>40</v>
      </c>
      <c r="T220" s="23" t="s">
        <v>40</v>
      </c>
    </row>
    <row r="221" spans="1:20" x14ac:dyDescent="0.25">
      <c r="A221" s="23" t="s">
        <v>8845</v>
      </c>
      <c r="B221" s="23" t="s">
        <v>228</v>
      </c>
      <c r="C221" s="23" t="s">
        <v>8846</v>
      </c>
      <c r="D221" s="23" t="s">
        <v>8847</v>
      </c>
      <c r="E221" s="23" t="s">
        <v>8755</v>
      </c>
      <c r="F221" s="23" t="s">
        <v>40</v>
      </c>
      <c r="G221" s="23" t="s">
        <v>8848</v>
      </c>
      <c r="H221" s="23" t="s">
        <v>8849</v>
      </c>
      <c r="I221" s="23" t="s">
        <v>8850</v>
      </c>
      <c r="J221" s="23" t="s">
        <v>385</v>
      </c>
      <c r="K221" s="27" t="s">
        <v>404</v>
      </c>
      <c r="L221" s="23" t="s">
        <v>405</v>
      </c>
      <c r="M221" s="25" t="s">
        <v>18</v>
      </c>
      <c r="N221" s="23" t="s">
        <v>40</v>
      </c>
      <c r="O221" s="23" t="s">
        <v>387</v>
      </c>
      <c r="P221" s="23" t="s">
        <v>40</v>
      </c>
      <c r="Q221" s="23" t="s">
        <v>40</v>
      </c>
      <c r="R221" s="23" t="s">
        <v>229</v>
      </c>
      <c r="S221" s="23" t="s">
        <v>40</v>
      </c>
      <c r="T221" s="23" t="s">
        <v>7837</v>
      </c>
    </row>
    <row r="222" spans="1:20" x14ac:dyDescent="0.25">
      <c r="A222" s="23" t="s">
        <v>8851</v>
      </c>
      <c r="B222" s="23" t="s">
        <v>228</v>
      </c>
      <c r="C222" s="23" t="s">
        <v>8846</v>
      </c>
      <c r="D222" s="23" t="s">
        <v>8852</v>
      </c>
      <c r="E222" s="23" t="s">
        <v>3835</v>
      </c>
      <c r="F222" s="23" t="s">
        <v>40</v>
      </c>
      <c r="G222" s="23" t="s">
        <v>8853</v>
      </c>
      <c r="H222" s="23" t="s">
        <v>8854</v>
      </c>
      <c r="I222" s="23" t="s">
        <v>8855</v>
      </c>
      <c r="J222" s="23" t="s">
        <v>385</v>
      </c>
      <c r="K222" s="27" t="s">
        <v>404</v>
      </c>
      <c r="L222" s="23" t="s">
        <v>405</v>
      </c>
      <c r="M222" s="25" t="s">
        <v>18</v>
      </c>
      <c r="N222" s="23" t="s">
        <v>40</v>
      </c>
      <c r="O222" s="23" t="s">
        <v>387</v>
      </c>
      <c r="P222" s="23" t="s">
        <v>40</v>
      </c>
      <c r="Q222" s="23" t="s">
        <v>40</v>
      </c>
      <c r="R222" s="23" t="s">
        <v>229</v>
      </c>
      <c r="S222" s="23" t="s">
        <v>40</v>
      </c>
      <c r="T222" s="23" t="s">
        <v>7837</v>
      </c>
    </row>
    <row r="223" spans="1:20" x14ac:dyDescent="0.25">
      <c r="A223" s="23" t="s">
        <v>8856</v>
      </c>
      <c r="B223" s="23" t="s">
        <v>228</v>
      </c>
      <c r="C223" s="23" t="s">
        <v>8846</v>
      </c>
      <c r="D223" s="23" t="s">
        <v>8857</v>
      </c>
      <c r="E223" s="23" t="s">
        <v>3835</v>
      </c>
      <c r="F223" s="23" t="s">
        <v>40</v>
      </c>
      <c r="G223" s="23" t="s">
        <v>8858</v>
      </c>
      <c r="H223" s="23" t="s">
        <v>8859</v>
      </c>
      <c r="I223" s="23" t="s">
        <v>8860</v>
      </c>
      <c r="J223" s="23" t="s">
        <v>385</v>
      </c>
      <c r="K223" s="32" t="s">
        <v>747</v>
      </c>
      <c r="L223" s="23" t="s">
        <v>490</v>
      </c>
      <c r="M223" s="25" t="s">
        <v>18</v>
      </c>
      <c r="N223" s="23" t="s">
        <v>40</v>
      </c>
      <c r="O223" s="23" t="s">
        <v>387</v>
      </c>
      <c r="P223" s="23" t="s">
        <v>40</v>
      </c>
      <c r="Q223" s="23" t="s">
        <v>40</v>
      </c>
      <c r="R223" s="23" t="s">
        <v>229</v>
      </c>
      <c r="S223" s="23" t="s">
        <v>40</v>
      </c>
      <c r="T223" s="23" t="s">
        <v>40</v>
      </c>
    </row>
    <row r="224" spans="1:20" x14ac:dyDescent="0.25">
      <c r="A224" s="23" t="s">
        <v>8861</v>
      </c>
      <c r="B224" s="23" t="s">
        <v>228</v>
      </c>
      <c r="C224" s="23" t="s">
        <v>8846</v>
      </c>
      <c r="D224" s="23" t="s">
        <v>8862</v>
      </c>
      <c r="E224" s="23" t="s">
        <v>8863</v>
      </c>
      <c r="F224" s="23" t="s">
        <v>40</v>
      </c>
      <c r="G224" s="23" t="s">
        <v>8864</v>
      </c>
      <c r="H224" s="23" t="s">
        <v>8865</v>
      </c>
      <c r="I224" s="23" t="s">
        <v>8866</v>
      </c>
      <c r="J224" s="23" t="s">
        <v>385</v>
      </c>
      <c r="K224" s="32" t="s">
        <v>747</v>
      </c>
      <c r="L224" s="23" t="s">
        <v>490</v>
      </c>
      <c r="M224" s="25" t="s">
        <v>18</v>
      </c>
      <c r="N224" s="23" t="s">
        <v>40</v>
      </c>
      <c r="O224" s="23" t="s">
        <v>387</v>
      </c>
      <c r="P224" s="23" t="s">
        <v>40</v>
      </c>
      <c r="Q224" s="23" t="s">
        <v>40</v>
      </c>
      <c r="R224" s="23" t="s">
        <v>229</v>
      </c>
      <c r="S224" s="23" t="s">
        <v>40</v>
      </c>
      <c r="T224" s="23" t="s">
        <v>40</v>
      </c>
    </row>
    <row r="225" spans="1:20" x14ac:dyDescent="0.25">
      <c r="A225" s="23" t="s">
        <v>8867</v>
      </c>
      <c r="B225" s="23" t="s">
        <v>228</v>
      </c>
      <c r="C225" s="23" t="s">
        <v>8846</v>
      </c>
      <c r="D225" s="23" t="s">
        <v>8868</v>
      </c>
      <c r="E225" s="23" t="s">
        <v>3835</v>
      </c>
      <c r="F225" s="23" t="s">
        <v>40</v>
      </c>
      <c r="G225" s="23" t="s">
        <v>8869</v>
      </c>
      <c r="H225" s="23" t="s">
        <v>8870</v>
      </c>
      <c r="I225" s="23" t="s">
        <v>8871</v>
      </c>
      <c r="J225" s="23" t="s">
        <v>385</v>
      </c>
      <c r="K225" s="32" t="s">
        <v>747</v>
      </c>
      <c r="L225" s="23" t="s">
        <v>490</v>
      </c>
      <c r="M225" s="25" t="s">
        <v>18</v>
      </c>
      <c r="N225" s="23" t="s">
        <v>40</v>
      </c>
      <c r="O225" s="23" t="s">
        <v>387</v>
      </c>
      <c r="P225" s="23" t="s">
        <v>40</v>
      </c>
      <c r="Q225" s="23" t="s">
        <v>40</v>
      </c>
      <c r="R225" s="23" t="s">
        <v>229</v>
      </c>
      <c r="S225" s="23" t="s">
        <v>40</v>
      </c>
      <c r="T225" s="23" t="s">
        <v>40</v>
      </c>
    </row>
    <row r="226" spans="1:20" x14ac:dyDescent="0.25">
      <c r="A226" s="23" t="s">
        <v>8872</v>
      </c>
      <c r="B226" s="23" t="s">
        <v>228</v>
      </c>
      <c r="C226" s="23" t="s">
        <v>6700</v>
      </c>
      <c r="D226" s="23" t="s">
        <v>8873</v>
      </c>
      <c r="E226" s="23" t="s">
        <v>8874</v>
      </c>
      <c r="F226" s="23" t="s">
        <v>40</v>
      </c>
      <c r="G226" s="23" t="s">
        <v>8875</v>
      </c>
      <c r="H226" s="23" t="s">
        <v>8876</v>
      </c>
      <c r="I226" s="23" t="s">
        <v>8877</v>
      </c>
      <c r="J226" s="23" t="s">
        <v>525</v>
      </c>
      <c r="K226" s="27" t="s">
        <v>404</v>
      </c>
      <c r="L226" s="23" t="s">
        <v>490</v>
      </c>
      <c r="M226" s="25" t="s">
        <v>18</v>
      </c>
      <c r="N226" s="23" t="s">
        <v>40</v>
      </c>
      <c r="O226" s="23" t="s">
        <v>387</v>
      </c>
      <c r="P226" s="23" t="s">
        <v>40</v>
      </c>
      <c r="Q226" s="23" t="s">
        <v>40</v>
      </c>
      <c r="R226" s="23" t="s">
        <v>229</v>
      </c>
      <c r="S226" s="23" t="s">
        <v>40</v>
      </c>
      <c r="T226" s="23" t="s">
        <v>40</v>
      </c>
    </row>
    <row r="227" spans="1:20" x14ac:dyDescent="0.25">
      <c r="A227" s="23" t="s">
        <v>8878</v>
      </c>
      <c r="B227" s="23" t="s">
        <v>8879</v>
      </c>
      <c r="C227" s="23" t="s">
        <v>8880</v>
      </c>
      <c r="D227" s="23" t="s">
        <v>8881</v>
      </c>
      <c r="E227" s="23" t="s">
        <v>8882</v>
      </c>
      <c r="F227" s="23" t="s">
        <v>40</v>
      </c>
      <c r="G227" s="23" t="s">
        <v>8883</v>
      </c>
      <c r="H227" s="23" t="s">
        <v>8884</v>
      </c>
      <c r="I227" s="23" t="s">
        <v>8885</v>
      </c>
      <c r="J227" s="23" t="s">
        <v>385</v>
      </c>
      <c r="K227" s="27" t="s">
        <v>404</v>
      </c>
      <c r="L227" s="23" t="s">
        <v>405</v>
      </c>
      <c r="M227" s="25" t="s">
        <v>18</v>
      </c>
      <c r="N227" s="23" t="s">
        <v>40</v>
      </c>
      <c r="O227" s="23" t="s">
        <v>387</v>
      </c>
      <c r="P227" s="23" t="s">
        <v>40</v>
      </c>
      <c r="Q227" s="23" t="s">
        <v>40</v>
      </c>
      <c r="R227" s="23" t="s">
        <v>327</v>
      </c>
      <c r="S227" s="23" t="s">
        <v>40</v>
      </c>
      <c r="T227" s="23" t="s">
        <v>40</v>
      </c>
    </row>
    <row r="228" spans="1:20" x14ac:dyDescent="0.25">
      <c r="A228" s="23" t="s">
        <v>8886</v>
      </c>
      <c r="B228" s="23" t="s">
        <v>8879</v>
      </c>
      <c r="C228" s="23" t="s">
        <v>8887</v>
      </c>
      <c r="D228" s="23" t="s">
        <v>8888</v>
      </c>
      <c r="E228" s="23" t="s">
        <v>8882</v>
      </c>
      <c r="F228" s="23" t="s">
        <v>40</v>
      </c>
      <c r="G228" s="23" t="s">
        <v>8889</v>
      </c>
      <c r="H228" s="23" t="s">
        <v>8890</v>
      </c>
      <c r="I228" s="23" t="s">
        <v>8891</v>
      </c>
      <c r="J228" s="23" t="s">
        <v>14</v>
      </c>
      <c r="K228" s="26" t="s">
        <v>396</v>
      </c>
      <c r="L228" s="23" t="s">
        <v>13</v>
      </c>
      <c r="M228" s="28" t="s">
        <v>16</v>
      </c>
      <c r="N228" s="23" t="s">
        <v>1457</v>
      </c>
      <c r="O228" s="29" t="s">
        <v>87</v>
      </c>
      <c r="P228" s="23" t="s">
        <v>40</v>
      </c>
      <c r="Q228" s="23" t="s">
        <v>40</v>
      </c>
      <c r="R228" s="23" t="s">
        <v>327</v>
      </c>
      <c r="S228" s="23" t="s">
        <v>40</v>
      </c>
      <c r="T228" s="23" t="s">
        <v>40</v>
      </c>
    </row>
    <row r="229" spans="1:20" x14ac:dyDescent="0.25">
      <c r="A229" s="23" t="s">
        <v>8892</v>
      </c>
      <c r="B229" s="23" t="s">
        <v>8879</v>
      </c>
      <c r="C229" s="23" t="s">
        <v>8887</v>
      </c>
      <c r="D229" s="23" t="s">
        <v>8893</v>
      </c>
      <c r="E229" s="23" t="s">
        <v>8894</v>
      </c>
      <c r="F229" s="23" t="s">
        <v>40</v>
      </c>
      <c r="G229" s="23" t="s">
        <v>8895</v>
      </c>
      <c r="H229" s="23" t="s">
        <v>8896</v>
      </c>
      <c r="I229" s="23" t="s">
        <v>8897</v>
      </c>
      <c r="J229" s="23" t="s">
        <v>14</v>
      </c>
      <c r="K229" s="26" t="s">
        <v>396</v>
      </c>
      <c r="L229" s="23" t="s">
        <v>13</v>
      </c>
      <c r="M229" s="25" t="s">
        <v>18</v>
      </c>
      <c r="N229" s="23" t="s">
        <v>40</v>
      </c>
      <c r="O229" s="23" t="s">
        <v>387</v>
      </c>
      <c r="P229" s="23" t="s">
        <v>40</v>
      </c>
      <c r="Q229" s="23" t="s">
        <v>40</v>
      </c>
      <c r="R229" s="23" t="s">
        <v>327</v>
      </c>
      <c r="S229" s="23" t="s">
        <v>40</v>
      </c>
      <c r="T229" s="23" t="s">
        <v>8898</v>
      </c>
    </row>
    <row r="230" spans="1:20" x14ac:dyDescent="0.25">
      <c r="A230" s="23" t="s">
        <v>8899</v>
      </c>
      <c r="B230" s="23" t="s">
        <v>8879</v>
      </c>
      <c r="C230" s="23" t="s">
        <v>8887</v>
      </c>
      <c r="D230" s="23" t="s">
        <v>8900</v>
      </c>
      <c r="E230" s="23" t="s">
        <v>8901</v>
      </c>
      <c r="F230" s="23" t="s">
        <v>40</v>
      </c>
      <c r="G230" s="23" t="s">
        <v>8902</v>
      </c>
      <c r="H230" s="23" t="s">
        <v>8903</v>
      </c>
      <c r="I230" s="23" t="s">
        <v>8904</v>
      </c>
      <c r="J230" s="23" t="s">
        <v>385</v>
      </c>
      <c r="K230" s="27" t="s">
        <v>404</v>
      </c>
      <c r="L230" s="23" t="s">
        <v>405</v>
      </c>
      <c r="M230" s="25" t="s">
        <v>18</v>
      </c>
      <c r="N230" s="23" t="s">
        <v>40</v>
      </c>
      <c r="O230" s="23" t="s">
        <v>387</v>
      </c>
      <c r="P230" s="23" t="s">
        <v>40</v>
      </c>
      <c r="Q230" s="23" t="s">
        <v>40</v>
      </c>
      <c r="R230" s="23" t="s">
        <v>327</v>
      </c>
      <c r="S230" s="23" t="s">
        <v>8905</v>
      </c>
      <c r="T230" s="23" t="s">
        <v>1588</v>
      </c>
    </row>
    <row r="231" spans="1:20" x14ac:dyDescent="0.25">
      <c r="A231" s="23" t="s">
        <v>8906</v>
      </c>
      <c r="B231" s="23" t="s">
        <v>8879</v>
      </c>
      <c r="C231" s="23" t="s">
        <v>8907</v>
      </c>
      <c r="D231" s="23" t="s">
        <v>8908</v>
      </c>
      <c r="E231" s="23" t="s">
        <v>8882</v>
      </c>
      <c r="F231" s="23" t="s">
        <v>40</v>
      </c>
      <c r="G231" s="23" t="s">
        <v>8909</v>
      </c>
      <c r="H231" s="23" t="s">
        <v>8910</v>
      </c>
      <c r="I231" s="23" t="s">
        <v>8911</v>
      </c>
      <c r="J231" s="23" t="s">
        <v>385</v>
      </c>
      <c r="K231" s="27" t="s">
        <v>404</v>
      </c>
      <c r="L231" s="23" t="s">
        <v>405</v>
      </c>
      <c r="M231" s="25" t="s">
        <v>18</v>
      </c>
      <c r="N231" s="23" t="s">
        <v>40</v>
      </c>
      <c r="O231" s="23" t="s">
        <v>387</v>
      </c>
      <c r="P231" s="23" t="s">
        <v>40</v>
      </c>
      <c r="Q231" s="23" t="s">
        <v>40</v>
      </c>
      <c r="R231" s="23" t="s">
        <v>327</v>
      </c>
      <c r="S231" s="23" t="s">
        <v>40</v>
      </c>
      <c r="T231" s="23" t="s">
        <v>7837</v>
      </c>
    </row>
    <row r="232" spans="1:20" x14ac:dyDescent="0.25">
      <c r="A232" s="23" t="s">
        <v>8912</v>
      </c>
      <c r="B232" s="23" t="s">
        <v>8879</v>
      </c>
      <c r="C232" s="23" t="s">
        <v>8913</v>
      </c>
      <c r="D232" s="23" t="s">
        <v>8914</v>
      </c>
      <c r="E232" s="23" t="s">
        <v>8882</v>
      </c>
      <c r="F232" s="23" t="s">
        <v>40</v>
      </c>
      <c r="G232" s="23" t="s">
        <v>8915</v>
      </c>
      <c r="H232" s="23" t="s">
        <v>8916</v>
      </c>
      <c r="I232" s="23" t="s">
        <v>8917</v>
      </c>
      <c r="J232" s="23" t="s">
        <v>385</v>
      </c>
      <c r="K232" s="27" t="s">
        <v>404</v>
      </c>
      <c r="L232" s="23" t="s">
        <v>405</v>
      </c>
      <c r="M232" s="25" t="s">
        <v>18</v>
      </c>
      <c r="N232" s="23" t="s">
        <v>40</v>
      </c>
      <c r="O232" s="23" t="s">
        <v>387</v>
      </c>
      <c r="P232" s="23" t="s">
        <v>40</v>
      </c>
      <c r="Q232" s="23" t="s">
        <v>40</v>
      </c>
      <c r="R232" s="23" t="s">
        <v>327</v>
      </c>
      <c r="S232" s="23" t="s">
        <v>40</v>
      </c>
      <c r="T232" s="23" t="s">
        <v>40</v>
      </c>
    </row>
    <row r="233" spans="1:20" x14ac:dyDescent="0.25">
      <c r="A233" s="23" t="s">
        <v>8918</v>
      </c>
      <c r="B233" s="23" t="s">
        <v>8879</v>
      </c>
      <c r="C233" s="23" t="s">
        <v>8913</v>
      </c>
      <c r="D233" s="23" t="s">
        <v>8919</v>
      </c>
      <c r="E233" s="23" t="s">
        <v>8920</v>
      </c>
      <c r="F233" s="23" t="s">
        <v>40</v>
      </c>
      <c r="G233" s="23" t="s">
        <v>8921</v>
      </c>
      <c r="H233" s="23" t="s">
        <v>8922</v>
      </c>
      <c r="I233" s="23" t="s">
        <v>8923</v>
      </c>
      <c r="J233" s="23" t="s">
        <v>15</v>
      </c>
      <c r="K233" s="27" t="s">
        <v>404</v>
      </c>
      <c r="L233" s="23" t="s">
        <v>405</v>
      </c>
      <c r="M233" s="25" t="s">
        <v>18</v>
      </c>
      <c r="N233" s="23" t="s">
        <v>40</v>
      </c>
      <c r="O233" s="23" t="s">
        <v>387</v>
      </c>
      <c r="P233" s="23" t="s">
        <v>40</v>
      </c>
      <c r="Q233" s="23" t="s">
        <v>40</v>
      </c>
      <c r="R233" s="23" t="s">
        <v>327</v>
      </c>
      <c r="S233" s="23" t="s">
        <v>8924</v>
      </c>
      <c r="T233" s="23" t="s">
        <v>40</v>
      </c>
    </row>
    <row r="234" spans="1:20" x14ac:dyDescent="0.25">
      <c r="A234" s="23" t="s">
        <v>8925</v>
      </c>
      <c r="B234" s="23" t="s">
        <v>8879</v>
      </c>
      <c r="C234" s="23" t="s">
        <v>8926</v>
      </c>
      <c r="D234" s="23" t="s">
        <v>8927</v>
      </c>
      <c r="E234" s="23" t="s">
        <v>8882</v>
      </c>
      <c r="F234" s="23" t="s">
        <v>40</v>
      </c>
      <c r="G234" s="23" t="s">
        <v>8928</v>
      </c>
      <c r="H234" s="23" t="s">
        <v>8929</v>
      </c>
      <c r="I234" s="23" t="s">
        <v>8930</v>
      </c>
      <c r="J234" s="23" t="s">
        <v>14</v>
      </c>
      <c r="K234" s="24" t="s">
        <v>386</v>
      </c>
      <c r="L234" s="23" t="s">
        <v>405</v>
      </c>
      <c r="M234" s="25" t="s">
        <v>18</v>
      </c>
      <c r="N234" s="23" t="s">
        <v>40</v>
      </c>
      <c r="O234" s="23" t="s">
        <v>387</v>
      </c>
      <c r="P234" s="23" t="s">
        <v>40</v>
      </c>
      <c r="Q234" s="23" t="s">
        <v>40</v>
      </c>
      <c r="R234" s="23" t="s">
        <v>327</v>
      </c>
      <c r="S234" s="23" t="s">
        <v>40</v>
      </c>
      <c r="T234" s="23" t="s">
        <v>40</v>
      </c>
    </row>
    <row r="235" spans="1:20" x14ac:dyDescent="0.25">
      <c r="A235" s="23" t="s">
        <v>8931</v>
      </c>
      <c r="B235" s="23" t="s">
        <v>8879</v>
      </c>
      <c r="C235" s="23" t="s">
        <v>8926</v>
      </c>
      <c r="D235" s="23" t="s">
        <v>8932</v>
      </c>
      <c r="E235" s="23" t="s">
        <v>8933</v>
      </c>
      <c r="F235" s="23" t="s">
        <v>40</v>
      </c>
      <c r="G235" s="23" t="s">
        <v>8934</v>
      </c>
      <c r="H235" s="23" t="s">
        <v>8935</v>
      </c>
      <c r="I235" s="23" t="s">
        <v>8936</v>
      </c>
      <c r="J235" s="23" t="s">
        <v>14</v>
      </c>
      <c r="K235" s="24" t="s">
        <v>386</v>
      </c>
      <c r="L235" s="23" t="s">
        <v>405</v>
      </c>
      <c r="M235" s="25" t="s">
        <v>18</v>
      </c>
      <c r="N235" s="23" t="s">
        <v>40</v>
      </c>
      <c r="O235" s="23" t="s">
        <v>387</v>
      </c>
      <c r="P235" s="23" t="s">
        <v>40</v>
      </c>
      <c r="Q235" s="23" t="s">
        <v>40</v>
      </c>
      <c r="R235" s="23" t="s">
        <v>327</v>
      </c>
      <c r="S235" s="23" t="s">
        <v>40</v>
      </c>
      <c r="T235" s="23" t="s">
        <v>1119</v>
      </c>
    </row>
    <row r="236" spans="1:20" x14ac:dyDescent="0.25">
      <c r="A236" s="23" t="s">
        <v>8937</v>
      </c>
      <c r="B236" s="23" t="s">
        <v>8879</v>
      </c>
      <c r="C236" s="23" t="s">
        <v>8926</v>
      </c>
      <c r="D236" s="23" t="s">
        <v>8938</v>
      </c>
      <c r="E236" s="23" t="s">
        <v>8939</v>
      </c>
      <c r="F236" s="23" t="s">
        <v>40</v>
      </c>
      <c r="G236" s="23" t="s">
        <v>8940</v>
      </c>
      <c r="H236" s="23" t="s">
        <v>8941</v>
      </c>
      <c r="I236" s="23" t="s">
        <v>8942</v>
      </c>
      <c r="J236" s="23" t="s">
        <v>489</v>
      </c>
      <c r="K236" s="27" t="s">
        <v>404</v>
      </c>
      <c r="L236" s="23" t="s">
        <v>405</v>
      </c>
      <c r="M236" s="25" t="s">
        <v>18</v>
      </c>
      <c r="N236" s="23" t="s">
        <v>40</v>
      </c>
      <c r="O236" s="23" t="s">
        <v>387</v>
      </c>
      <c r="P236" s="23" t="s">
        <v>40</v>
      </c>
      <c r="Q236" s="23" t="s">
        <v>40</v>
      </c>
      <c r="R236" s="23" t="s">
        <v>327</v>
      </c>
      <c r="S236" s="23" t="s">
        <v>40</v>
      </c>
      <c r="T236" s="23" t="s">
        <v>2114</v>
      </c>
    </row>
    <row r="237" spans="1:20" x14ac:dyDescent="0.25">
      <c r="A237" s="23" t="s">
        <v>8943</v>
      </c>
      <c r="B237" s="23" t="s">
        <v>8879</v>
      </c>
      <c r="C237" s="23" t="s">
        <v>8944</v>
      </c>
      <c r="D237" s="23" t="s">
        <v>8945</v>
      </c>
      <c r="E237" s="23" t="s">
        <v>8946</v>
      </c>
      <c r="F237" s="23" t="s">
        <v>40</v>
      </c>
      <c r="G237" s="23" t="s">
        <v>8947</v>
      </c>
      <c r="H237" s="23" t="s">
        <v>8948</v>
      </c>
      <c r="I237" s="23" t="s">
        <v>8949</v>
      </c>
      <c r="J237" s="23" t="s">
        <v>385</v>
      </c>
      <c r="K237" s="32" t="s">
        <v>747</v>
      </c>
      <c r="L237" s="23" t="s">
        <v>490</v>
      </c>
      <c r="M237" s="25" t="s">
        <v>18</v>
      </c>
      <c r="N237" s="23" t="s">
        <v>40</v>
      </c>
      <c r="O237" s="23" t="s">
        <v>387</v>
      </c>
      <c r="P237" s="23" t="s">
        <v>40</v>
      </c>
      <c r="Q237" s="23" t="s">
        <v>40</v>
      </c>
      <c r="R237" s="23" t="s">
        <v>327</v>
      </c>
      <c r="S237" s="23" t="s">
        <v>40</v>
      </c>
      <c r="T237" s="23" t="s">
        <v>40</v>
      </c>
    </row>
    <row r="238" spans="1:20" x14ac:dyDescent="0.25">
      <c r="A238" s="23" t="s">
        <v>8950</v>
      </c>
      <c r="B238" s="23" t="s">
        <v>8879</v>
      </c>
      <c r="C238" s="23" t="s">
        <v>8951</v>
      </c>
      <c r="D238" s="23" t="s">
        <v>8952</v>
      </c>
      <c r="E238" s="23" t="s">
        <v>8882</v>
      </c>
      <c r="F238" s="23" t="s">
        <v>40</v>
      </c>
      <c r="G238" s="23" t="s">
        <v>8953</v>
      </c>
      <c r="H238" s="23" t="s">
        <v>8954</v>
      </c>
      <c r="I238" s="23" t="s">
        <v>8955</v>
      </c>
      <c r="J238" s="23" t="s">
        <v>385</v>
      </c>
      <c r="K238" s="32" t="s">
        <v>747</v>
      </c>
      <c r="L238" s="23" t="s">
        <v>490</v>
      </c>
      <c r="M238" s="25" t="s">
        <v>18</v>
      </c>
      <c r="N238" s="23" t="s">
        <v>40</v>
      </c>
      <c r="O238" s="23" t="s">
        <v>387</v>
      </c>
      <c r="P238" s="23" t="s">
        <v>40</v>
      </c>
      <c r="Q238" s="23" t="s">
        <v>40</v>
      </c>
      <c r="R238" s="23" t="s">
        <v>327</v>
      </c>
      <c r="S238" s="23" t="s">
        <v>40</v>
      </c>
      <c r="T238" s="23" t="s">
        <v>40</v>
      </c>
    </row>
    <row r="239" spans="1:20" x14ac:dyDescent="0.25">
      <c r="A239" s="23" t="s">
        <v>8956</v>
      </c>
      <c r="B239" s="23" t="s">
        <v>8879</v>
      </c>
      <c r="C239" s="23" t="s">
        <v>395</v>
      </c>
      <c r="D239" s="23" t="s">
        <v>8957</v>
      </c>
      <c r="E239" s="23" t="s">
        <v>8882</v>
      </c>
      <c r="F239" s="23" t="s">
        <v>40</v>
      </c>
      <c r="G239" s="23" t="s">
        <v>8958</v>
      </c>
      <c r="H239" s="23" t="s">
        <v>8959</v>
      </c>
      <c r="I239" s="23" t="s">
        <v>8960</v>
      </c>
      <c r="J239" s="23" t="s">
        <v>395</v>
      </c>
      <c r="K239" s="26" t="s">
        <v>396</v>
      </c>
      <c r="L239" s="23" t="s">
        <v>13</v>
      </c>
      <c r="M239" s="25" t="s">
        <v>18</v>
      </c>
      <c r="N239" s="23" t="s">
        <v>40</v>
      </c>
      <c r="O239" s="23" t="s">
        <v>387</v>
      </c>
      <c r="P239" s="23" t="s">
        <v>40</v>
      </c>
      <c r="Q239" s="23" t="s">
        <v>40</v>
      </c>
      <c r="R239" s="23" t="s">
        <v>327</v>
      </c>
      <c r="S239" s="23" t="s">
        <v>40</v>
      </c>
      <c r="T239" s="23" t="s">
        <v>5720</v>
      </c>
    </row>
    <row r="240" spans="1:20" x14ac:dyDescent="0.25">
      <c r="A240" s="23" t="s">
        <v>8961</v>
      </c>
      <c r="B240" s="23" t="s">
        <v>8879</v>
      </c>
      <c r="C240" s="23" t="s">
        <v>8962</v>
      </c>
      <c r="D240" s="23" t="s">
        <v>8963</v>
      </c>
      <c r="E240" s="23" t="s">
        <v>8964</v>
      </c>
      <c r="F240" s="23" t="s">
        <v>8965</v>
      </c>
      <c r="G240" s="23" t="s">
        <v>8966</v>
      </c>
      <c r="H240" s="23" t="s">
        <v>8967</v>
      </c>
      <c r="I240" s="23" t="s">
        <v>8968</v>
      </c>
      <c r="J240" s="23" t="s">
        <v>14</v>
      </c>
      <c r="K240" s="26" t="s">
        <v>396</v>
      </c>
      <c r="L240" s="23" t="s">
        <v>13</v>
      </c>
      <c r="M240" s="28" t="s">
        <v>16</v>
      </c>
      <c r="N240" s="23" t="s">
        <v>1457</v>
      </c>
      <c r="O240" s="29" t="s">
        <v>87</v>
      </c>
      <c r="P240" s="23" t="s">
        <v>40</v>
      </c>
      <c r="Q240" s="23" t="s">
        <v>40</v>
      </c>
      <c r="R240" s="23" t="s">
        <v>8969</v>
      </c>
      <c r="S240" s="23" t="s">
        <v>40</v>
      </c>
      <c r="T240" s="23" t="s">
        <v>40</v>
      </c>
    </row>
    <row r="241" spans="1:20" x14ac:dyDescent="0.25">
      <c r="A241" s="23" t="s">
        <v>8970</v>
      </c>
      <c r="B241" s="23" t="s">
        <v>8879</v>
      </c>
      <c r="C241" s="23" t="s">
        <v>8962</v>
      </c>
      <c r="D241" s="23" t="s">
        <v>8971</v>
      </c>
      <c r="E241" s="23" t="s">
        <v>8882</v>
      </c>
      <c r="F241" s="23" t="s">
        <v>40</v>
      </c>
      <c r="G241" s="23" t="s">
        <v>8972</v>
      </c>
      <c r="H241" s="23" t="s">
        <v>8973</v>
      </c>
      <c r="I241" s="23" t="s">
        <v>8974</v>
      </c>
      <c r="J241" s="23" t="s">
        <v>385</v>
      </c>
      <c r="K241" s="32" t="s">
        <v>747</v>
      </c>
      <c r="L241" s="23" t="s">
        <v>490</v>
      </c>
      <c r="M241" s="25" t="s">
        <v>18</v>
      </c>
      <c r="N241" s="23" t="s">
        <v>40</v>
      </c>
      <c r="O241" s="23" t="s">
        <v>387</v>
      </c>
      <c r="P241" s="23" t="s">
        <v>40</v>
      </c>
      <c r="Q241" s="23" t="s">
        <v>40</v>
      </c>
      <c r="R241" s="23" t="s">
        <v>8969</v>
      </c>
      <c r="S241" s="23" t="s">
        <v>8975</v>
      </c>
      <c r="T241" s="23" t="s">
        <v>40</v>
      </c>
    </row>
    <row r="242" spans="1:20" x14ac:dyDescent="0.25">
      <c r="A242" s="23" t="s">
        <v>8976</v>
      </c>
      <c r="B242" s="23" t="s">
        <v>8879</v>
      </c>
      <c r="C242" s="23" t="s">
        <v>8962</v>
      </c>
      <c r="D242" s="23" t="s">
        <v>8977</v>
      </c>
      <c r="E242" s="23" t="s">
        <v>8882</v>
      </c>
      <c r="F242" s="23" t="s">
        <v>40</v>
      </c>
      <c r="G242" s="23" t="s">
        <v>8978</v>
      </c>
      <c r="H242" s="23" t="s">
        <v>8979</v>
      </c>
      <c r="I242" s="23" t="s">
        <v>8980</v>
      </c>
      <c r="J242" s="23" t="s">
        <v>385</v>
      </c>
      <c r="K242" s="32" t="s">
        <v>747</v>
      </c>
      <c r="L242" s="23" t="s">
        <v>490</v>
      </c>
      <c r="M242" s="25" t="s">
        <v>18</v>
      </c>
      <c r="N242" s="23" t="s">
        <v>40</v>
      </c>
      <c r="O242" s="23" t="s">
        <v>387</v>
      </c>
      <c r="P242" s="23" t="s">
        <v>40</v>
      </c>
      <c r="Q242" s="23" t="s">
        <v>40</v>
      </c>
      <c r="R242" s="23" t="s">
        <v>8969</v>
      </c>
      <c r="S242" s="23" t="s">
        <v>40</v>
      </c>
      <c r="T242" s="23" t="s">
        <v>40</v>
      </c>
    </row>
    <row r="243" spans="1:20" x14ac:dyDescent="0.25">
      <c r="A243" s="23" t="s">
        <v>8981</v>
      </c>
      <c r="B243" s="23" t="s">
        <v>8879</v>
      </c>
      <c r="C243" s="23" t="s">
        <v>8962</v>
      </c>
      <c r="D243" s="23" t="s">
        <v>8982</v>
      </c>
      <c r="E243" s="23" t="s">
        <v>8983</v>
      </c>
      <c r="F243" s="23" t="s">
        <v>40</v>
      </c>
      <c r="G243" s="23" t="s">
        <v>8984</v>
      </c>
      <c r="H243" s="23" t="s">
        <v>8985</v>
      </c>
      <c r="I243" s="23" t="s">
        <v>8986</v>
      </c>
      <c r="J243" s="23" t="s">
        <v>14</v>
      </c>
      <c r="K243" s="24" t="s">
        <v>386</v>
      </c>
      <c r="L243" s="23" t="s">
        <v>405</v>
      </c>
      <c r="M243" s="25" t="s">
        <v>18</v>
      </c>
      <c r="N243" s="23" t="s">
        <v>40</v>
      </c>
      <c r="O243" s="23" t="s">
        <v>387</v>
      </c>
      <c r="P243" s="23" t="s">
        <v>40</v>
      </c>
      <c r="Q243" s="23" t="s">
        <v>40</v>
      </c>
      <c r="R243" s="23" t="s">
        <v>8969</v>
      </c>
      <c r="S243" s="23" t="s">
        <v>40</v>
      </c>
      <c r="T243" s="23" t="s">
        <v>8987</v>
      </c>
    </row>
    <row r="244" spans="1:20" x14ac:dyDescent="0.25">
      <c r="A244" s="23" t="s">
        <v>8988</v>
      </c>
      <c r="B244" s="23" t="s">
        <v>8879</v>
      </c>
      <c r="C244" s="23" t="s">
        <v>8962</v>
      </c>
      <c r="D244" s="23" t="s">
        <v>8989</v>
      </c>
      <c r="E244" s="23" t="s">
        <v>8990</v>
      </c>
      <c r="F244" s="23" t="s">
        <v>40</v>
      </c>
      <c r="G244" s="23" t="s">
        <v>8991</v>
      </c>
      <c r="H244" s="23" t="s">
        <v>8992</v>
      </c>
      <c r="I244" s="23" t="s">
        <v>8993</v>
      </c>
      <c r="J244" s="23" t="s">
        <v>15</v>
      </c>
      <c r="K244" s="27" t="s">
        <v>404</v>
      </c>
      <c r="L244" s="23" t="s">
        <v>405</v>
      </c>
      <c r="M244" s="25" t="s">
        <v>18</v>
      </c>
      <c r="N244" s="23" t="s">
        <v>40</v>
      </c>
      <c r="O244" s="23" t="s">
        <v>387</v>
      </c>
      <c r="P244" s="23" t="s">
        <v>40</v>
      </c>
      <c r="Q244" s="23" t="s">
        <v>40</v>
      </c>
      <c r="R244" s="23" t="s">
        <v>8969</v>
      </c>
      <c r="S244" s="23" t="s">
        <v>40</v>
      </c>
      <c r="T244" s="23" t="s">
        <v>8987</v>
      </c>
    </row>
    <row r="245" spans="1:20" x14ac:dyDescent="0.25">
      <c r="A245" s="23" t="s">
        <v>8994</v>
      </c>
      <c r="B245" s="23" t="s">
        <v>8879</v>
      </c>
      <c r="C245" s="23" t="s">
        <v>8962</v>
      </c>
      <c r="D245" s="23" t="s">
        <v>8995</v>
      </c>
      <c r="E245" s="23" t="s">
        <v>8996</v>
      </c>
      <c r="F245" s="23" t="s">
        <v>40</v>
      </c>
      <c r="G245" s="23" t="s">
        <v>8997</v>
      </c>
      <c r="H245" s="23" t="s">
        <v>8998</v>
      </c>
      <c r="I245" s="23" t="s">
        <v>8999</v>
      </c>
      <c r="J245" s="23" t="s">
        <v>489</v>
      </c>
      <c r="K245" s="27" t="s">
        <v>404</v>
      </c>
      <c r="L245" s="23" t="s">
        <v>490</v>
      </c>
      <c r="M245" s="25" t="s">
        <v>18</v>
      </c>
      <c r="N245" s="23" t="s">
        <v>40</v>
      </c>
      <c r="O245" s="23" t="s">
        <v>387</v>
      </c>
      <c r="P245" s="23" t="s">
        <v>40</v>
      </c>
      <c r="Q245" s="23" t="s">
        <v>40</v>
      </c>
      <c r="R245" s="23" t="s">
        <v>8969</v>
      </c>
      <c r="S245" s="23" t="s">
        <v>40</v>
      </c>
      <c r="T245" s="23" t="s">
        <v>8987</v>
      </c>
    </row>
    <row r="246" spans="1:20" x14ac:dyDescent="0.25">
      <c r="A246" s="23" t="s">
        <v>9000</v>
      </c>
      <c r="B246" s="23" t="s">
        <v>8879</v>
      </c>
      <c r="C246" s="23" t="s">
        <v>461</v>
      </c>
      <c r="D246" s="23" t="s">
        <v>9001</v>
      </c>
      <c r="E246" s="23" t="s">
        <v>8882</v>
      </c>
      <c r="F246" s="23" t="s">
        <v>40</v>
      </c>
      <c r="G246" s="23" t="s">
        <v>9002</v>
      </c>
      <c r="H246" s="23" t="s">
        <v>9003</v>
      </c>
      <c r="I246" s="23" t="s">
        <v>9004</v>
      </c>
      <c r="J246" s="23" t="s">
        <v>466</v>
      </c>
      <c r="K246" s="24" t="s">
        <v>386</v>
      </c>
      <c r="L246" s="23" t="s">
        <v>13</v>
      </c>
      <c r="M246" s="25" t="s">
        <v>18</v>
      </c>
      <c r="N246" s="23" t="s">
        <v>40</v>
      </c>
      <c r="O246" s="23" t="s">
        <v>387</v>
      </c>
      <c r="P246" s="23" t="s">
        <v>40</v>
      </c>
      <c r="Q246" s="23" t="s">
        <v>40</v>
      </c>
      <c r="R246" s="23" t="s">
        <v>8969</v>
      </c>
      <c r="S246" s="23" t="s">
        <v>40</v>
      </c>
      <c r="T246" s="23" t="s">
        <v>8987</v>
      </c>
    </row>
    <row r="247" spans="1:20" x14ac:dyDescent="0.25">
      <c r="A247" s="23" t="s">
        <v>9005</v>
      </c>
      <c r="B247" s="23" t="s">
        <v>8879</v>
      </c>
      <c r="C247" s="23" t="s">
        <v>9006</v>
      </c>
      <c r="D247" s="23" t="s">
        <v>9007</v>
      </c>
      <c r="E247" s="23" t="s">
        <v>8882</v>
      </c>
      <c r="F247" s="23" t="s">
        <v>40</v>
      </c>
      <c r="G247" s="23" t="s">
        <v>9008</v>
      </c>
      <c r="H247" s="23" t="s">
        <v>9009</v>
      </c>
      <c r="I247" s="23" t="s">
        <v>9010</v>
      </c>
      <c r="J247" s="23" t="s">
        <v>14</v>
      </c>
      <c r="K247" s="24" t="s">
        <v>386</v>
      </c>
      <c r="L247" s="23" t="s">
        <v>405</v>
      </c>
      <c r="M247" s="25" t="s">
        <v>18</v>
      </c>
      <c r="N247" s="23" t="s">
        <v>40</v>
      </c>
      <c r="O247" s="23" t="s">
        <v>387</v>
      </c>
      <c r="P247" s="23" t="s">
        <v>40</v>
      </c>
      <c r="Q247" s="23" t="s">
        <v>40</v>
      </c>
      <c r="R247" s="23" t="s">
        <v>8969</v>
      </c>
      <c r="S247" s="23" t="s">
        <v>40</v>
      </c>
      <c r="T247" s="23" t="s">
        <v>40</v>
      </c>
    </row>
    <row r="248" spans="1:20" x14ac:dyDescent="0.25">
      <c r="A248" s="23" t="s">
        <v>9011</v>
      </c>
      <c r="B248" s="23" t="s">
        <v>8879</v>
      </c>
      <c r="C248" s="23" t="s">
        <v>9006</v>
      </c>
      <c r="D248" s="23" t="s">
        <v>9012</v>
      </c>
      <c r="E248" s="23" t="s">
        <v>8882</v>
      </c>
      <c r="F248" s="23" t="s">
        <v>40</v>
      </c>
      <c r="G248" s="23" t="s">
        <v>9013</v>
      </c>
      <c r="H248" s="23" t="s">
        <v>9014</v>
      </c>
      <c r="I248" s="23" t="s">
        <v>9015</v>
      </c>
      <c r="J248" s="23" t="s">
        <v>15</v>
      </c>
      <c r="K248" s="24" t="s">
        <v>386</v>
      </c>
      <c r="L248" s="23" t="s">
        <v>13</v>
      </c>
      <c r="M248" s="25" t="s">
        <v>18</v>
      </c>
      <c r="N248" s="23" t="s">
        <v>40</v>
      </c>
      <c r="O248" s="23" t="s">
        <v>387</v>
      </c>
      <c r="P248" s="23" t="s">
        <v>40</v>
      </c>
      <c r="Q248" s="23" t="s">
        <v>40</v>
      </c>
      <c r="R248" s="23" t="s">
        <v>8969</v>
      </c>
      <c r="S248" s="23" t="s">
        <v>9016</v>
      </c>
      <c r="T248" s="23" t="s">
        <v>40</v>
      </c>
    </row>
    <row r="249" spans="1:20" x14ac:dyDescent="0.25">
      <c r="A249" s="23" t="s">
        <v>9017</v>
      </c>
      <c r="B249" s="23" t="s">
        <v>8879</v>
      </c>
      <c r="C249" s="23" t="s">
        <v>9006</v>
      </c>
      <c r="D249" s="23" t="s">
        <v>9018</v>
      </c>
      <c r="E249" s="23" t="s">
        <v>9019</v>
      </c>
      <c r="F249" s="23" t="s">
        <v>40</v>
      </c>
      <c r="G249" s="23" t="s">
        <v>9020</v>
      </c>
      <c r="H249" s="23" t="s">
        <v>9021</v>
      </c>
      <c r="I249" s="23" t="s">
        <v>9022</v>
      </c>
      <c r="J249" s="23" t="s">
        <v>15</v>
      </c>
      <c r="K249" s="27" t="s">
        <v>404</v>
      </c>
      <c r="L249" s="23" t="s">
        <v>405</v>
      </c>
      <c r="M249" s="25" t="s">
        <v>18</v>
      </c>
      <c r="N249" s="23" t="s">
        <v>40</v>
      </c>
      <c r="O249" s="23" t="s">
        <v>387</v>
      </c>
      <c r="P249" s="23" t="s">
        <v>40</v>
      </c>
      <c r="Q249" s="23" t="s">
        <v>40</v>
      </c>
      <c r="R249" s="23" t="s">
        <v>8969</v>
      </c>
      <c r="S249" s="23" t="s">
        <v>9023</v>
      </c>
      <c r="T249" s="23" t="s">
        <v>40</v>
      </c>
    </row>
    <row r="250" spans="1:20" x14ac:dyDescent="0.25">
      <c r="A250" s="23" t="s">
        <v>9024</v>
      </c>
      <c r="B250" s="23" t="s">
        <v>8879</v>
      </c>
      <c r="C250" s="23" t="s">
        <v>1971</v>
      </c>
      <c r="D250" s="23" t="s">
        <v>9025</v>
      </c>
      <c r="E250" s="23" t="s">
        <v>9026</v>
      </c>
      <c r="F250" s="23" t="s">
        <v>40</v>
      </c>
      <c r="G250" s="23" t="s">
        <v>9027</v>
      </c>
      <c r="H250" s="23" t="s">
        <v>9028</v>
      </c>
      <c r="I250" s="23" t="s">
        <v>9029</v>
      </c>
      <c r="J250" s="23" t="s">
        <v>15</v>
      </c>
      <c r="K250" s="24" t="s">
        <v>386</v>
      </c>
      <c r="L250" s="23" t="s">
        <v>13</v>
      </c>
      <c r="M250" s="25" t="s">
        <v>18</v>
      </c>
      <c r="N250" s="23" t="s">
        <v>40</v>
      </c>
      <c r="O250" s="23" t="s">
        <v>387</v>
      </c>
      <c r="P250" s="23" t="s">
        <v>40</v>
      </c>
      <c r="Q250" s="23" t="s">
        <v>40</v>
      </c>
      <c r="R250" s="23" t="s">
        <v>8969</v>
      </c>
      <c r="S250" s="23" t="s">
        <v>40</v>
      </c>
      <c r="T250" s="23" t="s">
        <v>9030</v>
      </c>
    </row>
    <row r="251" spans="1:20" x14ac:dyDescent="0.25">
      <c r="A251" s="23" t="s">
        <v>9031</v>
      </c>
      <c r="B251" s="23" t="s">
        <v>8879</v>
      </c>
      <c r="C251" s="23" t="s">
        <v>1971</v>
      </c>
      <c r="D251" s="23" t="s">
        <v>9032</v>
      </c>
      <c r="E251" s="23" t="s">
        <v>9033</v>
      </c>
      <c r="F251" s="23" t="s">
        <v>40</v>
      </c>
      <c r="G251" s="23" t="s">
        <v>9034</v>
      </c>
      <c r="H251" s="23" t="s">
        <v>9035</v>
      </c>
      <c r="I251" s="23" t="s">
        <v>9036</v>
      </c>
      <c r="J251" s="23" t="s">
        <v>15</v>
      </c>
      <c r="K251" s="24" t="s">
        <v>386</v>
      </c>
      <c r="L251" s="23" t="s">
        <v>13</v>
      </c>
      <c r="M251" s="25" t="s">
        <v>18</v>
      </c>
      <c r="N251" s="23" t="s">
        <v>40</v>
      </c>
      <c r="O251" s="23" t="s">
        <v>387</v>
      </c>
      <c r="P251" s="23" t="s">
        <v>40</v>
      </c>
      <c r="Q251" s="23" t="s">
        <v>40</v>
      </c>
      <c r="R251" s="23" t="s">
        <v>8969</v>
      </c>
      <c r="S251" s="23" t="s">
        <v>40</v>
      </c>
      <c r="T251" s="23" t="s">
        <v>2114</v>
      </c>
    </row>
    <row r="252" spans="1:20" x14ac:dyDescent="0.25">
      <c r="A252" s="23" t="s">
        <v>9037</v>
      </c>
      <c r="B252" s="23" t="s">
        <v>8879</v>
      </c>
      <c r="C252" s="23" t="s">
        <v>1971</v>
      </c>
      <c r="D252" s="23" t="s">
        <v>9038</v>
      </c>
      <c r="E252" s="23" t="s">
        <v>9039</v>
      </c>
      <c r="F252" s="23" t="s">
        <v>40</v>
      </c>
      <c r="G252" s="23" t="s">
        <v>9040</v>
      </c>
      <c r="H252" s="23" t="s">
        <v>9041</v>
      </c>
      <c r="I252" s="23" t="s">
        <v>9042</v>
      </c>
      <c r="J252" s="23" t="s">
        <v>15</v>
      </c>
      <c r="K252" s="27" t="s">
        <v>404</v>
      </c>
      <c r="L252" s="23" t="s">
        <v>405</v>
      </c>
      <c r="M252" s="25" t="s">
        <v>18</v>
      </c>
      <c r="N252" s="23" t="s">
        <v>40</v>
      </c>
      <c r="O252" s="23" t="s">
        <v>387</v>
      </c>
      <c r="P252" s="23" t="s">
        <v>40</v>
      </c>
      <c r="Q252" s="23" t="s">
        <v>40</v>
      </c>
      <c r="R252" s="23" t="s">
        <v>8969</v>
      </c>
      <c r="S252" s="23" t="s">
        <v>40</v>
      </c>
      <c r="T252" s="23" t="s">
        <v>2114</v>
      </c>
    </row>
    <row r="253" spans="1:20" x14ac:dyDescent="0.25">
      <c r="A253" s="23" t="s">
        <v>9043</v>
      </c>
      <c r="B253" s="23" t="s">
        <v>8879</v>
      </c>
      <c r="C253" s="23" t="s">
        <v>1971</v>
      </c>
      <c r="D253" s="23" t="s">
        <v>9044</v>
      </c>
      <c r="E253" s="23" t="s">
        <v>9045</v>
      </c>
      <c r="F253" s="23" t="s">
        <v>40</v>
      </c>
      <c r="G253" s="23" t="s">
        <v>9046</v>
      </c>
      <c r="H253" s="23" t="s">
        <v>9047</v>
      </c>
      <c r="I253" s="23" t="s">
        <v>9048</v>
      </c>
      <c r="J253" s="23" t="s">
        <v>14</v>
      </c>
      <c r="K253" s="26" t="s">
        <v>396</v>
      </c>
      <c r="L253" s="23" t="s">
        <v>13</v>
      </c>
      <c r="M253" s="25" t="s">
        <v>18</v>
      </c>
      <c r="N253" s="23" t="s">
        <v>40</v>
      </c>
      <c r="O253" s="23" t="s">
        <v>387</v>
      </c>
      <c r="P253" s="23" t="s">
        <v>40</v>
      </c>
      <c r="Q253" s="23" t="s">
        <v>40</v>
      </c>
      <c r="R253" s="23" t="s">
        <v>8969</v>
      </c>
      <c r="S253" s="23" t="s">
        <v>40</v>
      </c>
      <c r="T253" s="23" t="s">
        <v>9049</v>
      </c>
    </row>
    <row r="254" spans="1:20" x14ac:dyDescent="0.25">
      <c r="A254" s="23" t="s">
        <v>9050</v>
      </c>
      <c r="B254" s="23" t="s">
        <v>8879</v>
      </c>
      <c r="C254" s="23" t="s">
        <v>1971</v>
      </c>
      <c r="D254" s="23" t="s">
        <v>9051</v>
      </c>
      <c r="E254" s="23" t="s">
        <v>9052</v>
      </c>
      <c r="F254" s="23" t="s">
        <v>40</v>
      </c>
      <c r="G254" s="23" t="s">
        <v>9027</v>
      </c>
      <c r="H254" s="23" t="s">
        <v>9053</v>
      </c>
      <c r="I254" s="23" t="s">
        <v>9054</v>
      </c>
      <c r="J254" s="23" t="s">
        <v>15</v>
      </c>
      <c r="K254" s="27" t="s">
        <v>404</v>
      </c>
      <c r="L254" s="23" t="s">
        <v>405</v>
      </c>
      <c r="M254" s="25" t="s">
        <v>18</v>
      </c>
      <c r="N254" s="23" t="s">
        <v>40</v>
      </c>
      <c r="O254" s="23" t="s">
        <v>387</v>
      </c>
      <c r="P254" s="23" t="s">
        <v>40</v>
      </c>
      <c r="Q254" s="23" t="s">
        <v>40</v>
      </c>
      <c r="R254" s="23" t="s">
        <v>8969</v>
      </c>
      <c r="S254" s="23" t="s">
        <v>40</v>
      </c>
      <c r="T254" s="23" t="s">
        <v>2114</v>
      </c>
    </row>
    <row r="255" spans="1:20" x14ac:dyDescent="0.25">
      <c r="A255" s="23" t="s">
        <v>9055</v>
      </c>
      <c r="B255" s="23" t="s">
        <v>8879</v>
      </c>
      <c r="C255" s="23" t="s">
        <v>1971</v>
      </c>
      <c r="D255" s="23" t="s">
        <v>9056</v>
      </c>
      <c r="E255" s="23" t="s">
        <v>9057</v>
      </c>
      <c r="F255" s="23" t="s">
        <v>40</v>
      </c>
      <c r="G255" s="23" t="s">
        <v>9058</v>
      </c>
      <c r="H255" s="23" t="s">
        <v>9059</v>
      </c>
      <c r="I255" s="23" t="s">
        <v>9060</v>
      </c>
      <c r="J255" s="23" t="s">
        <v>15</v>
      </c>
      <c r="K255" s="24" t="s">
        <v>386</v>
      </c>
      <c r="L255" s="23" t="s">
        <v>13</v>
      </c>
      <c r="M255" s="25" t="s">
        <v>18</v>
      </c>
      <c r="N255" s="23" t="s">
        <v>40</v>
      </c>
      <c r="O255" s="23" t="s">
        <v>387</v>
      </c>
      <c r="P255" s="23" t="s">
        <v>40</v>
      </c>
      <c r="Q255" s="23" t="s">
        <v>40</v>
      </c>
      <c r="R255" s="23" t="s">
        <v>8969</v>
      </c>
      <c r="S255" s="23" t="s">
        <v>40</v>
      </c>
      <c r="T255" s="23" t="s">
        <v>2114</v>
      </c>
    </row>
    <row r="256" spans="1:20" x14ac:dyDescent="0.25">
      <c r="A256" s="23" t="s">
        <v>9061</v>
      </c>
      <c r="B256" s="23" t="s">
        <v>8879</v>
      </c>
      <c r="C256" s="23" t="s">
        <v>9062</v>
      </c>
      <c r="D256" s="23" t="s">
        <v>9063</v>
      </c>
      <c r="E256" s="23" t="s">
        <v>9064</v>
      </c>
      <c r="F256" s="23" t="s">
        <v>40</v>
      </c>
      <c r="G256" s="23" t="s">
        <v>9065</v>
      </c>
      <c r="H256" s="23" t="s">
        <v>9066</v>
      </c>
      <c r="I256" s="23" t="s">
        <v>9067</v>
      </c>
      <c r="J256" s="23" t="s">
        <v>14</v>
      </c>
      <c r="K256" s="26" t="s">
        <v>396</v>
      </c>
      <c r="L256" s="23" t="s">
        <v>13</v>
      </c>
      <c r="M256" s="25" t="s">
        <v>18</v>
      </c>
      <c r="N256" s="23" t="s">
        <v>40</v>
      </c>
      <c r="O256" s="23" t="s">
        <v>387</v>
      </c>
      <c r="P256" s="23" t="s">
        <v>40</v>
      </c>
      <c r="Q256" s="23" t="s">
        <v>40</v>
      </c>
      <c r="R256" s="23" t="s">
        <v>8969</v>
      </c>
      <c r="S256" s="23" t="s">
        <v>40</v>
      </c>
      <c r="T256" s="23" t="s">
        <v>40</v>
      </c>
    </row>
    <row r="257" spans="1:20" x14ac:dyDescent="0.25">
      <c r="A257" s="23" t="s">
        <v>9068</v>
      </c>
      <c r="B257" s="23" t="s">
        <v>8879</v>
      </c>
      <c r="C257" s="23" t="s">
        <v>9062</v>
      </c>
      <c r="D257" s="23" t="s">
        <v>9069</v>
      </c>
      <c r="E257" s="23" t="s">
        <v>9070</v>
      </c>
      <c r="F257" s="23" t="s">
        <v>40</v>
      </c>
      <c r="G257" s="23" t="s">
        <v>9071</v>
      </c>
      <c r="H257" s="23" t="s">
        <v>9072</v>
      </c>
      <c r="I257" s="23" t="s">
        <v>9073</v>
      </c>
      <c r="J257" s="23" t="s">
        <v>489</v>
      </c>
      <c r="K257" s="27" t="s">
        <v>404</v>
      </c>
      <c r="L257" s="23" t="s">
        <v>405</v>
      </c>
      <c r="M257" s="25" t="s">
        <v>18</v>
      </c>
      <c r="N257" s="23" t="s">
        <v>40</v>
      </c>
      <c r="O257" s="23" t="s">
        <v>387</v>
      </c>
      <c r="P257" s="23" t="s">
        <v>40</v>
      </c>
      <c r="Q257" s="23" t="s">
        <v>40</v>
      </c>
      <c r="R257" s="23" t="s">
        <v>8969</v>
      </c>
      <c r="S257" s="23" t="s">
        <v>40</v>
      </c>
      <c r="T257" s="23" t="s">
        <v>40</v>
      </c>
    </row>
    <row r="258" spans="1:20" x14ac:dyDescent="0.25">
      <c r="A258" s="23" t="s">
        <v>9074</v>
      </c>
      <c r="B258" s="23" t="s">
        <v>8879</v>
      </c>
      <c r="C258" s="23" t="s">
        <v>1971</v>
      </c>
      <c r="D258" s="23" t="s">
        <v>9075</v>
      </c>
      <c r="E258" s="23" t="s">
        <v>9076</v>
      </c>
      <c r="F258" s="23" t="s">
        <v>40</v>
      </c>
      <c r="G258" s="23" t="s">
        <v>9077</v>
      </c>
      <c r="H258" s="23" t="s">
        <v>9078</v>
      </c>
      <c r="I258" s="23" t="s">
        <v>9079</v>
      </c>
      <c r="J258" s="23" t="s">
        <v>15</v>
      </c>
      <c r="K258" s="27" t="s">
        <v>404</v>
      </c>
      <c r="L258" s="23" t="s">
        <v>405</v>
      </c>
      <c r="M258" s="25" t="s">
        <v>18</v>
      </c>
      <c r="N258" s="23" t="s">
        <v>40</v>
      </c>
      <c r="O258" s="23" t="s">
        <v>387</v>
      </c>
      <c r="P258" s="23" t="s">
        <v>40</v>
      </c>
      <c r="Q258" s="23" t="s">
        <v>40</v>
      </c>
      <c r="R258" s="23" t="s">
        <v>8969</v>
      </c>
      <c r="S258" s="23" t="s">
        <v>40</v>
      </c>
      <c r="T258" s="23" t="s">
        <v>2114</v>
      </c>
    </row>
    <row r="259" spans="1:20" x14ac:dyDescent="0.25">
      <c r="A259" s="23" t="s">
        <v>9080</v>
      </c>
      <c r="B259" s="23" t="s">
        <v>8879</v>
      </c>
      <c r="C259" s="23" t="s">
        <v>1971</v>
      </c>
      <c r="D259" s="23" t="s">
        <v>9081</v>
      </c>
      <c r="E259" s="23" t="s">
        <v>9082</v>
      </c>
      <c r="F259" s="23" t="s">
        <v>40</v>
      </c>
      <c r="G259" s="23" t="s">
        <v>9083</v>
      </c>
      <c r="H259" s="23" t="s">
        <v>9084</v>
      </c>
      <c r="I259" s="23" t="s">
        <v>9085</v>
      </c>
      <c r="J259" s="23" t="s">
        <v>489</v>
      </c>
      <c r="K259" s="27" t="s">
        <v>404</v>
      </c>
      <c r="L259" s="23" t="s">
        <v>405</v>
      </c>
      <c r="M259" s="25" t="s">
        <v>18</v>
      </c>
      <c r="N259" s="23" t="s">
        <v>40</v>
      </c>
      <c r="O259" s="23" t="s">
        <v>387</v>
      </c>
      <c r="P259" s="23" t="s">
        <v>40</v>
      </c>
      <c r="Q259" s="23" t="s">
        <v>40</v>
      </c>
      <c r="R259" s="23" t="s">
        <v>8969</v>
      </c>
      <c r="S259" s="23" t="s">
        <v>40</v>
      </c>
      <c r="T259" s="23" t="s">
        <v>2114</v>
      </c>
    </row>
    <row r="260" spans="1:20" x14ac:dyDescent="0.25">
      <c r="A260" s="23" t="s">
        <v>9086</v>
      </c>
      <c r="B260" s="23" t="s">
        <v>8879</v>
      </c>
      <c r="C260" s="23" t="s">
        <v>1971</v>
      </c>
      <c r="D260" s="23" t="s">
        <v>9087</v>
      </c>
      <c r="E260" s="23" t="s">
        <v>9088</v>
      </c>
      <c r="F260" s="23" t="s">
        <v>40</v>
      </c>
      <c r="G260" s="23" t="s">
        <v>9089</v>
      </c>
      <c r="H260" s="23" t="s">
        <v>9090</v>
      </c>
      <c r="I260" s="23" t="s">
        <v>9091</v>
      </c>
      <c r="J260" s="23" t="s">
        <v>15</v>
      </c>
      <c r="K260" s="27" t="s">
        <v>404</v>
      </c>
      <c r="L260" s="23" t="s">
        <v>405</v>
      </c>
      <c r="M260" s="25" t="s">
        <v>18</v>
      </c>
      <c r="N260" s="23" t="s">
        <v>40</v>
      </c>
      <c r="O260" s="23" t="s">
        <v>387</v>
      </c>
      <c r="P260" s="23" t="s">
        <v>40</v>
      </c>
      <c r="Q260" s="23" t="s">
        <v>40</v>
      </c>
      <c r="R260" s="23" t="s">
        <v>8969</v>
      </c>
      <c r="S260" s="23" t="s">
        <v>40</v>
      </c>
      <c r="T260" s="23" t="s">
        <v>9092</v>
      </c>
    </row>
    <row r="261" spans="1:20" x14ac:dyDescent="0.25">
      <c r="A261" s="23" t="s">
        <v>9093</v>
      </c>
      <c r="B261" s="23" t="s">
        <v>8879</v>
      </c>
      <c r="C261" s="23" t="s">
        <v>1971</v>
      </c>
      <c r="D261" s="23" t="s">
        <v>8387</v>
      </c>
      <c r="E261" s="23" t="s">
        <v>9094</v>
      </c>
      <c r="F261" s="23" t="s">
        <v>40</v>
      </c>
      <c r="G261" s="23" t="s">
        <v>9095</v>
      </c>
      <c r="H261" s="23" t="s">
        <v>9096</v>
      </c>
      <c r="I261" s="23" t="s">
        <v>9097</v>
      </c>
      <c r="J261" s="23" t="s">
        <v>15</v>
      </c>
      <c r="K261" s="24" t="s">
        <v>386</v>
      </c>
      <c r="L261" s="23" t="s">
        <v>13</v>
      </c>
      <c r="M261" s="25" t="s">
        <v>18</v>
      </c>
      <c r="N261" s="23" t="s">
        <v>40</v>
      </c>
      <c r="O261" s="23" t="s">
        <v>387</v>
      </c>
      <c r="P261" s="23" t="s">
        <v>40</v>
      </c>
      <c r="Q261" s="23" t="s">
        <v>40</v>
      </c>
      <c r="R261" s="23" t="s">
        <v>8969</v>
      </c>
      <c r="S261" s="23" t="s">
        <v>40</v>
      </c>
      <c r="T261" s="23" t="s">
        <v>8392</v>
      </c>
    </row>
    <row r="262" spans="1:20" x14ac:dyDescent="0.25">
      <c r="A262" s="23" t="s">
        <v>9098</v>
      </c>
      <c r="B262" s="23" t="s">
        <v>8879</v>
      </c>
      <c r="C262" s="23" t="s">
        <v>1971</v>
      </c>
      <c r="D262" s="23" t="s">
        <v>9099</v>
      </c>
      <c r="E262" s="23" t="s">
        <v>9100</v>
      </c>
      <c r="F262" s="23" t="s">
        <v>40</v>
      </c>
      <c r="G262" s="23" t="s">
        <v>9101</v>
      </c>
      <c r="H262" s="23" t="s">
        <v>9102</v>
      </c>
      <c r="I262" s="23" t="s">
        <v>9103</v>
      </c>
      <c r="J262" s="23" t="s">
        <v>15</v>
      </c>
      <c r="K262" s="27" t="s">
        <v>404</v>
      </c>
      <c r="L262" s="23" t="s">
        <v>405</v>
      </c>
      <c r="M262" s="25" t="s">
        <v>18</v>
      </c>
      <c r="N262" s="23" t="s">
        <v>40</v>
      </c>
      <c r="O262" s="23" t="s">
        <v>387</v>
      </c>
      <c r="P262" s="23" t="s">
        <v>40</v>
      </c>
      <c r="Q262" s="23" t="s">
        <v>40</v>
      </c>
      <c r="R262" s="23" t="s">
        <v>8969</v>
      </c>
      <c r="S262" s="23" t="s">
        <v>40</v>
      </c>
      <c r="T262" s="23" t="s">
        <v>8404</v>
      </c>
    </row>
    <row r="263" spans="1:20" x14ac:dyDescent="0.25">
      <c r="A263" s="23" t="s">
        <v>9104</v>
      </c>
      <c r="B263" s="23" t="s">
        <v>8879</v>
      </c>
      <c r="C263" s="23" t="s">
        <v>1971</v>
      </c>
      <c r="D263" s="23" t="s">
        <v>9105</v>
      </c>
      <c r="E263" s="23" t="s">
        <v>9106</v>
      </c>
      <c r="F263" s="23" t="s">
        <v>40</v>
      </c>
      <c r="G263" s="23" t="s">
        <v>9107</v>
      </c>
      <c r="H263" s="23" t="s">
        <v>9108</v>
      </c>
      <c r="I263" s="23" t="s">
        <v>9109</v>
      </c>
      <c r="J263" s="23" t="s">
        <v>15</v>
      </c>
      <c r="K263" s="27" t="s">
        <v>404</v>
      </c>
      <c r="L263" s="23" t="s">
        <v>405</v>
      </c>
      <c r="M263" s="25" t="s">
        <v>18</v>
      </c>
      <c r="N263" s="23" t="s">
        <v>40</v>
      </c>
      <c r="O263" s="23" t="s">
        <v>387</v>
      </c>
      <c r="P263" s="23" t="s">
        <v>40</v>
      </c>
      <c r="Q263" s="23" t="s">
        <v>40</v>
      </c>
      <c r="R263" s="23" t="s">
        <v>8969</v>
      </c>
      <c r="S263" s="23" t="s">
        <v>40</v>
      </c>
      <c r="T263" s="23" t="s">
        <v>9030</v>
      </c>
    </row>
    <row r="264" spans="1:20" x14ac:dyDescent="0.25">
      <c r="A264" s="23" t="s">
        <v>9110</v>
      </c>
      <c r="B264" s="23" t="s">
        <v>8879</v>
      </c>
      <c r="C264" s="23" t="s">
        <v>7930</v>
      </c>
      <c r="D264" s="23" t="s">
        <v>9111</v>
      </c>
      <c r="E264" s="23" t="s">
        <v>9112</v>
      </c>
      <c r="F264" s="23" t="s">
        <v>40</v>
      </c>
      <c r="G264" s="23" t="s">
        <v>9113</v>
      </c>
      <c r="H264" s="23" t="s">
        <v>9114</v>
      </c>
      <c r="I264" s="23" t="s">
        <v>9115</v>
      </c>
      <c r="J264" s="23" t="s">
        <v>14</v>
      </c>
      <c r="K264" s="26" t="s">
        <v>396</v>
      </c>
      <c r="L264" s="23" t="s">
        <v>13</v>
      </c>
      <c r="M264" s="25" t="s">
        <v>18</v>
      </c>
      <c r="N264" s="23" t="s">
        <v>40</v>
      </c>
      <c r="O264" s="23" t="s">
        <v>387</v>
      </c>
      <c r="P264" s="23" t="s">
        <v>40</v>
      </c>
      <c r="Q264" s="23" t="s">
        <v>40</v>
      </c>
      <c r="R264" s="23" t="s">
        <v>8969</v>
      </c>
      <c r="S264" s="23" t="s">
        <v>40</v>
      </c>
      <c r="T264" s="23" t="s">
        <v>9116</v>
      </c>
    </row>
    <row r="265" spans="1:20" x14ac:dyDescent="0.25">
      <c r="A265" s="23" t="s">
        <v>9117</v>
      </c>
      <c r="B265" s="23" t="s">
        <v>8879</v>
      </c>
      <c r="C265" s="23" t="s">
        <v>7930</v>
      </c>
      <c r="D265" s="23" t="s">
        <v>9118</v>
      </c>
      <c r="E265" s="23" t="s">
        <v>9119</v>
      </c>
      <c r="F265" s="23" t="s">
        <v>40</v>
      </c>
      <c r="G265" s="23" t="s">
        <v>9120</v>
      </c>
      <c r="H265" s="23" t="s">
        <v>9121</v>
      </c>
      <c r="I265" s="23" t="s">
        <v>9122</v>
      </c>
      <c r="J265" s="23" t="s">
        <v>14</v>
      </c>
      <c r="K265" s="26" t="s">
        <v>396</v>
      </c>
      <c r="L265" s="23" t="s">
        <v>13</v>
      </c>
      <c r="M265" s="25" t="s">
        <v>18</v>
      </c>
      <c r="N265" s="23" t="s">
        <v>40</v>
      </c>
      <c r="O265" s="23" t="s">
        <v>387</v>
      </c>
      <c r="P265" s="23" t="s">
        <v>40</v>
      </c>
      <c r="Q265" s="23" t="s">
        <v>40</v>
      </c>
      <c r="R265" s="23" t="s">
        <v>8969</v>
      </c>
      <c r="S265" s="23" t="s">
        <v>40</v>
      </c>
      <c r="T265" s="23" t="s">
        <v>9116</v>
      </c>
    </row>
    <row r="266" spans="1:20" x14ac:dyDescent="0.25">
      <c r="A266" s="23" t="s">
        <v>9123</v>
      </c>
      <c r="B266" s="23" t="s">
        <v>8879</v>
      </c>
      <c r="C266" s="23" t="s">
        <v>7930</v>
      </c>
      <c r="D266" s="23" t="s">
        <v>9124</v>
      </c>
      <c r="E266" s="23" t="s">
        <v>9125</v>
      </c>
      <c r="F266" s="23" t="s">
        <v>40</v>
      </c>
      <c r="G266" s="23" t="s">
        <v>9113</v>
      </c>
      <c r="H266" s="23" t="s">
        <v>9126</v>
      </c>
      <c r="I266" s="23" t="s">
        <v>9127</v>
      </c>
      <c r="J266" s="23" t="s">
        <v>14</v>
      </c>
      <c r="K266" s="24" t="s">
        <v>386</v>
      </c>
      <c r="L266" s="23" t="s">
        <v>405</v>
      </c>
      <c r="M266" s="25" t="s">
        <v>18</v>
      </c>
      <c r="N266" s="23" t="s">
        <v>40</v>
      </c>
      <c r="O266" s="23" t="s">
        <v>387</v>
      </c>
      <c r="P266" s="23" t="s">
        <v>40</v>
      </c>
      <c r="Q266" s="23" t="s">
        <v>40</v>
      </c>
      <c r="R266" s="23" t="s">
        <v>8969</v>
      </c>
      <c r="S266" s="23" t="s">
        <v>40</v>
      </c>
      <c r="T266" s="23" t="s">
        <v>9116</v>
      </c>
    </row>
    <row r="267" spans="1:20" x14ac:dyDescent="0.25">
      <c r="A267" s="23" t="s">
        <v>9128</v>
      </c>
      <c r="B267" s="23" t="s">
        <v>8879</v>
      </c>
      <c r="C267" s="23" t="s">
        <v>7930</v>
      </c>
      <c r="D267" s="23" t="s">
        <v>9129</v>
      </c>
      <c r="E267" s="23" t="s">
        <v>9130</v>
      </c>
      <c r="F267" s="23" t="s">
        <v>40</v>
      </c>
      <c r="G267" s="23" t="s">
        <v>9131</v>
      </c>
      <c r="H267" s="23" t="s">
        <v>9132</v>
      </c>
      <c r="I267" s="23" t="s">
        <v>9115</v>
      </c>
      <c r="J267" s="23" t="s">
        <v>14</v>
      </c>
      <c r="K267" s="24" t="s">
        <v>386</v>
      </c>
      <c r="L267" s="23" t="s">
        <v>405</v>
      </c>
      <c r="M267" s="25" t="s">
        <v>18</v>
      </c>
      <c r="N267" s="23" t="s">
        <v>40</v>
      </c>
      <c r="O267" s="23" t="s">
        <v>387</v>
      </c>
      <c r="P267" s="23" t="s">
        <v>40</v>
      </c>
      <c r="Q267" s="23" t="s">
        <v>40</v>
      </c>
      <c r="R267" s="23" t="s">
        <v>8969</v>
      </c>
      <c r="S267" s="23" t="s">
        <v>40</v>
      </c>
      <c r="T267" s="23" t="s">
        <v>9133</v>
      </c>
    </row>
    <row r="268" spans="1:20" x14ac:dyDescent="0.25">
      <c r="A268" s="23" t="s">
        <v>9134</v>
      </c>
      <c r="B268" s="23" t="s">
        <v>8879</v>
      </c>
      <c r="C268" s="23" t="s">
        <v>8419</v>
      </c>
      <c r="D268" s="23" t="s">
        <v>9135</v>
      </c>
      <c r="E268" s="23" t="s">
        <v>9136</v>
      </c>
      <c r="F268" s="23" t="s">
        <v>8422</v>
      </c>
      <c r="G268" s="23" t="s">
        <v>9137</v>
      </c>
      <c r="H268" s="23" t="s">
        <v>9138</v>
      </c>
      <c r="I268" s="23" t="s">
        <v>9139</v>
      </c>
      <c r="J268" s="23" t="s">
        <v>14</v>
      </c>
      <c r="K268" s="24" t="s">
        <v>386</v>
      </c>
      <c r="L268" s="23" t="s">
        <v>405</v>
      </c>
      <c r="M268" s="25" t="s">
        <v>18</v>
      </c>
      <c r="N268" s="23" t="s">
        <v>40</v>
      </c>
      <c r="O268" s="23" t="s">
        <v>387</v>
      </c>
      <c r="P268" s="23" t="s">
        <v>40</v>
      </c>
      <c r="Q268" s="23" t="s">
        <v>40</v>
      </c>
      <c r="R268" s="23" t="s">
        <v>8969</v>
      </c>
      <c r="S268" s="23" t="s">
        <v>40</v>
      </c>
      <c r="T268" s="23" t="s">
        <v>40</v>
      </c>
    </row>
    <row r="269" spans="1:20" x14ac:dyDescent="0.25">
      <c r="A269" s="23" t="s">
        <v>9140</v>
      </c>
      <c r="B269" s="23" t="s">
        <v>8879</v>
      </c>
      <c r="C269" s="23" t="s">
        <v>8419</v>
      </c>
      <c r="D269" s="23" t="s">
        <v>9141</v>
      </c>
      <c r="E269" s="23" t="s">
        <v>9142</v>
      </c>
      <c r="F269" s="23" t="s">
        <v>40</v>
      </c>
      <c r="G269" s="23" t="s">
        <v>9143</v>
      </c>
      <c r="H269" s="23" t="s">
        <v>9144</v>
      </c>
      <c r="I269" s="23" t="s">
        <v>9145</v>
      </c>
      <c r="J269" s="23" t="s">
        <v>14</v>
      </c>
      <c r="K269" s="27" t="s">
        <v>404</v>
      </c>
      <c r="L269" s="23" t="s">
        <v>490</v>
      </c>
      <c r="M269" s="25" t="s">
        <v>18</v>
      </c>
      <c r="N269" s="23" t="s">
        <v>40</v>
      </c>
      <c r="O269" s="23" t="s">
        <v>387</v>
      </c>
      <c r="P269" s="23" t="s">
        <v>40</v>
      </c>
      <c r="Q269" s="23" t="s">
        <v>40</v>
      </c>
      <c r="R269" s="23" t="s">
        <v>8969</v>
      </c>
      <c r="S269" s="23" t="s">
        <v>40</v>
      </c>
      <c r="T269" s="23" t="s">
        <v>8987</v>
      </c>
    </row>
    <row r="270" spans="1:20" x14ac:dyDescent="0.25">
      <c r="A270" s="23" t="s">
        <v>9146</v>
      </c>
      <c r="B270" s="23" t="s">
        <v>8879</v>
      </c>
      <c r="C270" s="23" t="s">
        <v>9147</v>
      </c>
      <c r="D270" s="23" t="s">
        <v>9148</v>
      </c>
      <c r="E270" s="23" t="s">
        <v>9149</v>
      </c>
      <c r="F270" s="23" t="s">
        <v>40</v>
      </c>
      <c r="G270" s="23" t="s">
        <v>9150</v>
      </c>
      <c r="H270" s="23" t="s">
        <v>9151</v>
      </c>
      <c r="I270" s="23" t="s">
        <v>9152</v>
      </c>
      <c r="J270" s="23" t="s">
        <v>14</v>
      </c>
      <c r="K270" s="26" t="s">
        <v>396</v>
      </c>
      <c r="L270" s="23" t="s">
        <v>13</v>
      </c>
      <c r="M270" s="25" t="s">
        <v>18</v>
      </c>
      <c r="N270" s="23" t="s">
        <v>40</v>
      </c>
      <c r="O270" s="23" t="s">
        <v>387</v>
      </c>
      <c r="P270" s="23" t="s">
        <v>40</v>
      </c>
      <c r="Q270" s="23" t="s">
        <v>40</v>
      </c>
      <c r="R270" s="23" t="s">
        <v>327</v>
      </c>
      <c r="S270" s="23" t="s">
        <v>40</v>
      </c>
      <c r="T270" s="23" t="s">
        <v>9153</v>
      </c>
    </row>
    <row r="271" spans="1:20" x14ac:dyDescent="0.25">
      <c r="A271" s="23" t="s">
        <v>9154</v>
      </c>
      <c r="B271" s="23" t="s">
        <v>8879</v>
      </c>
      <c r="C271" s="23" t="s">
        <v>9147</v>
      </c>
      <c r="D271" s="23" t="s">
        <v>9155</v>
      </c>
      <c r="E271" s="23" t="s">
        <v>9156</v>
      </c>
      <c r="F271" s="23" t="s">
        <v>40</v>
      </c>
      <c r="G271" s="23" t="s">
        <v>9157</v>
      </c>
      <c r="H271" s="23" t="s">
        <v>9158</v>
      </c>
      <c r="I271" s="23" t="s">
        <v>9159</v>
      </c>
      <c r="J271" s="23" t="s">
        <v>15</v>
      </c>
      <c r="K271" s="24" t="s">
        <v>386</v>
      </c>
      <c r="L271" s="23" t="s">
        <v>13</v>
      </c>
      <c r="M271" s="25" t="s">
        <v>18</v>
      </c>
      <c r="N271" s="23" t="s">
        <v>40</v>
      </c>
      <c r="O271" s="23" t="s">
        <v>387</v>
      </c>
      <c r="P271" s="23" t="s">
        <v>40</v>
      </c>
      <c r="Q271" s="23" t="s">
        <v>40</v>
      </c>
      <c r="R271" s="23" t="s">
        <v>327</v>
      </c>
      <c r="S271" s="23" t="s">
        <v>40</v>
      </c>
      <c r="T271" s="23" t="s">
        <v>9153</v>
      </c>
    </row>
    <row r="272" spans="1:20" x14ac:dyDescent="0.25">
      <c r="A272" s="23" t="s">
        <v>9160</v>
      </c>
      <c r="B272" s="23" t="s">
        <v>8879</v>
      </c>
      <c r="C272" s="23" t="s">
        <v>9161</v>
      </c>
      <c r="D272" s="23" t="s">
        <v>9162</v>
      </c>
      <c r="E272" s="23" t="s">
        <v>9163</v>
      </c>
      <c r="F272" s="23" t="s">
        <v>40</v>
      </c>
      <c r="G272" s="23" t="s">
        <v>9164</v>
      </c>
      <c r="H272" s="23" t="s">
        <v>9165</v>
      </c>
      <c r="I272" s="23" t="s">
        <v>9166</v>
      </c>
      <c r="J272" s="23" t="s">
        <v>525</v>
      </c>
      <c r="K272" s="24" t="s">
        <v>386</v>
      </c>
      <c r="L272" s="23" t="s">
        <v>13</v>
      </c>
      <c r="M272" s="28" t="s">
        <v>16</v>
      </c>
      <c r="N272" s="23" t="s">
        <v>1457</v>
      </c>
      <c r="O272" s="29" t="s">
        <v>87</v>
      </c>
      <c r="P272" s="23" t="s">
        <v>40</v>
      </c>
      <c r="Q272" s="23" t="s">
        <v>40</v>
      </c>
      <c r="R272" s="23" t="s">
        <v>327</v>
      </c>
      <c r="S272" s="23" t="s">
        <v>40</v>
      </c>
      <c r="T272" s="23" t="s">
        <v>40</v>
      </c>
    </row>
    <row r="273" spans="1:20" x14ac:dyDescent="0.25">
      <c r="A273" s="23" t="s">
        <v>9167</v>
      </c>
      <c r="B273" s="23" t="s">
        <v>8879</v>
      </c>
      <c r="C273" s="23" t="s">
        <v>9161</v>
      </c>
      <c r="D273" s="23" t="s">
        <v>9168</v>
      </c>
      <c r="E273" s="23" t="s">
        <v>9169</v>
      </c>
      <c r="F273" s="23" t="s">
        <v>40</v>
      </c>
      <c r="G273" s="23" t="s">
        <v>9170</v>
      </c>
      <c r="H273" s="23" t="s">
        <v>9171</v>
      </c>
      <c r="I273" s="23" t="s">
        <v>9172</v>
      </c>
      <c r="J273" s="23" t="s">
        <v>801</v>
      </c>
      <c r="K273" s="26" t="s">
        <v>396</v>
      </c>
      <c r="L273" s="23" t="s">
        <v>13</v>
      </c>
      <c r="M273" s="28" t="s">
        <v>16</v>
      </c>
      <c r="N273" s="23" t="s">
        <v>1457</v>
      </c>
      <c r="O273" s="29" t="s">
        <v>87</v>
      </c>
      <c r="P273" s="23" t="s">
        <v>40</v>
      </c>
      <c r="Q273" s="23" t="s">
        <v>40</v>
      </c>
      <c r="R273" s="23" t="s">
        <v>327</v>
      </c>
      <c r="S273" s="23" t="s">
        <v>40</v>
      </c>
      <c r="T273" s="23" t="s">
        <v>40</v>
      </c>
    </row>
    <row r="274" spans="1:20" x14ac:dyDescent="0.25">
      <c r="A274" s="23" t="s">
        <v>9173</v>
      </c>
      <c r="B274" s="23" t="s">
        <v>9174</v>
      </c>
      <c r="C274" s="23" t="s">
        <v>7839</v>
      </c>
      <c r="D274" s="23" t="s">
        <v>9175</v>
      </c>
      <c r="E274" s="23" t="s">
        <v>9176</v>
      </c>
      <c r="F274" s="23" t="s">
        <v>40</v>
      </c>
      <c r="G274" s="23" t="s">
        <v>9177</v>
      </c>
      <c r="H274" s="23" t="s">
        <v>9178</v>
      </c>
      <c r="I274" s="23" t="s">
        <v>9179</v>
      </c>
      <c r="J274" s="23" t="s">
        <v>14</v>
      </c>
      <c r="K274" s="26" t="s">
        <v>396</v>
      </c>
      <c r="L274" s="23" t="s">
        <v>13</v>
      </c>
      <c r="M274" s="25" t="s">
        <v>18</v>
      </c>
      <c r="N274" s="23" t="s">
        <v>40</v>
      </c>
      <c r="O274" s="23" t="s">
        <v>387</v>
      </c>
      <c r="P274" s="23" t="s">
        <v>40</v>
      </c>
      <c r="Q274" s="23" t="s">
        <v>40</v>
      </c>
      <c r="R274" s="23" t="s">
        <v>40</v>
      </c>
      <c r="S274" s="23" t="s">
        <v>40</v>
      </c>
      <c r="T274" s="23" t="s">
        <v>5446</v>
      </c>
    </row>
    <row r="275" spans="1:20" x14ac:dyDescent="0.25">
      <c r="A275" s="23" t="s">
        <v>9180</v>
      </c>
      <c r="B275" s="23" t="s">
        <v>9174</v>
      </c>
      <c r="C275" s="23" t="s">
        <v>7839</v>
      </c>
      <c r="D275" s="23" t="s">
        <v>9181</v>
      </c>
      <c r="E275" s="23" t="s">
        <v>9182</v>
      </c>
      <c r="F275" s="23" t="s">
        <v>40</v>
      </c>
      <c r="G275" s="23" t="s">
        <v>9183</v>
      </c>
      <c r="H275" s="23" t="s">
        <v>9184</v>
      </c>
      <c r="I275" s="23" t="s">
        <v>9185</v>
      </c>
      <c r="J275" s="23" t="s">
        <v>15</v>
      </c>
      <c r="K275" s="24" t="s">
        <v>386</v>
      </c>
      <c r="L275" s="23" t="s">
        <v>13</v>
      </c>
      <c r="M275" s="25" t="s">
        <v>18</v>
      </c>
      <c r="N275" s="23" t="s">
        <v>40</v>
      </c>
      <c r="O275" s="23" t="s">
        <v>387</v>
      </c>
      <c r="P275" s="23" t="s">
        <v>40</v>
      </c>
      <c r="Q275" s="23" t="s">
        <v>40</v>
      </c>
      <c r="R275" s="23" t="s">
        <v>40</v>
      </c>
      <c r="S275" s="23" t="s">
        <v>9186</v>
      </c>
      <c r="T275" s="23" t="s">
        <v>5446</v>
      </c>
    </row>
    <row r="276" spans="1:20" x14ac:dyDescent="0.25">
      <c r="A276" s="23" t="s">
        <v>9187</v>
      </c>
      <c r="B276" s="23" t="s">
        <v>9174</v>
      </c>
      <c r="C276" s="23" t="s">
        <v>7839</v>
      </c>
      <c r="D276" s="23" t="s">
        <v>9188</v>
      </c>
      <c r="E276" s="23" t="s">
        <v>9189</v>
      </c>
      <c r="F276" s="23" t="s">
        <v>40</v>
      </c>
      <c r="G276" s="23" t="s">
        <v>9190</v>
      </c>
      <c r="H276" s="23" t="s">
        <v>9191</v>
      </c>
      <c r="I276" s="23" t="s">
        <v>9192</v>
      </c>
      <c r="J276" s="23" t="s">
        <v>489</v>
      </c>
      <c r="K276" s="27" t="s">
        <v>404</v>
      </c>
      <c r="L276" s="23" t="s">
        <v>405</v>
      </c>
      <c r="M276" s="25" t="s">
        <v>18</v>
      </c>
      <c r="N276" s="23" t="s">
        <v>40</v>
      </c>
      <c r="O276" s="23" t="s">
        <v>387</v>
      </c>
      <c r="P276" s="23" t="s">
        <v>40</v>
      </c>
      <c r="Q276" s="23" t="s">
        <v>40</v>
      </c>
      <c r="R276" s="23" t="s">
        <v>40</v>
      </c>
      <c r="S276" s="23" t="s">
        <v>40</v>
      </c>
      <c r="T276" s="23" t="s">
        <v>9193</v>
      </c>
    </row>
    <row r="277" spans="1:20" x14ac:dyDescent="0.25">
      <c r="A277" s="23" t="s">
        <v>9194</v>
      </c>
      <c r="B277" s="23" t="s">
        <v>9174</v>
      </c>
      <c r="C277" s="23" t="s">
        <v>7839</v>
      </c>
      <c r="D277" s="23" t="s">
        <v>9195</v>
      </c>
      <c r="E277" s="23" t="s">
        <v>9196</v>
      </c>
      <c r="F277" s="23" t="s">
        <v>40</v>
      </c>
      <c r="G277" s="23" t="s">
        <v>9197</v>
      </c>
      <c r="H277" s="23" t="s">
        <v>9198</v>
      </c>
      <c r="I277" s="23" t="s">
        <v>9199</v>
      </c>
      <c r="J277" s="23" t="s">
        <v>14</v>
      </c>
      <c r="K277" s="27" t="s">
        <v>404</v>
      </c>
      <c r="L277" s="23" t="s">
        <v>490</v>
      </c>
      <c r="M277" s="25" t="s">
        <v>18</v>
      </c>
      <c r="N277" s="23" t="s">
        <v>40</v>
      </c>
      <c r="O277" s="23" t="s">
        <v>387</v>
      </c>
      <c r="P277" s="23" t="s">
        <v>40</v>
      </c>
      <c r="Q277" s="23" t="s">
        <v>40</v>
      </c>
      <c r="R277" s="23" t="s">
        <v>40</v>
      </c>
      <c r="S277" s="23" t="s">
        <v>40</v>
      </c>
      <c r="T277" s="23" t="s">
        <v>9200</v>
      </c>
    </row>
    <row r="278" spans="1:20" x14ac:dyDescent="0.25">
      <c r="A278" s="23" t="s">
        <v>9201</v>
      </c>
      <c r="B278" s="23" t="s">
        <v>9174</v>
      </c>
      <c r="C278" s="23" t="s">
        <v>7839</v>
      </c>
      <c r="D278" s="23" t="s">
        <v>9202</v>
      </c>
      <c r="E278" s="23" t="s">
        <v>9203</v>
      </c>
      <c r="F278" s="23" t="s">
        <v>40</v>
      </c>
      <c r="G278" s="23" t="s">
        <v>9204</v>
      </c>
      <c r="H278" s="23" t="s">
        <v>9205</v>
      </c>
      <c r="I278" s="23" t="s">
        <v>9206</v>
      </c>
      <c r="J278" s="23" t="s">
        <v>14</v>
      </c>
      <c r="K278" s="24" t="s">
        <v>386</v>
      </c>
      <c r="L278" s="23" t="s">
        <v>405</v>
      </c>
      <c r="M278" s="25" t="s">
        <v>18</v>
      </c>
      <c r="N278" s="23" t="s">
        <v>40</v>
      </c>
      <c r="O278" s="23" t="s">
        <v>387</v>
      </c>
      <c r="P278" s="23" t="s">
        <v>40</v>
      </c>
      <c r="Q278" s="23" t="s">
        <v>40</v>
      </c>
      <c r="R278" s="23" t="s">
        <v>40</v>
      </c>
      <c r="S278" s="23" t="s">
        <v>40</v>
      </c>
      <c r="T278" s="23" t="s">
        <v>5446</v>
      </c>
    </row>
    <row r="279" spans="1:20" x14ac:dyDescent="0.25">
      <c r="A279" s="23" t="s">
        <v>9207</v>
      </c>
      <c r="B279" s="23" t="s">
        <v>9174</v>
      </c>
      <c r="C279" s="23" t="s">
        <v>9208</v>
      </c>
      <c r="D279" s="23" t="s">
        <v>9209</v>
      </c>
      <c r="E279" s="23" t="s">
        <v>9210</v>
      </c>
      <c r="F279" s="23" t="s">
        <v>40</v>
      </c>
      <c r="G279" s="23" t="s">
        <v>9211</v>
      </c>
      <c r="H279" s="23" t="s">
        <v>9212</v>
      </c>
      <c r="I279" s="23" t="s">
        <v>9213</v>
      </c>
      <c r="J279" s="23" t="s">
        <v>14</v>
      </c>
      <c r="K279" s="26" t="s">
        <v>396</v>
      </c>
      <c r="L279" s="23" t="s">
        <v>13</v>
      </c>
      <c r="M279" s="25" t="s">
        <v>18</v>
      </c>
      <c r="N279" s="23" t="s">
        <v>40</v>
      </c>
      <c r="O279" s="23" t="s">
        <v>387</v>
      </c>
      <c r="P279" s="23" t="s">
        <v>40</v>
      </c>
      <c r="Q279" s="23" t="s">
        <v>40</v>
      </c>
      <c r="R279" s="23" t="s">
        <v>40</v>
      </c>
      <c r="S279" s="23" t="s">
        <v>40</v>
      </c>
      <c r="T279" s="23" t="s">
        <v>9214</v>
      </c>
    </row>
    <row r="280" spans="1:20" x14ac:dyDescent="0.25">
      <c r="A280" s="23" t="s">
        <v>9215</v>
      </c>
      <c r="B280" s="23" t="s">
        <v>9174</v>
      </c>
      <c r="C280" s="23" t="s">
        <v>9208</v>
      </c>
      <c r="D280" s="23" t="s">
        <v>9216</v>
      </c>
      <c r="E280" s="23" t="s">
        <v>9217</v>
      </c>
      <c r="F280" s="23" t="s">
        <v>40</v>
      </c>
      <c r="G280" s="23" t="s">
        <v>9218</v>
      </c>
      <c r="H280" s="23" t="s">
        <v>9219</v>
      </c>
      <c r="I280" s="23" t="s">
        <v>9220</v>
      </c>
      <c r="J280" s="23" t="s">
        <v>14</v>
      </c>
      <c r="K280" s="26" t="s">
        <v>396</v>
      </c>
      <c r="L280" s="23" t="s">
        <v>13</v>
      </c>
      <c r="M280" s="25" t="s">
        <v>18</v>
      </c>
      <c r="N280" s="23" t="s">
        <v>40</v>
      </c>
      <c r="O280" s="23" t="s">
        <v>387</v>
      </c>
      <c r="P280" s="23" t="s">
        <v>40</v>
      </c>
      <c r="Q280" s="23" t="s">
        <v>40</v>
      </c>
      <c r="R280" s="23" t="s">
        <v>40</v>
      </c>
      <c r="S280" s="23" t="s">
        <v>9221</v>
      </c>
      <c r="T280" s="23" t="s">
        <v>5960</v>
      </c>
    </row>
    <row r="281" spans="1:20" x14ac:dyDescent="0.25">
      <c r="A281" s="23" t="s">
        <v>9222</v>
      </c>
      <c r="B281" s="23" t="s">
        <v>9174</v>
      </c>
      <c r="C281" s="23" t="s">
        <v>9208</v>
      </c>
      <c r="D281" s="23" t="s">
        <v>9223</v>
      </c>
      <c r="E281" s="23" t="s">
        <v>9224</v>
      </c>
      <c r="F281" s="23" t="s">
        <v>40</v>
      </c>
      <c r="G281" s="23" t="s">
        <v>9225</v>
      </c>
      <c r="H281" s="23" t="s">
        <v>9226</v>
      </c>
      <c r="I281" s="23" t="s">
        <v>9227</v>
      </c>
      <c r="J281" s="23" t="s">
        <v>14</v>
      </c>
      <c r="K281" s="24" t="s">
        <v>386</v>
      </c>
      <c r="L281" s="23" t="s">
        <v>405</v>
      </c>
      <c r="M281" s="25" t="s">
        <v>18</v>
      </c>
      <c r="N281" s="23" t="s">
        <v>40</v>
      </c>
      <c r="O281" s="23" t="s">
        <v>387</v>
      </c>
      <c r="P281" s="23" t="s">
        <v>40</v>
      </c>
      <c r="Q281" s="23" t="s">
        <v>40</v>
      </c>
      <c r="R281" s="23" t="s">
        <v>40</v>
      </c>
      <c r="S281" s="23" t="s">
        <v>40</v>
      </c>
      <c r="T281" s="23" t="s">
        <v>5960</v>
      </c>
    </row>
    <row r="282" spans="1:20" x14ac:dyDescent="0.25">
      <c r="A282" s="23" t="s">
        <v>9228</v>
      </c>
      <c r="B282" s="23" t="s">
        <v>9174</v>
      </c>
      <c r="C282" s="23" t="s">
        <v>9208</v>
      </c>
      <c r="D282" s="23" t="s">
        <v>9229</v>
      </c>
      <c r="E282" s="23" t="s">
        <v>9230</v>
      </c>
      <c r="F282" s="23" t="s">
        <v>40</v>
      </c>
      <c r="G282" s="23" t="s">
        <v>9231</v>
      </c>
      <c r="H282" s="23" t="s">
        <v>9232</v>
      </c>
      <c r="I282" s="23" t="s">
        <v>9233</v>
      </c>
      <c r="J282" s="23" t="s">
        <v>14</v>
      </c>
      <c r="K282" s="24" t="s">
        <v>386</v>
      </c>
      <c r="L282" s="23" t="s">
        <v>405</v>
      </c>
      <c r="M282" s="25" t="s">
        <v>18</v>
      </c>
      <c r="N282" s="23" t="s">
        <v>40</v>
      </c>
      <c r="O282" s="23" t="s">
        <v>387</v>
      </c>
      <c r="P282" s="23" t="s">
        <v>40</v>
      </c>
      <c r="Q282" s="23" t="s">
        <v>40</v>
      </c>
      <c r="R282" s="23" t="s">
        <v>40</v>
      </c>
      <c r="S282" s="23" t="s">
        <v>40</v>
      </c>
      <c r="T282" s="23" t="s">
        <v>9234</v>
      </c>
    </row>
    <row r="283" spans="1:20" x14ac:dyDescent="0.25">
      <c r="A283" s="23" t="s">
        <v>9235</v>
      </c>
      <c r="B283" s="23" t="s">
        <v>9174</v>
      </c>
      <c r="C283" s="23" t="s">
        <v>9208</v>
      </c>
      <c r="D283" s="23" t="s">
        <v>9236</v>
      </c>
      <c r="E283" s="23" t="s">
        <v>9237</v>
      </c>
      <c r="F283" s="23" t="s">
        <v>40</v>
      </c>
      <c r="G283" s="23" t="s">
        <v>9238</v>
      </c>
      <c r="H283" s="23" t="s">
        <v>9239</v>
      </c>
      <c r="I283" s="23" t="s">
        <v>9240</v>
      </c>
      <c r="J283" s="23" t="s">
        <v>14</v>
      </c>
      <c r="K283" s="24" t="s">
        <v>386</v>
      </c>
      <c r="L283" s="23" t="s">
        <v>405</v>
      </c>
      <c r="M283" s="25" t="s">
        <v>18</v>
      </c>
      <c r="N283" s="23" t="s">
        <v>40</v>
      </c>
      <c r="O283" s="23" t="s">
        <v>387</v>
      </c>
      <c r="P283" s="23" t="s">
        <v>40</v>
      </c>
      <c r="Q283" s="23" t="s">
        <v>40</v>
      </c>
      <c r="R283" s="23" t="s">
        <v>40</v>
      </c>
      <c r="S283" s="23" t="s">
        <v>40</v>
      </c>
      <c r="T283" s="23" t="s">
        <v>9241</v>
      </c>
    </row>
    <row r="284" spans="1:20" x14ac:dyDescent="0.25">
      <c r="A284" s="23" t="s">
        <v>9242</v>
      </c>
      <c r="B284" s="23" t="s">
        <v>9174</v>
      </c>
      <c r="C284" s="23" t="s">
        <v>9208</v>
      </c>
      <c r="D284" s="23" t="s">
        <v>9243</v>
      </c>
      <c r="E284" s="23" t="s">
        <v>9244</v>
      </c>
      <c r="F284" s="23" t="s">
        <v>40</v>
      </c>
      <c r="G284" s="23" t="s">
        <v>9245</v>
      </c>
      <c r="H284" s="23" t="s">
        <v>9246</v>
      </c>
      <c r="I284" s="23" t="s">
        <v>9247</v>
      </c>
      <c r="J284" s="23" t="s">
        <v>14</v>
      </c>
      <c r="K284" s="27" t="s">
        <v>404</v>
      </c>
      <c r="L284" s="23" t="s">
        <v>490</v>
      </c>
      <c r="M284" s="25" t="s">
        <v>18</v>
      </c>
      <c r="N284" s="23" t="s">
        <v>40</v>
      </c>
      <c r="O284" s="23" t="s">
        <v>387</v>
      </c>
      <c r="P284" s="23" t="s">
        <v>40</v>
      </c>
      <c r="Q284" s="23" t="s">
        <v>40</v>
      </c>
      <c r="R284" s="23" t="s">
        <v>40</v>
      </c>
      <c r="S284" s="23" t="s">
        <v>40</v>
      </c>
      <c r="T284" s="23" t="s">
        <v>40</v>
      </c>
    </row>
    <row r="285" spans="1:20" x14ac:dyDescent="0.25">
      <c r="A285" s="23" t="s">
        <v>9248</v>
      </c>
      <c r="B285" s="23" t="s">
        <v>9174</v>
      </c>
      <c r="C285" s="23" t="s">
        <v>9249</v>
      </c>
      <c r="D285" s="23" t="s">
        <v>9250</v>
      </c>
      <c r="E285" s="23" t="s">
        <v>9251</v>
      </c>
      <c r="F285" s="23" t="s">
        <v>40</v>
      </c>
      <c r="G285" s="23" t="s">
        <v>9252</v>
      </c>
      <c r="H285" s="23" t="s">
        <v>9253</v>
      </c>
      <c r="I285" s="23" t="s">
        <v>9254</v>
      </c>
      <c r="J285" s="23" t="s">
        <v>14</v>
      </c>
      <c r="K285" s="26" t="s">
        <v>396</v>
      </c>
      <c r="L285" s="23" t="s">
        <v>13</v>
      </c>
      <c r="M285" s="25" t="s">
        <v>18</v>
      </c>
      <c r="N285" s="23" t="s">
        <v>40</v>
      </c>
      <c r="O285" s="23" t="s">
        <v>387</v>
      </c>
      <c r="P285" s="23" t="s">
        <v>40</v>
      </c>
      <c r="Q285" s="23" t="s">
        <v>40</v>
      </c>
      <c r="R285" s="23" t="s">
        <v>40</v>
      </c>
      <c r="S285" s="23" t="s">
        <v>9255</v>
      </c>
      <c r="T285" s="23" t="s">
        <v>9256</v>
      </c>
    </row>
    <row r="286" spans="1:20" x14ac:dyDescent="0.25">
      <c r="A286" s="23" t="s">
        <v>9257</v>
      </c>
      <c r="B286" s="23" t="s">
        <v>9174</v>
      </c>
      <c r="C286" s="23" t="s">
        <v>9258</v>
      </c>
      <c r="D286" s="23" t="s">
        <v>9259</v>
      </c>
      <c r="E286" s="23" t="s">
        <v>9260</v>
      </c>
      <c r="F286" s="23" t="s">
        <v>40</v>
      </c>
      <c r="G286" s="23" t="s">
        <v>9261</v>
      </c>
      <c r="H286" s="23" t="s">
        <v>9262</v>
      </c>
      <c r="I286" s="23" t="s">
        <v>9263</v>
      </c>
      <c r="J286" s="23" t="s">
        <v>14</v>
      </c>
      <c r="K286" s="24" t="s">
        <v>386</v>
      </c>
      <c r="L286" s="23" t="s">
        <v>405</v>
      </c>
      <c r="M286" s="33" t="s">
        <v>20</v>
      </c>
      <c r="N286" s="23" t="s">
        <v>40</v>
      </c>
      <c r="O286" s="23" t="s">
        <v>387</v>
      </c>
      <c r="P286" s="23" t="s">
        <v>40</v>
      </c>
      <c r="Q286" s="23" t="s">
        <v>40</v>
      </c>
      <c r="R286" s="23" t="s">
        <v>40</v>
      </c>
      <c r="S286" s="23" t="s">
        <v>9264</v>
      </c>
      <c r="T286" s="23" t="s">
        <v>9265</v>
      </c>
    </row>
    <row r="287" spans="1:20" x14ac:dyDescent="0.25">
      <c r="A287" s="23" t="s">
        <v>9266</v>
      </c>
      <c r="B287" s="23" t="s">
        <v>9267</v>
      </c>
      <c r="C287" s="23" t="s">
        <v>29</v>
      </c>
      <c r="D287" s="23" t="s">
        <v>9268</v>
      </c>
      <c r="E287" s="23" t="s">
        <v>9269</v>
      </c>
      <c r="F287" s="23" t="s">
        <v>40</v>
      </c>
      <c r="G287" s="23" t="s">
        <v>9270</v>
      </c>
      <c r="H287" s="23" t="s">
        <v>9271</v>
      </c>
      <c r="I287" s="23" t="s">
        <v>9272</v>
      </c>
      <c r="J287" s="23" t="s">
        <v>801</v>
      </c>
      <c r="K287" s="26" t="s">
        <v>396</v>
      </c>
      <c r="L287" s="23" t="s">
        <v>13</v>
      </c>
      <c r="M287" s="25" t="s">
        <v>18</v>
      </c>
      <c r="N287" s="23" t="s">
        <v>40</v>
      </c>
      <c r="O287" s="23" t="s">
        <v>387</v>
      </c>
      <c r="P287" s="23" t="s">
        <v>40</v>
      </c>
      <c r="Q287" s="23" t="s">
        <v>40</v>
      </c>
      <c r="R287" s="23" t="s">
        <v>40</v>
      </c>
      <c r="S287" s="23" t="s">
        <v>40</v>
      </c>
      <c r="T287" s="23" t="s">
        <v>9273</v>
      </c>
    </row>
    <row r="288" spans="1:20" x14ac:dyDescent="0.25">
      <c r="A288" s="23" t="s">
        <v>9274</v>
      </c>
      <c r="B288" s="23" t="s">
        <v>9267</v>
      </c>
      <c r="C288" s="23" t="s">
        <v>31</v>
      </c>
      <c r="D288" s="23" t="s">
        <v>9275</v>
      </c>
      <c r="E288" s="23" t="s">
        <v>9276</v>
      </c>
      <c r="F288" s="23" t="s">
        <v>40</v>
      </c>
      <c r="G288" s="23" t="s">
        <v>9277</v>
      </c>
      <c r="H288" s="23" t="s">
        <v>9278</v>
      </c>
      <c r="I288" s="23" t="s">
        <v>9279</v>
      </c>
      <c r="J288" s="23" t="s">
        <v>801</v>
      </c>
      <c r="K288" s="26" t="s">
        <v>396</v>
      </c>
      <c r="L288" s="23" t="s">
        <v>13</v>
      </c>
      <c r="M288" s="25" t="s">
        <v>18</v>
      </c>
      <c r="N288" s="23" t="s">
        <v>40</v>
      </c>
      <c r="O288" s="23" t="s">
        <v>387</v>
      </c>
      <c r="P288" s="23" t="s">
        <v>40</v>
      </c>
      <c r="Q288" s="23" t="s">
        <v>40</v>
      </c>
      <c r="R288" s="23" t="s">
        <v>40</v>
      </c>
      <c r="S288" s="23" t="s">
        <v>9280</v>
      </c>
      <c r="T288" s="23" t="s">
        <v>8694</v>
      </c>
    </row>
    <row r="289" spans="1:20" x14ac:dyDescent="0.25">
      <c r="A289" s="23" t="s">
        <v>9281</v>
      </c>
      <c r="B289" s="23" t="s">
        <v>9267</v>
      </c>
      <c r="C289" s="23" t="s">
        <v>31</v>
      </c>
      <c r="D289" s="23" t="s">
        <v>9282</v>
      </c>
      <c r="E289" s="23" t="s">
        <v>9283</v>
      </c>
      <c r="F289" s="23" t="s">
        <v>40</v>
      </c>
      <c r="G289" s="23" t="s">
        <v>9284</v>
      </c>
      <c r="H289" s="23" t="s">
        <v>9285</v>
      </c>
      <c r="I289" s="23" t="s">
        <v>9286</v>
      </c>
      <c r="J289" s="23" t="s">
        <v>801</v>
      </c>
      <c r="K289" s="26" t="s">
        <v>396</v>
      </c>
      <c r="L289" s="23" t="s">
        <v>13</v>
      </c>
      <c r="M289" s="25" t="s">
        <v>18</v>
      </c>
      <c r="N289" s="23" t="s">
        <v>40</v>
      </c>
      <c r="O289" s="23" t="s">
        <v>387</v>
      </c>
      <c r="P289" s="23" t="s">
        <v>40</v>
      </c>
      <c r="Q289" s="23" t="s">
        <v>40</v>
      </c>
      <c r="R289" s="23" t="s">
        <v>40</v>
      </c>
      <c r="S289" s="23" t="s">
        <v>40</v>
      </c>
      <c r="T289" s="23" t="s">
        <v>40</v>
      </c>
    </row>
    <row r="290" spans="1:20" x14ac:dyDescent="0.25">
      <c r="A290" s="23" t="s">
        <v>9287</v>
      </c>
      <c r="B290" s="23" t="s">
        <v>9267</v>
      </c>
      <c r="C290" s="23" t="s">
        <v>9288</v>
      </c>
      <c r="D290" s="23" t="s">
        <v>9289</v>
      </c>
      <c r="E290" s="23" t="s">
        <v>9290</v>
      </c>
      <c r="F290" s="23" t="s">
        <v>40</v>
      </c>
      <c r="G290" s="23" t="s">
        <v>9291</v>
      </c>
      <c r="H290" s="23" t="s">
        <v>9292</v>
      </c>
      <c r="I290" s="23" t="s">
        <v>9293</v>
      </c>
      <c r="J290" s="23" t="s">
        <v>801</v>
      </c>
      <c r="K290" s="24" t="s">
        <v>386</v>
      </c>
      <c r="L290" s="23" t="s">
        <v>405</v>
      </c>
      <c r="M290" s="25" t="s">
        <v>18</v>
      </c>
      <c r="N290" s="23" t="s">
        <v>40</v>
      </c>
      <c r="O290" s="23" t="s">
        <v>387</v>
      </c>
      <c r="P290" s="23" t="s">
        <v>40</v>
      </c>
      <c r="Q290" s="23" t="s">
        <v>40</v>
      </c>
      <c r="R290" s="23" t="s">
        <v>40</v>
      </c>
      <c r="S290" s="23" t="s">
        <v>40</v>
      </c>
      <c r="T290" s="23" t="s">
        <v>9294</v>
      </c>
    </row>
    <row r="291" spans="1:20" x14ac:dyDescent="0.25">
      <c r="A291" s="23" t="s">
        <v>9295</v>
      </c>
      <c r="B291" s="23" t="s">
        <v>9267</v>
      </c>
      <c r="C291" s="23" t="s">
        <v>25</v>
      </c>
      <c r="D291" s="23" t="s">
        <v>9296</v>
      </c>
      <c r="E291" s="23" t="s">
        <v>9297</v>
      </c>
      <c r="F291" s="23" t="s">
        <v>40</v>
      </c>
      <c r="G291" s="23" t="s">
        <v>9298</v>
      </c>
      <c r="H291" s="23" t="s">
        <v>9299</v>
      </c>
      <c r="I291" s="23" t="s">
        <v>9300</v>
      </c>
      <c r="J291" s="23" t="s">
        <v>801</v>
      </c>
      <c r="K291" s="27" t="s">
        <v>404</v>
      </c>
      <c r="L291" s="23" t="s">
        <v>490</v>
      </c>
      <c r="M291" s="25" t="s">
        <v>18</v>
      </c>
      <c r="N291" s="23" t="s">
        <v>40</v>
      </c>
      <c r="O291" s="23" t="s">
        <v>387</v>
      </c>
      <c r="P291" s="23" t="s">
        <v>40</v>
      </c>
      <c r="Q291" s="23" t="s">
        <v>40</v>
      </c>
      <c r="R291" s="23" t="s">
        <v>40</v>
      </c>
      <c r="S291" s="23" t="s">
        <v>40</v>
      </c>
      <c r="T291" s="23" t="s">
        <v>40</v>
      </c>
    </row>
    <row r="292" spans="1:20" x14ac:dyDescent="0.25">
      <c r="A292" s="23" t="s">
        <v>9301</v>
      </c>
      <c r="B292" s="23" t="s">
        <v>9267</v>
      </c>
      <c r="C292" s="23" t="s">
        <v>9302</v>
      </c>
      <c r="D292" s="23" t="s">
        <v>9303</v>
      </c>
      <c r="E292" s="23" t="s">
        <v>9304</v>
      </c>
      <c r="F292" s="23" t="s">
        <v>40</v>
      </c>
      <c r="G292" s="23" t="s">
        <v>9305</v>
      </c>
      <c r="H292" s="23" t="s">
        <v>9306</v>
      </c>
      <c r="I292" s="23" t="s">
        <v>9307</v>
      </c>
      <c r="J292" s="23" t="s">
        <v>801</v>
      </c>
      <c r="K292" s="24" t="s">
        <v>386</v>
      </c>
      <c r="L292" s="23" t="s">
        <v>405</v>
      </c>
      <c r="M292" s="33" t="s">
        <v>20</v>
      </c>
      <c r="N292" s="23" t="s">
        <v>40</v>
      </c>
      <c r="O292" s="23" t="s">
        <v>387</v>
      </c>
      <c r="P292" s="23" t="s">
        <v>40</v>
      </c>
      <c r="Q292" s="23" t="s">
        <v>40</v>
      </c>
      <c r="R292" s="23" t="s">
        <v>40</v>
      </c>
      <c r="S292" s="23" t="s">
        <v>9308</v>
      </c>
      <c r="T292" s="23" t="s">
        <v>40</v>
      </c>
    </row>
    <row r="293" spans="1:20" x14ac:dyDescent="0.25">
      <c r="A293" s="23" t="s">
        <v>9309</v>
      </c>
      <c r="B293" s="23" t="s">
        <v>9310</v>
      </c>
      <c r="C293" s="23" t="s">
        <v>9311</v>
      </c>
      <c r="D293" s="23" t="s">
        <v>9312</v>
      </c>
      <c r="E293" s="23" t="s">
        <v>3835</v>
      </c>
      <c r="F293" s="23" t="s">
        <v>40</v>
      </c>
      <c r="G293" s="23" t="s">
        <v>9313</v>
      </c>
      <c r="H293" s="23" t="s">
        <v>9314</v>
      </c>
      <c r="I293" s="23" t="s">
        <v>9315</v>
      </c>
      <c r="J293" s="23" t="s">
        <v>14</v>
      </c>
      <c r="K293" s="24" t="s">
        <v>386</v>
      </c>
      <c r="L293" s="23" t="s">
        <v>405</v>
      </c>
      <c r="M293" s="25" t="s">
        <v>18</v>
      </c>
      <c r="N293" s="23" t="s">
        <v>40</v>
      </c>
      <c r="O293" s="23" t="s">
        <v>387</v>
      </c>
      <c r="P293" s="23" t="s">
        <v>40</v>
      </c>
      <c r="Q293" s="23" t="s">
        <v>40</v>
      </c>
      <c r="R293" s="23" t="s">
        <v>9316</v>
      </c>
      <c r="S293" s="23" t="s">
        <v>9317</v>
      </c>
      <c r="T293" s="23" t="s">
        <v>9318</v>
      </c>
    </row>
    <row r="294" spans="1:20" x14ac:dyDescent="0.25">
      <c r="A294" s="23" t="s">
        <v>9319</v>
      </c>
      <c r="B294" s="23" t="s">
        <v>9310</v>
      </c>
      <c r="C294" s="23" t="s">
        <v>9311</v>
      </c>
      <c r="D294" s="23" t="s">
        <v>9320</v>
      </c>
      <c r="E294" s="23" t="s">
        <v>3835</v>
      </c>
      <c r="F294" s="23" t="s">
        <v>40</v>
      </c>
      <c r="G294" s="23" t="s">
        <v>9321</v>
      </c>
      <c r="H294" s="23" t="s">
        <v>9322</v>
      </c>
      <c r="I294" s="23" t="s">
        <v>9323</v>
      </c>
      <c r="J294" s="23" t="s">
        <v>489</v>
      </c>
      <c r="K294" s="27" t="s">
        <v>404</v>
      </c>
      <c r="L294" s="23" t="s">
        <v>490</v>
      </c>
      <c r="M294" s="25" t="s">
        <v>18</v>
      </c>
      <c r="N294" s="23" t="s">
        <v>40</v>
      </c>
      <c r="O294" s="23" t="s">
        <v>387</v>
      </c>
      <c r="P294" s="23" t="s">
        <v>40</v>
      </c>
      <c r="Q294" s="23" t="s">
        <v>40</v>
      </c>
      <c r="R294" s="23" t="s">
        <v>9316</v>
      </c>
      <c r="S294" s="23" t="s">
        <v>9317</v>
      </c>
      <c r="T294" s="23" t="s">
        <v>9318</v>
      </c>
    </row>
    <row r="295" spans="1:20" x14ac:dyDescent="0.25">
      <c r="A295" s="23" t="s">
        <v>9324</v>
      </c>
      <c r="B295" s="23" t="s">
        <v>9310</v>
      </c>
      <c r="C295" s="23" t="s">
        <v>9311</v>
      </c>
      <c r="D295" s="23" t="s">
        <v>9325</v>
      </c>
      <c r="E295" s="23" t="s">
        <v>3835</v>
      </c>
      <c r="F295" s="23" t="s">
        <v>40</v>
      </c>
      <c r="G295" s="23" t="s">
        <v>9326</v>
      </c>
      <c r="H295" s="23" t="s">
        <v>9327</v>
      </c>
      <c r="I295" s="23" t="s">
        <v>3984</v>
      </c>
      <c r="J295" s="23" t="s">
        <v>489</v>
      </c>
      <c r="K295" s="27" t="s">
        <v>404</v>
      </c>
      <c r="L295" s="23" t="s">
        <v>490</v>
      </c>
      <c r="M295" s="25" t="s">
        <v>18</v>
      </c>
      <c r="N295" s="23" t="s">
        <v>40</v>
      </c>
      <c r="O295" s="23" t="s">
        <v>387</v>
      </c>
      <c r="P295" s="23" t="s">
        <v>40</v>
      </c>
      <c r="Q295" s="23" t="s">
        <v>40</v>
      </c>
      <c r="R295" s="23" t="s">
        <v>9316</v>
      </c>
      <c r="S295" s="23" t="s">
        <v>9317</v>
      </c>
      <c r="T295" s="23" t="s">
        <v>9318</v>
      </c>
    </row>
    <row r="296" spans="1:20" x14ac:dyDescent="0.25">
      <c r="A296" s="23" t="s">
        <v>9328</v>
      </c>
      <c r="B296" s="23" t="s">
        <v>9310</v>
      </c>
      <c r="C296" s="23" t="s">
        <v>9311</v>
      </c>
      <c r="D296" s="23" t="s">
        <v>9329</v>
      </c>
      <c r="E296" s="23" t="s">
        <v>3835</v>
      </c>
      <c r="F296" s="23" t="s">
        <v>40</v>
      </c>
      <c r="G296" s="23" t="s">
        <v>9330</v>
      </c>
      <c r="H296" s="23" t="s">
        <v>9331</v>
      </c>
      <c r="I296" s="23" t="s">
        <v>9332</v>
      </c>
      <c r="J296" s="23" t="s">
        <v>801</v>
      </c>
      <c r="K296" s="24" t="s">
        <v>386</v>
      </c>
      <c r="L296" s="23" t="s">
        <v>405</v>
      </c>
      <c r="M296" s="25" t="s">
        <v>18</v>
      </c>
      <c r="N296" s="23" t="s">
        <v>40</v>
      </c>
      <c r="O296" s="23" t="s">
        <v>387</v>
      </c>
      <c r="P296" s="23" t="s">
        <v>40</v>
      </c>
      <c r="Q296" s="23" t="s">
        <v>40</v>
      </c>
      <c r="R296" s="23" t="s">
        <v>9316</v>
      </c>
      <c r="S296" s="23" t="s">
        <v>9317</v>
      </c>
      <c r="T296" s="23" t="s">
        <v>9318</v>
      </c>
    </row>
  </sheetData>
  <autoFilter ref="A1:T296"/>
  <dataValidations count="2">
    <dataValidation type="list" allowBlank="1" sqref="O10:O296">
      <formula1>"Passed,Failed,Blocked,Not Executed,Passed (19 Oct 2026)"</formula1>
    </dataValidation>
    <dataValidation type="list" allowBlank="1" sqref="O2:O296">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86"/>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9333</v>
      </c>
      <c r="B2" s="23" t="s">
        <v>230</v>
      </c>
      <c r="C2" s="23" t="s">
        <v>944</v>
      </c>
      <c r="D2" s="23" t="s">
        <v>9334</v>
      </c>
      <c r="E2" s="23" t="s">
        <v>3835</v>
      </c>
      <c r="F2" s="23" t="s">
        <v>9335</v>
      </c>
      <c r="G2" s="23" t="s">
        <v>9336</v>
      </c>
      <c r="H2" s="23" t="s">
        <v>9337</v>
      </c>
      <c r="I2" s="23" t="s">
        <v>9338</v>
      </c>
      <c r="J2" s="23" t="s">
        <v>385</v>
      </c>
      <c r="K2" s="24" t="s">
        <v>386</v>
      </c>
      <c r="L2" s="23" t="s">
        <v>13</v>
      </c>
      <c r="M2" s="31" t="s">
        <v>17</v>
      </c>
      <c r="N2" s="23" t="s">
        <v>9339</v>
      </c>
      <c r="O2" s="29" t="s">
        <v>87</v>
      </c>
      <c r="P2" s="23" t="s">
        <v>40</v>
      </c>
      <c r="Q2" s="23" t="s">
        <v>40</v>
      </c>
      <c r="R2" s="23" t="s">
        <v>231</v>
      </c>
      <c r="S2" s="23" t="s">
        <v>40</v>
      </c>
      <c r="T2" s="23" t="s">
        <v>40</v>
      </c>
    </row>
    <row r="3" spans="1:20" x14ac:dyDescent="0.25">
      <c r="A3" s="23" t="s">
        <v>9340</v>
      </c>
      <c r="B3" s="23" t="s">
        <v>230</v>
      </c>
      <c r="C3" s="23" t="s">
        <v>9341</v>
      </c>
      <c r="D3" s="23" t="s">
        <v>9342</v>
      </c>
      <c r="E3" s="23" t="s">
        <v>3835</v>
      </c>
      <c r="F3" s="23" t="s">
        <v>40</v>
      </c>
      <c r="G3" s="23" t="s">
        <v>9343</v>
      </c>
      <c r="H3" s="23" t="s">
        <v>9344</v>
      </c>
      <c r="I3" s="23" t="s">
        <v>9345</v>
      </c>
      <c r="J3" s="23" t="s">
        <v>385</v>
      </c>
      <c r="K3" s="27" t="s">
        <v>404</v>
      </c>
      <c r="L3" s="23" t="s">
        <v>405</v>
      </c>
      <c r="M3" s="25" t="s">
        <v>18</v>
      </c>
      <c r="N3" s="23" t="s">
        <v>40</v>
      </c>
      <c r="O3" s="23" t="s">
        <v>387</v>
      </c>
      <c r="P3" s="23" t="s">
        <v>40</v>
      </c>
      <c r="Q3" s="23" t="s">
        <v>40</v>
      </c>
      <c r="R3" s="23" t="s">
        <v>231</v>
      </c>
      <c r="S3" s="23" t="s">
        <v>1710</v>
      </c>
      <c r="T3" s="23" t="s">
        <v>40</v>
      </c>
    </row>
    <row r="4" spans="1:20" x14ac:dyDescent="0.25">
      <c r="A4" s="23" t="s">
        <v>9346</v>
      </c>
      <c r="B4" s="23" t="s">
        <v>230</v>
      </c>
      <c r="C4" s="23" t="s">
        <v>9347</v>
      </c>
      <c r="D4" s="23" t="s">
        <v>9348</v>
      </c>
      <c r="E4" s="23" t="s">
        <v>3835</v>
      </c>
      <c r="F4" s="23" t="s">
        <v>40</v>
      </c>
      <c r="G4" s="23" t="s">
        <v>9349</v>
      </c>
      <c r="H4" s="23" t="s">
        <v>9350</v>
      </c>
      <c r="I4" s="23" t="s">
        <v>9351</v>
      </c>
      <c r="J4" s="23" t="s">
        <v>385</v>
      </c>
      <c r="K4" s="27" t="s">
        <v>404</v>
      </c>
      <c r="L4" s="23" t="s">
        <v>405</v>
      </c>
      <c r="M4" s="25" t="s">
        <v>18</v>
      </c>
      <c r="N4" s="23" t="s">
        <v>40</v>
      </c>
      <c r="O4" s="23" t="s">
        <v>387</v>
      </c>
      <c r="P4" s="23" t="s">
        <v>40</v>
      </c>
      <c r="Q4" s="23" t="s">
        <v>40</v>
      </c>
      <c r="R4" s="23" t="s">
        <v>231</v>
      </c>
      <c r="S4" s="23" t="s">
        <v>1710</v>
      </c>
      <c r="T4" s="23" t="s">
        <v>40</v>
      </c>
    </row>
    <row r="5" spans="1:20" x14ac:dyDescent="0.25">
      <c r="A5" s="23" t="s">
        <v>9352</v>
      </c>
      <c r="B5" s="23" t="s">
        <v>230</v>
      </c>
      <c r="C5" s="23" t="s">
        <v>9347</v>
      </c>
      <c r="D5" s="23" t="s">
        <v>9353</v>
      </c>
      <c r="E5" s="23" t="s">
        <v>3835</v>
      </c>
      <c r="F5" s="23" t="s">
        <v>40</v>
      </c>
      <c r="G5" s="23" t="s">
        <v>9354</v>
      </c>
      <c r="H5" s="23" t="s">
        <v>9355</v>
      </c>
      <c r="I5" s="23" t="s">
        <v>9356</v>
      </c>
      <c r="J5" s="23" t="s">
        <v>385</v>
      </c>
      <c r="K5" s="27" t="s">
        <v>404</v>
      </c>
      <c r="L5" s="23" t="s">
        <v>405</v>
      </c>
      <c r="M5" s="25" t="s">
        <v>18</v>
      </c>
      <c r="N5" s="23" t="s">
        <v>40</v>
      </c>
      <c r="O5" s="23" t="s">
        <v>387</v>
      </c>
      <c r="P5" s="23" t="s">
        <v>40</v>
      </c>
      <c r="Q5" s="23" t="s">
        <v>40</v>
      </c>
      <c r="R5" s="23" t="s">
        <v>231</v>
      </c>
      <c r="S5" s="23" t="s">
        <v>1710</v>
      </c>
      <c r="T5" s="23" t="s">
        <v>40</v>
      </c>
    </row>
    <row r="6" spans="1:20" x14ac:dyDescent="0.25">
      <c r="A6" s="23" t="s">
        <v>9357</v>
      </c>
      <c r="B6" s="23" t="s">
        <v>230</v>
      </c>
      <c r="C6" s="23" t="s">
        <v>9347</v>
      </c>
      <c r="D6" s="23" t="s">
        <v>9358</v>
      </c>
      <c r="E6" s="23" t="s">
        <v>9359</v>
      </c>
      <c r="F6" s="23" t="s">
        <v>9360</v>
      </c>
      <c r="G6" s="23" t="s">
        <v>9361</v>
      </c>
      <c r="H6" s="23" t="s">
        <v>9362</v>
      </c>
      <c r="I6" s="23" t="s">
        <v>9363</v>
      </c>
      <c r="J6" s="23" t="s">
        <v>14</v>
      </c>
      <c r="K6" s="24" t="s">
        <v>386</v>
      </c>
      <c r="L6" s="23" t="s">
        <v>405</v>
      </c>
      <c r="M6" s="33" t="s">
        <v>20</v>
      </c>
      <c r="N6" s="23" t="s">
        <v>40</v>
      </c>
      <c r="O6" s="23" t="s">
        <v>387</v>
      </c>
      <c r="P6" s="23" t="s">
        <v>40</v>
      </c>
      <c r="Q6" s="23" t="s">
        <v>40</v>
      </c>
      <c r="R6" s="23" t="s">
        <v>231</v>
      </c>
      <c r="S6" s="23" t="s">
        <v>9364</v>
      </c>
      <c r="T6" s="23" t="s">
        <v>40</v>
      </c>
    </row>
    <row r="7" spans="1:20" x14ac:dyDescent="0.25">
      <c r="A7" s="23" t="s">
        <v>9365</v>
      </c>
      <c r="B7" s="23" t="s">
        <v>230</v>
      </c>
      <c r="C7" s="23" t="s">
        <v>9366</v>
      </c>
      <c r="D7" s="23" t="s">
        <v>9367</v>
      </c>
      <c r="E7" s="23" t="s">
        <v>9368</v>
      </c>
      <c r="F7" s="23" t="s">
        <v>9369</v>
      </c>
      <c r="G7" s="23" t="s">
        <v>9370</v>
      </c>
      <c r="H7" s="23" t="s">
        <v>9371</v>
      </c>
      <c r="I7" s="23" t="s">
        <v>9372</v>
      </c>
      <c r="J7" s="23" t="s">
        <v>489</v>
      </c>
      <c r="K7" s="27" t="s">
        <v>404</v>
      </c>
      <c r="L7" s="23" t="s">
        <v>405</v>
      </c>
      <c r="M7" s="33" t="s">
        <v>20</v>
      </c>
      <c r="N7" s="23" t="s">
        <v>40</v>
      </c>
      <c r="O7" s="23" t="s">
        <v>387</v>
      </c>
      <c r="P7" s="23" t="s">
        <v>40</v>
      </c>
      <c r="Q7" s="23" t="s">
        <v>40</v>
      </c>
      <c r="R7" s="23" t="s">
        <v>231</v>
      </c>
      <c r="S7" s="23" t="s">
        <v>9364</v>
      </c>
      <c r="T7" s="23" t="s">
        <v>40</v>
      </c>
    </row>
    <row r="8" spans="1:20" x14ac:dyDescent="0.25">
      <c r="A8" s="23" t="s">
        <v>9373</v>
      </c>
      <c r="B8" s="23" t="s">
        <v>230</v>
      </c>
      <c r="C8" s="23" t="s">
        <v>9366</v>
      </c>
      <c r="D8" s="23" t="s">
        <v>9374</v>
      </c>
      <c r="E8" s="23" t="s">
        <v>9368</v>
      </c>
      <c r="F8" s="23" t="s">
        <v>9375</v>
      </c>
      <c r="G8" s="23" t="s">
        <v>9376</v>
      </c>
      <c r="H8" s="23" t="s">
        <v>9377</v>
      </c>
      <c r="I8" s="23" t="s">
        <v>9378</v>
      </c>
      <c r="J8" s="23" t="s">
        <v>15</v>
      </c>
      <c r="K8" s="27" t="s">
        <v>404</v>
      </c>
      <c r="L8" s="23" t="s">
        <v>490</v>
      </c>
      <c r="M8" s="33" t="s">
        <v>20</v>
      </c>
      <c r="N8" s="23" t="s">
        <v>40</v>
      </c>
      <c r="O8" s="23" t="s">
        <v>387</v>
      </c>
      <c r="P8" s="23" t="s">
        <v>40</v>
      </c>
      <c r="Q8" s="23" t="s">
        <v>40</v>
      </c>
      <c r="R8" s="23" t="s">
        <v>231</v>
      </c>
      <c r="S8" s="23" t="s">
        <v>9379</v>
      </c>
      <c r="T8" s="23" t="s">
        <v>40</v>
      </c>
    </row>
    <row r="9" spans="1:20" x14ac:dyDescent="0.25">
      <c r="A9" s="23" t="s">
        <v>9380</v>
      </c>
      <c r="B9" s="23" t="s">
        <v>230</v>
      </c>
      <c r="C9" s="23" t="s">
        <v>9366</v>
      </c>
      <c r="D9" s="23" t="s">
        <v>9381</v>
      </c>
      <c r="E9" s="23" t="s">
        <v>9368</v>
      </c>
      <c r="F9" s="23" t="s">
        <v>40</v>
      </c>
      <c r="G9" s="23" t="s">
        <v>9382</v>
      </c>
      <c r="H9" s="23" t="s">
        <v>9383</v>
      </c>
      <c r="I9" s="23" t="s">
        <v>9384</v>
      </c>
      <c r="J9" s="23" t="s">
        <v>466</v>
      </c>
      <c r="K9" s="27" t="s">
        <v>404</v>
      </c>
      <c r="L9" s="23" t="s">
        <v>405</v>
      </c>
      <c r="M9" s="33" t="s">
        <v>20</v>
      </c>
      <c r="N9" s="23" t="s">
        <v>40</v>
      </c>
      <c r="O9" s="23" t="s">
        <v>387</v>
      </c>
      <c r="P9" s="23" t="s">
        <v>40</v>
      </c>
      <c r="Q9" s="23" t="s">
        <v>40</v>
      </c>
      <c r="R9" s="23" t="s">
        <v>231</v>
      </c>
      <c r="S9" s="23" t="s">
        <v>9364</v>
      </c>
      <c r="T9" s="23" t="s">
        <v>40</v>
      </c>
    </row>
    <row r="10" spans="1:20" x14ac:dyDescent="0.25">
      <c r="A10" s="23" t="s">
        <v>9385</v>
      </c>
      <c r="B10" s="23" t="s">
        <v>230</v>
      </c>
      <c r="C10" s="23" t="s">
        <v>9386</v>
      </c>
      <c r="D10" s="23" t="s">
        <v>9387</v>
      </c>
      <c r="E10" s="23" t="s">
        <v>9388</v>
      </c>
      <c r="F10" s="23" t="s">
        <v>9389</v>
      </c>
      <c r="G10" s="23" t="s">
        <v>9390</v>
      </c>
      <c r="H10" s="23" t="s">
        <v>9391</v>
      </c>
      <c r="I10" s="23" t="s">
        <v>9392</v>
      </c>
      <c r="J10" s="23" t="s">
        <v>801</v>
      </c>
      <c r="K10" s="26" t="s">
        <v>396</v>
      </c>
      <c r="L10" s="23" t="s">
        <v>13</v>
      </c>
      <c r="M10" s="25" t="s">
        <v>18</v>
      </c>
      <c r="N10" s="23" t="s">
        <v>40</v>
      </c>
      <c r="O10" s="23" t="s">
        <v>387</v>
      </c>
      <c r="P10" s="23" t="s">
        <v>40</v>
      </c>
      <c r="Q10" s="23" t="s">
        <v>40</v>
      </c>
      <c r="R10" s="23" t="s">
        <v>231</v>
      </c>
      <c r="S10" s="23" t="s">
        <v>1710</v>
      </c>
      <c r="T10" s="23" t="s">
        <v>40</v>
      </c>
    </row>
    <row r="11" spans="1:20" x14ac:dyDescent="0.25">
      <c r="A11" s="23" t="s">
        <v>9393</v>
      </c>
      <c r="B11" s="23" t="s">
        <v>230</v>
      </c>
      <c r="C11" s="23" t="s">
        <v>9394</v>
      </c>
      <c r="D11" s="23" t="s">
        <v>9395</v>
      </c>
      <c r="E11" s="23" t="s">
        <v>9396</v>
      </c>
      <c r="F11" s="23" t="s">
        <v>40</v>
      </c>
      <c r="G11" s="23" t="s">
        <v>9397</v>
      </c>
      <c r="H11" s="23" t="s">
        <v>9398</v>
      </c>
      <c r="I11" s="23" t="s">
        <v>9399</v>
      </c>
      <c r="J11" s="23" t="s">
        <v>15</v>
      </c>
      <c r="K11" s="27" t="s">
        <v>404</v>
      </c>
      <c r="L11" s="23" t="s">
        <v>405</v>
      </c>
      <c r="M11" s="25" t="s">
        <v>18</v>
      </c>
      <c r="N11" s="23" t="s">
        <v>40</v>
      </c>
      <c r="O11" s="23" t="s">
        <v>387</v>
      </c>
      <c r="P11" s="23" t="s">
        <v>40</v>
      </c>
      <c r="Q11" s="23" t="s">
        <v>40</v>
      </c>
      <c r="R11" s="23" t="s">
        <v>231</v>
      </c>
      <c r="S11" s="23" t="s">
        <v>1710</v>
      </c>
      <c r="T11" s="23" t="s">
        <v>40</v>
      </c>
    </row>
    <row r="12" spans="1:20" x14ac:dyDescent="0.25">
      <c r="A12" s="23" t="s">
        <v>9400</v>
      </c>
      <c r="B12" s="23" t="s">
        <v>230</v>
      </c>
      <c r="C12" s="23" t="s">
        <v>6700</v>
      </c>
      <c r="D12" s="23" t="s">
        <v>9401</v>
      </c>
      <c r="E12" s="23" t="s">
        <v>9402</v>
      </c>
      <c r="F12" s="23" t="s">
        <v>40</v>
      </c>
      <c r="G12" s="23" t="s">
        <v>9403</v>
      </c>
      <c r="H12" s="23" t="s">
        <v>9404</v>
      </c>
      <c r="I12" s="23" t="s">
        <v>9405</v>
      </c>
      <c r="J12" s="23" t="s">
        <v>525</v>
      </c>
      <c r="K12" s="24" t="s">
        <v>386</v>
      </c>
      <c r="L12" s="23" t="s">
        <v>13</v>
      </c>
      <c r="M12" s="25" t="s">
        <v>18</v>
      </c>
      <c r="N12" s="23" t="s">
        <v>40</v>
      </c>
      <c r="O12" s="23" t="s">
        <v>387</v>
      </c>
      <c r="P12" s="23" t="s">
        <v>40</v>
      </c>
      <c r="Q12" s="23" t="s">
        <v>40</v>
      </c>
      <c r="R12" s="23" t="s">
        <v>231</v>
      </c>
      <c r="S12" s="23" t="s">
        <v>1710</v>
      </c>
      <c r="T12" s="23" t="s">
        <v>40</v>
      </c>
    </row>
    <row r="13" spans="1:20" x14ac:dyDescent="0.25">
      <c r="A13" s="23" t="s">
        <v>9406</v>
      </c>
      <c r="B13" s="23" t="s">
        <v>230</v>
      </c>
      <c r="C13" s="23" t="s">
        <v>6700</v>
      </c>
      <c r="D13" s="23" t="s">
        <v>9407</v>
      </c>
      <c r="E13" s="23" t="s">
        <v>2951</v>
      </c>
      <c r="F13" s="23" t="s">
        <v>40</v>
      </c>
      <c r="G13" s="23" t="s">
        <v>9408</v>
      </c>
      <c r="H13" s="23" t="s">
        <v>9409</v>
      </c>
      <c r="I13" s="23" t="s">
        <v>9410</v>
      </c>
      <c r="J13" s="23" t="s">
        <v>395</v>
      </c>
      <c r="K13" s="24" t="s">
        <v>386</v>
      </c>
      <c r="L13" s="23" t="s">
        <v>405</v>
      </c>
      <c r="M13" s="25" t="s">
        <v>18</v>
      </c>
      <c r="N13" s="23" t="s">
        <v>40</v>
      </c>
      <c r="O13" s="23" t="s">
        <v>387</v>
      </c>
      <c r="P13" s="23" t="s">
        <v>40</v>
      </c>
      <c r="Q13" s="23" t="s">
        <v>40</v>
      </c>
      <c r="R13" s="23" t="s">
        <v>231</v>
      </c>
      <c r="S13" s="23" t="s">
        <v>1710</v>
      </c>
      <c r="T13" s="23" t="s">
        <v>40</v>
      </c>
    </row>
    <row r="14" spans="1:20" x14ac:dyDescent="0.25">
      <c r="A14" s="23" t="s">
        <v>9411</v>
      </c>
      <c r="B14" s="23" t="s">
        <v>232</v>
      </c>
      <c r="C14" s="23" t="s">
        <v>944</v>
      </c>
      <c r="D14" s="23" t="s">
        <v>9412</v>
      </c>
      <c r="E14" s="23" t="s">
        <v>3835</v>
      </c>
      <c r="F14" s="23" t="s">
        <v>9413</v>
      </c>
      <c r="G14" s="23" t="s">
        <v>9414</v>
      </c>
      <c r="H14" s="23" t="s">
        <v>9415</v>
      </c>
      <c r="I14" s="23" t="s">
        <v>9416</v>
      </c>
      <c r="J14" s="23" t="s">
        <v>385</v>
      </c>
      <c r="K14" s="24" t="s">
        <v>386</v>
      </c>
      <c r="L14" s="23" t="s">
        <v>13</v>
      </c>
      <c r="M14" s="31" t="s">
        <v>17</v>
      </c>
      <c r="N14" s="23" t="s">
        <v>9417</v>
      </c>
      <c r="O14" s="29" t="s">
        <v>87</v>
      </c>
      <c r="P14" s="23" t="s">
        <v>40</v>
      </c>
      <c r="Q14" s="23" t="s">
        <v>40</v>
      </c>
      <c r="R14" s="23" t="s">
        <v>233</v>
      </c>
      <c r="S14" s="23" t="s">
        <v>40</v>
      </c>
      <c r="T14" s="23" t="s">
        <v>40</v>
      </c>
    </row>
    <row r="15" spans="1:20" x14ac:dyDescent="0.25">
      <c r="A15" s="23" t="s">
        <v>9418</v>
      </c>
      <c r="B15" s="23" t="s">
        <v>232</v>
      </c>
      <c r="C15" s="23" t="s">
        <v>9419</v>
      </c>
      <c r="D15" s="23" t="s">
        <v>9420</v>
      </c>
      <c r="E15" s="23" t="s">
        <v>3835</v>
      </c>
      <c r="F15" s="23" t="s">
        <v>9421</v>
      </c>
      <c r="G15" s="23" t="s">
        <v>9422</v>
      </c>
      <c r="H15" s="23" t="s">
        <v>9423</v>
      </c>
      <c r="I15" s="23" t="s">
        <v>9424</v>
      </c>
      <c r="J15" s="23" t="s">
        <v>14</v>
      </c>
      <c r="K15" s="26" t="s">
        <v>396</v>
      </c>
      <c r="L15" s="23" t="s">
        <v>13</v>
      </c>
      <c r="M15" s="25" t="s">
        <v>18</v>
      </c>
      <c r="N15" s="23" t="s">
        <v>40</v>
      </c>
      <c r="O15" s="23" t="s">
        <v>387</v>
      </c>
      <c r="P15" s="23" t="s">
        <v>40</v>
      </c>
      <c r="Q15" s="23" t="s">
        <v>40</v>
      </c>
      <c r="R15" s="23" t="s">
        <v>233</v>
      </c>
      <c r="S15" s="23" t="s">
        <v>9425</v>
      </c>
      <c r="T15" s="23" t="s">
        <v>40</v>
      </c>
    </row>
    <row r="16" spans="1:20" x14ac:dyDescent="0.25">
      <c r="A16" s="23" t="s">
        <v>9426</v>
      </c>
      <c r="B16" s="23" t="s">
        <v>232</v>
      </c>
      <c r="C16" s="23" t="s">
        <v>9419</v>
      </c>
      <c r="D16" s="23" t="s">
        <v>9427</v>
      </c>
      <c r="E16" s="23" t="s">
        <v>3835</v>
      </c>
      <c r="F16" s="23" t="s">
        <v>40</v>
      </c>
      <c r="G16" s="23" t="s">
        <v>9428</v>
      </c>
      <c r="H16" s="23" t="s">
        <v>9429</v>
      </c>
      <c r="I16" s="23" t="s">
        <v>9430</v>
      </c>
      <c r="J16" s="23" t="s">
        <v>385</v>
      </c>
      <c r="K16" s="27" t="s">
        <v>404</v>
      </c>
      <c r="L16" s="23" t="s">
        <v>405</v>
      </c>
      <c r="M16" s="25" t="s">
        <v>18</v>
      </c>
      <c r="N16" s="23" t="s">
        <v>40</v>
      </c>
      <c r="O16" s="23" t="s">
        <v>387</v>
      </c>
      <c r="P16" s="23" t="s">
        <v>40</v>
      </c>
      <c r="Q16" s="23" t="s">
        <v>40</v>
      </c>
      <c r="R16" s="23" t="s">
        <v>233</v>
      </c>
      <c r="S16" s="23" t="s">
        <v>1710</v>
      </c>
      <c r="T16" s="23" t="s">
        <v>40</v>
      </c>
    </row>
    <row r="17" spans="1:20" x14ac:dyDescent="0.25">
      <c r="A17" s="23" t="s">
        <v>9431</v>
      </c>
      <c r="B17" s="23" t="s">
        <v>232</v>
      </c>
      <c r="C17" s="23" t="s">
        <v>9419</v>
      </c>
      <c r="D17" s="23" t="s">
        <v>9432</v>
      </c>
      <c r="E17" s="23" t="s">
        <v>3835</v>
      </c>
      <c r="F17" s="23" t="s">
        <v>9433</v>
      </c>
      <c r="G17" s="23" t="s">
        <v>9434</v>
      </c>
      <c r="H17" s="23" t="s">
        <v>9435</v>
      </c>
      <c r="I17" s="23" t="s">
        <v>9436</v>
      </c>
      <c r="J17" s="23" t="s">
        <v>14</v>
      </c>
      <c r="K17" s="24" t="s">
        <v>386</v>
      </c>
      <c r="L17" s="23" t="s">
        <v>405</v>
      </c>
      <c r="M17" s="25" t="s">
        <v>18</v>
      </c>
      <c r="N17" s="23" t="s">
        <v>40</v>
      </c>
      <c r="O17" s="23" t="s">
        <v>387</v>
      </c>
      <c r="P17" s="23" t="s">
        <v>40</v>
      </c>
      <c r="Q17" s="23" t="s">
        <v>40</v>
      </c>
      <c r="R17" s="23" t="s">
        <v>233</v>
      </c>
      <c r="S17" s="23" t="s">
        <v>1710</v>
      </c>
      <c r="T17" s="23" t="s">
        <v>40</v>
      </c>
    </row>
    <row r="18" spans="1:20" x14ac:dyDescent="0.25">
      <c r="A18" s="23" t="s">
        <v>9437</v>
      </c>
      <c r="B18" s="23" t="s">
        <v>232</v>
      </c>
      <c r="C18" s="23" t="s">
        <v>9419</v>
      </c>
      <c r="D18" s="23" t="s">
        <v>9438</v>
      </c>
      <c r="E18" s="23" t="s">
        <v>3835</v>
      </c>
      <c r="F18" s="23" t="s">
        <v>40</v>
      </c>
      <c r="G18" s="23" t="s">
        <v>9439</v>
      </c>
      <c r="H18" s="23" t="s">
        <v>9440</v>
      </c>
      <c r="I18" s="23" t="s">
        <v>9441</v>
      </c>
      <c r="J18" s="23" t="s">
        <v>14</v>
      </c>
      <c r="K18" s="26" t="s">
        <v>396</v>
      </c>
      <c r="L18" s="23" t="s">
        <v>13</v>
      </c>
      <c r="M18" s="25" t="s">
        <v>18</v>
      </c>
      <c r="N18" s="23" t="s">
        <v>40</v>
      </c>
      <c r="O18" s="23" t="s">
        <v>387</v>
      </c>
      <c r="P18" s="23" t="s">
        <v>40</v>
      </c>
      <c r="Q18" s="23" t="s">
        <v>40</v>
      </c>
      <c r="R18" s="23" t="s">
        <v>233</v>
      </c>
      <c r="S18" s="23" t="s">
        <v>1710</v>
      </c>
      <c r="T18" s="23" t="s">
        <v>40</v>
      </c>
    </row>
    <row r="19" spans="1:20" x14ac:dyDescent="0.25">
      <c r="A19" s="23" t="s">
        <v>9442</v>
      </c>
      <c r="B19" s="23" t="s">
        <v>232</v>
      </c>
      <c r="C19" s="23" t="s">
        <v>9419</v>
      </c>
      <c r="D19" s="23" t="s">
        <v>9443</v>
      </c>
      <c r="E19" s="23" t="s">
        <v>3835</v>
      </c>
      <c r="F19" s="23" t="s">
        <v>9444</v>
      </c>
      <c r="G19" s="23" t="s">
        <v>9445</v>
      </c>
      <c r="H19" s="23" t="s">
        <v>9446</v>
      </c>
      <c r="I19" s="23" t="s">
        <v>9447</v>
      </c>
      <c r="J19" s="23" t="s">
        <v>14</v>
      </c>
      <c r="K19" s="26" t="s">
        <v>396</v>
      </c>
      <c r="L19" s="23" t="s">
        <v>13</v>
      </c>
      <c r="M19" s="25" t="s">
        <v>18</v>
      </c>
      <c r="N19" s="23" t="s">
        <v>40</v>
      </c>
      <c r="O19" s="23" t="s">
        <v>387</v>
      </c>
      <c r="P19" s="23" t="s">
        <v>40</v>
      </c>
      <c r="Q19" s="23" t="s">
        <v>40</v>
      </c>
      <c r="R19" s="23" t="s">
        <v>233</v>
      </c>
      <c r="S19" s="23" t="s">
        <v>1710</v>
      </c>
      <c r="T19" s="23" t="s">
        <v>40</v>
      </c>
    </row>
    <row r="20" spans="1:20" x14ac:dyDescent="0.25">
      <c r="A20" s="23" t="s">
        <v>9448</v>
      </c>
      <c r="B20" s="23" t="s">
        <v>232</v>
      </c>
      <c r="C20" s="23" t="s">
        <v>9419</v>
      </c>
      <c r="D20" s="23" t="s">
        <v>9449</v>
      </c>
      <c r="E20" s="23" t="s">
        <v>9450</v>
      </c>
      <c r="F20" s="23" t="s">
        <v>9451</v>
      </c>
      <c r="G20" s="23" t="s">
        <v>9452</v>
      </c>
      <c r="H20" s="23" t="s">
        <v>9453</v>
      </c>
      <c r="I20" s="23" t="s">
        <v>9454</v>
      </c>
      <c r="J20" s="23" t="s">
        <v>14</v>
      </c>
      <c r="K20" s="24" t="s">
        <v>386</v>
      </c>
      <c r="L20" s="23" t="s">
        <v>405</v>
      </c>
      <c r="M20" s="25" t="s">
        <v>18</v>
      </c>
      <c r="N20" s="23" t="s">
        <v>40</v>
      </c>
      <c r="O20" s="23" t="s">
        <v>387</v>
      </c>
      <c r="P20" s="23" t="s">
        <v>40</v>
      </c>
      <c r="Q20" s="23" t="s">
        <v>40</v>
      </c>
      <c r="R20" s="23" t="s">
        <v>233</v>
      </c>
      <c r="S20" s="23" t="s">
        <v>1710</v>
      </c>
      <c r="T20" s="23" t="s">
        <v>40</v>
      </c>
    </row>
    <row r="21" spans="1:20" x14ac:dyDescent="0.25">
      <c r="A21" s="23" t="s">
        <v>9455</v>
      </c>
      <c r="B21" s="23" t="s">
        <v>232</v>
      </c>
      <c r="C21" s="23" t="s">
        <v>9419</v>
      </c>
      <c r="D21" s="23" t="s">
        <v>9456</v>
      </c>
      <c r="E21" s="23" t="s">
        <v>3835</v>
      </c>
      <c r="F21" s="23" t="s">
        <v>40</v>
      </c>
      <c r="G21" s="23" t="s">
        <v>9457</v>
      </c>
      <c r="H21" s="23" t="s">
        <v>9458</v>
      </c>
      <c r="I21" s="23" t="s">
        <v>9459</v>
      </c>
      <c r="J21" s="23" t="s">
        <v>14</v>
      </c>
      <c r="K21" s="24" t="s">
        <v>386</v>
      </c>
      <c r="L21" s="23" t="s">
        <v>405</v>
      </c>
      <c r="M21" s="25" t="s">
        <v>18</v>
      </c>
      <c r="N21" s="23" t="s">
        <v>40</v>
      </c>
      <c r="O21" s="23" t="s">
        <v>387</v>
      </c>
      <c r="P21" s="23" t="s">
        <v>40</v>
      </c>
      <c r="Q21" s="23" t="s">
        <v>40</v>
      </c>
      <c r="R21" s="23" t="s">
        <v>233</v>
      </c>
      <c r="S21" s="23" t="s">
        <v>1710</v>
      </c>
      <c r="T21" s="23" t="s">
        <v>40</v>
      </c>
    </row>
    <row r="22" spans="1:20" x14ac:dyDescent="0.25">
      <c r="A22" s="23" t="s">
        <v>9460</v>
      </c>
      <c r="B22" s="23" t="s">
        <v>232</v>
      </c>
      <c r="C22" s="23" t="s">
        <v>9419</v>
      </c>
      <c r="D22" s="23" t="s">
        <v>9461</v>
      </c>
      <c r="E22" s="23" t="s">
        <v>3835</v>
      </c>
      <c r="F22" s="23" t="s">
        <v>9462</v>
      </c>
      <c r="G22" s="23" t="s">
        <v>9463</v>
      </c>
      <c r="H22" s="23" t="s">
        <v>9464</v>
      </c>
      <c r="I22" s="23" t="s">
        <v>9465</v>
      </c>
      <c r="J22" s="23" t="s">
        <v>15</v>
      </c>
      <c r="K22" s="27" t="s">
        <v>404</v>
      </c>
      <c r="L22" s="23" t="s">
        <v>405</v>
      </c>
      <c r="M22" s="25" t="s">
        <v>18</v>
      </c>
      <c r="N22" s="23" t="s">
        <v>40</v>
      </c>
      <c r="O22" s="23" t="s">
        <v>387</v>
      </c>
      <c r="P22" s="23" t="s">
        <v>40</v>
      </c>
      <c r="Q22" s="23" t="s">
        <v>40</v>
      </c>
      <c r="R22" s="23" t="s">
        <v>233</v>
      </c>
      <c r="S22" s="23" t="s">
        <v>1710</v>
      </c>
      <c r="T22" s="23" t="s">
        <v>40</v>
      </c>
    </row>
    <row r="23" spans="1:20" x14ac:dyDescent="0.25">
      <c r="A23" s="23" t="s">
        <v>9466</v>
      </c>
      <c r="B23" s="23" t="s">
        <v>232</v>
      </c>
      <c r="C23" s="23" t="s">
        <v>461</v>
      </c>
      <c r="D23" s="23" t="s">
        <v>9467</v>
      </c>
      <c r="E23" s="23" t="s">
        <v>3835</v>
      </c>
      <c r="F23" s="23" t="s">
        <v>40</v>
      </c>
      <c r="G23" s="23" t="s">
        <v>9468</v>
      </c>
      <c r="H23" s="23" t="s">
        <v>9469</v>
      </c>
      <c r="I23" s="23" t="s">
        <v>9470</v>
      </c>
      <c r="J23" s="23" t="s">
        <v>466</v>
      </c>
      <c r="K23" s="24" t="s">
        <v>386</v>
      </c>
      <c r="L23" s="23" t="s">
        <v>13</v>
      </c>
      <c r="M23" s="25" t="s">
        <v>18</v>
      </c>
      <c r="N23" s="23" t="s">
        <v>40</v>
      </c>
      <c r="O23" s="23" t="s">
        <v>387</v>
      </c>
      <c r="P23" s="23" t="s">
        <v>40</v>
      </c>
      <c r="Q23" s="23" t="s">
        <v>40</v>
      </c>
      <c r="R23" s="23" t="s">
        <v>233</v>
      </c>
      <c r="S23" s="23" t="s">
        <v>1710</v>
      </c>
      <c r="T23" s="23" t="s">
        <v>40</v>
      </c>
    </row>
    <row r="24" spans="1:20" x14ac:dyDescent="0.25">
      <c r="A24" s="23" t="s">
        <v>9471</v>
      </c>
      <c r="B24" s="23" t="s">
        <v>232</v>
      </c>
      <c r="C24" s="23" t="s">
        <v>461</v>
      </c>
      <c r="D24" s="23" t="s">
        <v>9472</v>
      </c>
      <c r="E24" s="23" t="s">
        <v>3835</v>
      </c>
      <c r="F24" s="23" t="s">
        <v>40</v>
      </c>
      <c r="G24" s="23" t="s">
        <v>9473</v>
      </c>
      <c r="H24" s="23" t="s">
        <v>9474</v>
      </c>
      <c r="I24" s="23" t="s">
        <v>9475</v>
      </c>
      <c r="J24" s="23" t="s">
        <v>466</v>
      </c>
      <c r="K24" s="24" t="s">
        <v>386</v>
      </c>
      <c r="L24" s="23" t="s">
        <v>13</v>
      </c>
      <c r="M24" s="25" t="s">
        <v>18</v>
      </c>
      <c r="N24" s="23" t="s">
        <v>40</v>
      </c>
      <c r="O24" s="23" t="s">
        <v>387</v>
      </c>
      <c r="P24" s="23" t="s">
        <v>40</v>
      </c>
      <c r="Q24" s="23" t="s">
        <v>40</v>
      </c>
      <c r="R24" s="23" t="s">
        <v>233</v>
      </c>
      <c r="S24" s="23" t="s">
        <v>1710</v>
      </c>
      <c r="T24" s="23" t="s">
        <v>40</v>
      </c>
    </row>
    <row r="25" spans="1:20" x14ac:dyDescent="0.25">
      <c r="A25" s="23" t="s">
        <v>9476</v>
      </c>
      <c r="B25" s="23" t="s">
        <v>232</v>
      </c>
      <c r="C25" s="23" t="s">
        <v>461</v>
      </c>
      <c r="D25" s="23" t="s">
        <v>9477</v>
      </c>
      <c r="E25" s="23" t="s">
        <v>3835</v>
      </c>
      <c r="F25" s="23" t="s">
        <v>40</v>
      </c>
      <c r="G25" s="23" t="s">
        <v>9478</v>
      </c>
      <c r="H25" s="23" t="s">
        <v>9479</v>
      </c>
      <c r="I25" s="23" t="s">
        <v>9480</v>
      </c>
      <c r="J25" s="23" t="s">
        <v>466</v>
      </c>
      <c r="K25" s="27" t="s">
        <v>404</v>
      </c>
      <c r="L25" s="23" t="s">
        <v>405</v>
      </c>
      <c r="M25" s="25" t="s">
        <v>18</v>
      </c>
      <c r="N25" s="23" t="s">
        <v>40</v>
      </c>
      <c r="O25" s="23" t="s">
        <v>387</v>
      </c>
      <c r="P25" s="23" t="s">
        <v>40</v>
      </c>
      <c r="Q25" s="23" t="s">
        <v>40</v>
      </c>
      <c r="R25" s="23" t="s">
        <v>233</v>
      </c>
      <c r="S25" s="23" t="s">
        <v>1710</v>
      </c>
      <c r="T25" s="23" t="s">
        <v>40</v>
      </c>
    </row>
    <row r="26" spans="1:20" x14ac:dyDescent="0.25">
      <c r="A26" s="23" t="s">
        <v>9481</v>
      </c>
      <c r="B26" s="23" t="s">
        <v>232</v>
      </c>
      <c r="C26" s="23" t="s">
        <v>6581</v>
      </c>
      <c r="D26" s="23" t="s">
        <v>9482</v>
      </c>
      <c r="E26" s="23" t="s">
        <v>9483</v>
      </c>
      <c r="F26" s="23" t="s">
        <v>9484</v>
      </c>
      <c r="G26" s="23" t="s">
        <v>9485</v>
      </c>
      <c r="H26" s="23" t="s">
        <v>9486</v>
      </c>
      <c r="I26" s="23" t="s">
        <v>9487</v>
      </c>
      <c r="J26" s="23" t="s">
        <v>15</v>
      </c>
      <c r="K26" s="24" t="s">
        <v>386</v>
      </c>
      <c r="L26" s="23" t="s">
        <v>13</v>
      </c>
      <c r="M26" s="25" t="s">
        <v>18</v>
      </c>
      <c r="N26" s="23" t="s">
        <v>40</v>
      </c>
      <c r="O26" s="23" t="s">
        <v>387</v>
      </c>
      <c r="P26" s="23" t="s">
        <v>40</v>
      </c>
      <c r="Q26" s="23" t="s">
        <v>40</v>
      </c>
      <c r="R26" s="23" t="s">
        <v>233</v>
      </c>
      <c r="S26" s="23" t="s">
        <v>1710</v>
      </c>
      <c r="T26" s="23" t="s">
        <v>40</v>
      </c>
    </row>
    <row r="27" spans="1:20" x14ac:dyDescent="0.25">
      <c r="A27" s="23" t="s">
        <v>9488</v>
      </c>
      <c r="B27" s="23" t="s">
        <v>232</v>
      </c>
      <c r="C27" s="23" t="s">
        <v>6581</v>
      </c>
      <c r="D27" s="23" t="s">
        <v>9489</v>
      </c>
      <c r="E27" s="23" t="s">
        <v>3835</v>
      </c>
      <c r="F27" s="23" t="s">
        <v>9490</v>
      </c>
      <c r="G27" s="23" t="s">
        <v>9491</v>
      </c>
      <c r="H27" s="23" t="s">
        <v>9492</v>
      </c>
      <c r="I27" s="23" t="s">
        <v>9493</v>
      </c>
      <c r="J27" s="23" t="s">
        <v>489</v>
      </c>
      <c r="K27" s="27" t="s">
        <v>404</v>
      </c>
      <c r="L27" s="23" t="s">
        <v>405</v>
      </c>
      <c r="M27" s="25" t="s">
        <v>18</v>
      </c>
      <c r="N27" s="23" t="s">
        <v>40</v>
      </c>
      <c r="O27" s="23" t="s">
        <v>387</v>
      </c>
      <c r="P27" s="23" t="s">
        <v>40</v>
      </c>
      <c r="Q27" s="23" t="s">
        <v>40</v>
      </c>
      <c r="R27" s="23" t="s">
        <v>233</v>
      </c>
      <c r="S27" s="23" t="s">
        <v>1710</v>
      </c>
      <c r="T27" s="23" t="s">
        <v>40</v>
      </c>
    </row>
    <row r="28" spans="1:20" x14ac:dyDescent="0.25">
      <c r="A28" s="23" t="s">
        <v>9494</v>
      </c>
      <c r="B28" s="23" t="s">
        <v>232</v>
      </c>
      <c r="C28" s="23" t="s">
        <v>6581</v>
      </c>
      <c r="D28" s="23" t="s">
        <v>9495</v>
      </c>
      <c r="E28" s="23" t="s">
        <v>3835</v>
      </c>
      <c r="F28" s="23" t="s">
        <v>9496</v>
      </c>
      <c r="G28" s="23" t="s">
        <v>9497</v>
      </c>
      <c r="H28" s="23" t="s">
        <v>9498</v>
      </c>
      <c r="I28" s="23" t="s">
        <v>9499</v>
      </c>
      <c r="J28" s="23" t="s">
        <v>489</v>
      </c>
      <c r="K28" s="27" t="s">
        <v>404</v>
      </c>
      <c r="L28" s="23" t="s">
        <v>405</v>
      </c>
      <c r="M28" s="25" t="s">
        <v>18</v>
      </c>
      <c r="N28" s="23" t="s">
        <v>40</v>
      </c>
      <c r="O28" s="23" t="s">
        <v>387</v>
      </c>
      <c r="P28" s="23" t="s">
        <v>40</v>
      </c>
      <c r="Q28" s="23" t="s">
        <v>40</v>
      </c>
      <c r="R28" s="23" t="s">
        <v>233</v>
      </c>
      <c r="S28" s="23" t="s">
        <v>1710</v>
      </c>
      <c r="T28" s="23" t="s">
        <v>40</v>
      </c>
    </row>
    <row r="29" spans="1:20" x14ac:dyDescent="0.25">
      <c r="A29" s="23" t="s">
        <v>9500</v>
      </c>
      <c r="B29" s="23" t="s">
        <v>232</v>
      </c>
      <c r="C29" s="23" t="s">
        <v>6581</v>
      </c>
      <c r="D29" s="23" t="s">
        <v>9501</v>
      </c>
      <c r="E29" s="23" t="s">
        <v>3835</v>
      </c>
      <c r="F29" s="23" t="s">
        <v>40</v>
      </c>
      <c r="G29" s="23" t="s">
        <v>9502</v>
      </c>
      <c r="H29" s="23" t="s">
        <v>9503</v>
      </c>
      <c r="I29" s="23" t="s">
        <v>9504</v>
      </c>
      <c r="J29" s="23" t="s">
        <v>466</v>
      </c>
      <c r="K29" s="27" t="s">
        <v>404</v>
      </c>
      <c r="L29" s="23" t="s">
        <v>490</v>
      </c>
      <c r="M29" s="25" t="s">
        <v>18</v>
      </c>
      <c r="N29" s="23" t="s">
        <v>40</v>
      </c>
      <c r="O29" s="23" t="s">
        <v>387</v>
      </c>
      <c r="P29" s="23" t="s">
        <v>40</v>
      </c>
      <c r="Q29" s="23" t="s">
        <v>40</v>
      </c>
      <c r="R29" s="23" t="s">
        <v>233</v>
      </c>
      <c r="S29" s="23" t="s">
        <v>1710</v>
      </c>
      <c r="T29" s="23" t="s">
        <v>40</v>
      </c>
    </row>
    <row r="30" spans="1:20" x14ac:dyDescent="0.25">
      <c r="A30" s="23" t="s">
        <v>9505</v>
      </c>
      <c r="B30" s="23" t="s">
        <v>232</v>
      </c>
      <c r="C30" s="23" t="s">
        <v>9506</v>
      </c>
      <c r="D30" s="23" t="s">
        <v>9507</v>
      </c>
      <c r="E30" s="23" t="s">
        <v>9508</v>
      </c>
      <c r="F30" s="23" t="s">
        <v>40</v>
      </c>
      <c r="G30" s="23" t="s">
        <v>9509</v>
      </c>
      <c r="H30" s="23" t="s">
        <v>9510</v>
      </c>
      <c r="I30" s="23" t="s">
        <v>9511</v>
      </c>
      <c r="J30" s="23" t="s">
        <v>14</v>
      </c>
      <c r="K30" s="24" t="s">
        <v>386</v>
      </c>
      <c r="L30" s="23" t="s">
        <v>405</v>
      </c>
      <c r="M30" s="25" t="s">
        <v>18</v>
      </c>
      <c r="N30" s="23" t="s">
        <v>40</v>
      </c>
      <c r="O30" s="23" t="s">
        <v>387</v>
      </c>
      <c r="P30" s="23" t="s">
        <v>40</v>
      </c>
      <c r="Q30" s="23" t="s">
        <v>40</v>
      </c>
      <c r="R30" s="23" t="s">
        <v>233</v>
      </c>
      <c r="S30" s="23" t="s">
        <v>1710</v>
      </c>
      <c r="T30" s="23" t="s">
        <v>40</v>
      </c>
    </row>
    <row r="31" spans="1:20" x14ac:dyDescent="0.25">
      <c r="A31" s="23" t="s">
        <v>9512</v>
      </c>
      <c r="B31" s="23" t="s">
        <v>232</v>
      </c>
      <c r="C31" s="23" t="s">
        <v>9506</v>
      </c>
      <c r="D31" s="23" t="s">
        <v>9513</v>
      </c>
      <c r="E31" s="23" t="s">
        <v>9514</v>
      </c>
      <c r="F31" s="23" t="s">
        <v>40</v>
      </c>
      <c r="G31" s="23" t="s">
        <v>9515</v>
      </c>
      <c r="H31" s="23" t="s">
        <v>9516</v>
      </c>
      <c r="I31" s="23" t="s">
        <v>9517</v>
      </c>
      <c r="J31" s="23" t="s">
        <v>15</v>
      </c>
      <c r="K31" s="27" t="s">
        <v>404</v>
      </c>
      <c r="L31" s="23" t="s">
        <v>405</v>
      </c>
      <c r="M31" s="25" t="s">
        <v>18</v>
      </c>
      <c r="N31" s="23" t="s">
        <v>40</v>
      </c>
      <c r="O31" s="23" t="s">
        <v>387</v>
      </c>
      <c r="P31" s="23" t="s">
        <v>40</v>
      </c>
      <c r="Q31" s="23" t="s">
        <v>40</v>
      </c>
      <c r="R31" s="23" t="s">
        <v>233</v>
      </c>
      <c r="S31" s="23" t="s">
        <v>1710</v>
      </c>
      <c r="T31" s="23" t="s">
        <v>40</v>
      </c>
    </row>
    <row r="32" spans="1:20" x14ac:dyDescent="0.25">
      <c r="A32" s="23" t="s">
        <v>9518</v>
      </c>
      <c r="B32" s="23" t="s">
        <v>232</v>
      </c>
      <c r="C32" s="23" t="s">
        <v>951</v>
      </c>
      <c r="D32" s="23" t="s">
        <v>9519</v>
      </c>
      <c r="E32" s="23" t="s">
        <v>3835</v>
      </c>
      <c r="F32" s="23" t="s">
        <v>40</v>
      </c>
      <c r="G32" s="23" t="s">
        <v>9520</v>
      </c>
      <c r="H32" s="23" t="s">
        <v>9521</v>
      </c>
      <c r="I32" s="23" t="s">
        <v>9522</v>
      </c>
      <c r="J32" s="23" t="s">
        <v>14</v>
      </c>
      <c r="K32" s="27" t="s">
        <v>404</v>
      </c>
      <c r="L32" s="23" t="s">
        <v>490</v>
      </c>
      <c r="M32" s="25" t="s">
        <v>18</v>
      </c>
      <c r="N32" s="23" t="s">
        <v>40</v>
      </c>
      <c r="O32" s="23" t="s">
        <v>387</v>
      </c>
      <c r="P32" s="23" t="s">
        <v>40</v>
      </c>
      <c r="Q32" s="23" t="s">
        <v>40</v>
      </c>
      <c r="R32" s="23" t="s">
        <v>233</v>
      </c>
      <c r="S32" s="23" t="s">
        <v>1710</v>
      </c>
      <c r="T32" s="23" t="s">
        <v>40</v>
      </c>
    </row>
    <row r="33" spans="1:20" x14ac:dyDescent="0.25">
      <c r="A33" s="23" t="s">
        <v>9523</v>
      </c>
      <c r="B33" s="23" t="s">
        <v>232</v>
      </c>
      <c r="C33" s="23" t="s">
        <v>9524</v>
      </c>
      <c r="D33" s="23" t="s">
        <v>9525</v>
      </c>
      <c r="E33" s="23" t="s">
        <v>3835</v>
      </c>
      <c r="F33" s="23" t="s">
        <v>40</v>
      </c>
      <c r="G33" s="23" t="s">
        <v>9526</v>
      </c>
      <c r="H33" s="23" t="s">
        <v>9527</v>
      </c>
      <c r="I33" s="23" t="s">
        <v>9528</v>
      </c>
      <c r="J33" s="23" t="s">
        <v>385</v>
      </c>
      <c r="K33" s="27" t="s">
        <v>404</v>
      </c>
      <c r="L33" s="23" t="s">
        <v>405</v>
      </c>
      <c r="M33" s="25" t="s">
        <v>18</v>
      </c>
      <c r="N33" s="23" t="s">
        <v>40</v>
      </c>
      <c r="O33" s="23" t="s">
        <v>387</v>
      </c>
      <c r="P33" s="23" t="s">
        <v>40</v>
      </c>
      <c r="Q33" s="23" t="s">
        <v>40</v>
      </c>
      <c r="R33" s="23" t="s">
        <v>233</v>
      </c>
      <c r="S33" s="23" t="s">
        <v>1710</v>
      </c>
      <c r="T33" s="23" t="s">
        <v>40</v>
      </c>
    </row>
    <row r="34" spans="1:20" x14ac:dyDescent="0.25">
      <c r="A34" s="23" t="s">
        <v>9529</v>
      </c>
      <c r="B34" s="23" t="s">
        <v>232</v>
      </c>
      <c r="C34" s="23" t="s">
        <v>9530</v>
      </c>
      <c r="D34" s="23" t="s">
        <v>9531</v>
      </c>
      <c r="E34" s="23" t="s">
        <v>9532</v>
      </c>
      <c r="F34" s="23" t="s">
        <v>40</v>
      </c>
      <c r="G34" s="23" t="s">
        <v>9533</v>
      </c>
      <c r="H34" s="23" t="s">
        <v>9534</v>
      </c>
      <c r="I34" s="23" t="s">
        <v>9535</v>
      </c>
      <c r="J34" s="23" t="s">
        <v>801</v>
      </c>
      <c r="K34" s="26" t="s">
        <v>396</v>
      </c>
      <c r="L34" s="23" t="s">
        <v>13</v>
      </c>
      <c r="M34" s="25" t="s">
        <v>18</v>
      </c>
      <c r="N34" s="23" t="s">
        <v>40</v>
      </c>
      <c r="O34" s="23" t="s">
        <v>387</v>
      </c>
      <c r="P34" s="23" t="s">
        <v>40</v>
      </c>
      <c r="Q34" s="23" t="s">
        <v>40</v>
      </c>
      <c r="R34" s="23" t="s">
        <v>233</v>
      </c>
      <c r="S34" s="23" t="s">
        <v>1710</v>
      </c>
      <c r="T34" s="23" t="s">
        <v>40</v>
      </c>
    </row>
    <row r="35" spans="1:20" x14ac:dyDescent="0.25">
      <c r="A35" s="23" t="s">
        <v>9536</v>
      </c>
      <c r="B35" s="23" t="s">
        <v>232</v>
      </c>
      <c r="C35" s="23" t="s">
        <v>6700</v>
      </c>
      <c r="D35" s="23" t="s">
        <v>9537</v>
      </c>
      <c r="E35" s="23" t="s">
        <v>9402</v>
      </c>
      <c r="F35" s="23" t="s">
        <v>40</v>
      </c>
      <c r="G35" s="23" t="s">
        <v>9538</v>
      </c>
      <c r="H35" s="23" t="s">
        <v>9539</v>
      </c>
      <c r="I35" s="23" t="s">
        <v>9540</v>
      </c>
      <c r="J35" s="23" t="s">
        <v>525</v>
      </c>
      <c r="K35" s="24" t="s">
        <v>386</v>
      </c>
      <c r="L35" s="23" t="s">
        <v>13</v>
      </c>
      <c r="M35" s="25" t="s">
        <v>18</v>
      </c>
      <c r="N35" s="23" t="s">
        <v>40</v>
      </c>
      <c r="O35" s="23" t="s">
        <v>387</v>
      </c>
      <c r="P35" s="23" t="s">
        <v>40</v>
      </c>
      <c r="Q35" s="23" t="s">
        <v>40</v>
      </c>
      <c r="R35" s="23" t="s">
        <v>233</v>
      </c>
      <c r="S35" s="23" t="s">
        <v>1710</v>
      </c>
      <c r="T35" s="23" t="s">
        <v>40</v>
      </c>
    </row>
    <row r="36" spans="1:20" x14ac:dyDescent="0.25">
      <c r="A36" s="23" t="s">
        <v>9541</v>
      </c>
      <c r="B36" s="23" t="s">
        <v>234</v>
      </c>
      <c r="C36" s="23" t="s">
        <v>944</v>
      </c>
      <c r="D36" s="23" t="s">
        <v>9542</v>
      </c>
      <c r="E36" s="23" t="s">
        <v>3835</v>
      </c>
      <c r="F36" s="23" t="s">
        <v>9543</v>
      </c>
      <c r="G36" s="23" t="s">
        <v>9544</v>
      </c>
      <c r="H36" s="23" t="s">
        <v>9545</v>
      </c>
      <c r="I36" s="23" t="s">
        <v>9546</v>
      </c>
      <c r="J36" s="23" t="s">
        <v>385</v>
      </c>
      <c r="K36" s="24" t="s">
        <v>386</v>
      </c>
      <c r="L36" s="23" t="s">
        <v>13</v>
      </c>
      <c r="M36" s="31" t="s">
        <v>17</v>
      </c>
      <c r="N36" s="23" t="s">
        <v>9547</v>
      </c>
      <c r="O36" s="29" t="s">
        <v>87</v>
      </c>
      <c r="P36" s="23" t="s">
        <v>40</v>
      </c>
      <c r="Q36" s="23" t="s">
        <v>40</v>
      </c>
      <c r="R36" s="23" t="s">
        <v>235</v>
      </c>
      <c r="S36" s="23" t="s">
        <v>40</v>
      </c>
      <c r="T36" s="23" t="s">
        <v>40</v>
      </c>
    </row>
    <row r="37" spans="1:20" x14ac:dyDescent="0.25">
      <c r="A37" s="23" t="s">
        <v>9548</v>
      </c>
      <c r="B37" s="23" t="s">
        <v>234</v>
      </c>
      <c r="C37" s="23" t="s">
        <v>9549</v>
      </c>
      <c r="D37" s="23" t="s">
        <v>9550</v>
      </c>
      <c r="E37" s="23" t="s">
        <v>9551</v>
      </c>
      <c r="F37" s="23" t="s">
        <v>9552</v>
      </c>
      <c r="G37" s="23" t="s">
        <v>9553</v>
      </c>
      <c r="H37" s="23" t="s">
        <v>9554</v>
      </c>
      <c r="I37" s="23" t="s">
        <v>9555</v>
      </c>
      <c r="J37" s="23" t="s">
        <v>14</v>
      </c>
      <c r="K37" s="26" t="s">
        <v>396</v>
      </c>
      <c r="L37" s="23" t="s">
        <v>13</v>
      </c>
      <c r="M37" s="25" t="s">
        <v>18</v>
      </c>
      <c r="N37" s="23" t="s">
        <v>40</v>
      </c>
      <c r="O37" s="23" t="s">
        <v>387</v>
      </c>
      <c r="P37" s="23" t="s">
        <v>40</v>
      </c>
      <c r="Q37" s="23" t="s">
        <v>40</v>
      </c>
      <c r="R37" s="23" t="s">
        <v>235</v>
      </c>
      <c r="S37" s="23" t="s">
        <v>1710</v>
      </c>
      <c r="T37" s="23" t="s">
        <v>40</v>
      </c>
    </row>
    <row r="38" spans="1:20" x14ac:dyDescent="0.25">
      <c r="A38" s="23" t="s">
        <v>9556</v>
      </c>
      <c r="B38" s="23" t="s">
        <v>234</v>
      </c>
      <c r="C38" s="23" t="s">
        <v>9549</v>
      </c>
      <c r="D38" s="23" t="s">
        <v>9557</v>
      </c>
      <c r="E38" s="23" t="s">
        <v>3835</v>
      </c>
      <c r="F38" s="23" t="s">
        <v>40</v>
      </c>
      <c r="G38" s="23" t="s">
        <v>9558</v>
      </c>
      <c r="H38" s="23" t="s">
        <v>9559</v>
      </c>
      <c r="I38" s="23" t="s">
        <v>3035</v>
      </c>
      <c r="J38" s="23" t="s">
        <v>466</v>
      </c>
      <c r="K38" s="27" t="s">
        <v>404</v>
      </c>
      <c r="L38" s="23" t="s">
        <v>405</v>
      </c>
      <c r="M38" s="25" t="s">
        <v>18</v>
      </c>
      <c r="N38" s="23" t="s">
        <v>40</v>
      </c>
      <c r="O38" s="23" t="s">
        <v>387</v>
      </c>
      <c r="P38" s="23" t="s">
        <v>40</v>
      </c>
      <c r="Q38" s="23" t="s">
        <v>40</v>
      </c>
      <c r="R38" s="23" t="s">
        <v>235</v>
      </c>
      <c r="S38" s="23" t="s">
        <v>1710</v>
      </c>
      <c r="T38" s="23" t="s">
        <v>40</v>
      </c>
    </row>
    <row r="39" spans="1:20" x14ac:dyDescent="0.25">
      <c r="A39" s="23" t="s">
        <v>9560</v>
      </c>
      <c r="B39" s="23" t="s">
        <v>234</v>
      </c>
      <c r="C39" s="23" t="s">
        <v>9549</v>
      </c>
      <c r="D39" s="23" t="s">
        <v>9561</v>
      </c>
      <c r="E39" s="23" t="s">
        <v>3835</v>
      </c>
      <c r="F39" s="23" t="s">
        <v>40</v>
      </c>
      <c r="G39" s="23" t="s">
        <v>9562</v>
      </c>
      <c r="H39" s="23" t="s">
        <v>9563</v>
      </c>
      <c r="I39" s="23" t="s">
        <v>9564</v>
      </c>
      <c r="J39" s="23" t="s">
        <v>15</v>
      </c>
      <c r="K39" s="27" t="s">
        <v>404</v>
      </c>
      <c r="L39" s="23" t="s">
        <v>405</v>
      </c>
      <c r="M39" s="25" t="s">
        <v>18</v>
      </c>
      <c r="N39" s="23" t="s">
        <v>40</v>
      </c>
      <c r="O39" s="23" t="s">
        <v>387</v>
      </c>
      <c r="P39" s="23" t="s">
        <v>40</v>
      </c>
      <c r="Q39" s="23" t="s">
        <v>40</v>
      </c>
      <c r="R39" s="23" t="s">
        <v>235</v>
      </c>
      <c r="S39" s="23" t="s">
        <v>1710</v>
      </c>
      <c r="T39" s="23" t="s">
        <v>40</v>
      </c>
    </row>
    <row r="40" spans="1:20" x14ac:dyDescent="0.25">
      <c r="A40" s="23" t="s">
        <v>9565</v>
      </c>
      <c r="B40" s="23" t="s">
        <v>234</v>
      </c>
      <c r="C40" s="23" t="s">
        <v>9549</v>
      </c>
      <c r="D40" s="23" t="s">
        <v>9566</v>
      </c>
      <c r="E40" s="23" t="s">
        <v>9567</v>
      </c>
      <c r="F40" s="23" t="s">
        <v>9568</v>
      </c>
      <c r="G40" s="23" t="s">
        <v>9569</v>
      </c>
      <c r="H40" s="23" t="s">
        <v>9570</v>
      </c>
      <c r="I40" s="23" t="s">
        <v>9571</v>
      </c>
      <c r="J40" s="23" t="s">
        <v>15</v>
      </c>
      <c r="K40" s="27" t="s">
        <v>404</v>
      </c>
      <c r="L40" s="23" t="s">
        <v>405</v>
      </c>
      <c r="M40" s="25" t="s">
        <v>18</v>
      </c>
      <c r="N40" s="23" t="s">
        <v>40</v>
      </c>
      <c r="O40" s="23" t="s">
        <v>387</v>
      </c>
      <c r="P40" s="23" t="s">
        <v>40</v>
      </c>
      <c r="Q40" s="23" t="s">
        <v>40</v>
      </c>
      <c r="R40" s="23" t="s">
        <v>235</v>
      </c>
      <c r="S40" s="23" t="s">
        <v>1710</v>
      </c>
      <c r="T40" s="23" t="s">
        <v>40</v>
      </c>
    </row>
    <row r="41" spans="1:20" x14ac:dyDescent="0.25">
      <c r="A41" s="23" t="s">
        <v>9572</v>
      </c>
      <c r="B41" s="23" t="s">
        <v>234</v>
      </c>
      <c r="C41" s="23" t="s">
        <v>9549</v>
      </c>
      <c r="D41" s="23" t="s">
        <v>9573</v>
      </c>
      <c r="E41" s="23" t="s">
        <v>3835</v>
      </c>
      <c r="F41" s="23" t="s">
        <v>40</v>
      </c>
      <c r="G41" s="23" t="s">
        <v>9574</v>
      </c>
      <c r="H41" s="23" t="s">
        <v>9575</v>
      </c>
      <c r="I41" s="23" t="s">
        <v>9576</v>
      </c>
      <c r="J41" s="23" t="s">
        <v>15</v>
      </c>
      <c r="K41" s="27" t="s">
        <v>404</v>
      </c>
      <c r="L41" s="23" t="s">
        <v>490</v>
      </c>
      <c r="M41" s="25" t="s">
        <v>18</v>
      </c>
      <c r="N41" s="23" t="s">
        <v>40</v>
      </c>
      <c r="O41" s="23" t="s">
        <v>387</v>
      </c>
      <c r="P41" s="23" t="s">
        <v>40</v>
      </c>
      <c r="Q41" s="23" t="s">
        <v>40</v>
      </c>
      <c r="R41" s="23" t="s">
        <v>235</v>
      </c>
      <c r="S41" s="23" t="s">
        <v>1710</v>
      </c>
      <c r="T41" s="23" t="s">
        <v>40</v>
      </c>
    </row>
    <row r="42" spans="1:20" x14ac:dyDescent="0.25">
      <c r="A42" s="23" t="s">
        <v>9577</v>
      </c>
      <c r="B42" s="23" t="s">
        <v>234</v>
      </c>
      <c r="C42" s="23" t="s">
        <v>9578</v>
      </c>
      <c r="D42" s="23" t="s">
        <v>9579</v>
      </c>
      <c r="E42" s="23" t="s">
        <v>9580</v>
      </c>
      <c r="F42" s="23" t="s">
        <v>9581</v>
      </c>
      <c r="G42" s="23" t="s">
        <v>9582</v>
      </c>
      <c r="H42" s="23" t="s">
        <v>9583</v>
      </c>
      <c r="I42" s="23" t="s">
        <v>9584</v>
      </c>
      <c r="J42" s="23" t="s">
        <v>489</v>
      </c>
      <c r="K42" s="27" t="s">
        <v>404</v>
      </c>
      <c r="L42" s="23" t="s">
        <v>405</v>
      </c>
      <c r="M42" s="25" t="s">
        <v>18</v>
      </c>
      <c r="N42" s="23" t="s">
        <v>40</v>
      </c>
      <c r="O42" s="23" t="s">
        <v>387</v>
      </c>
      <c r="P42" s="23" t="s">
        <v>40</v>
      </c>
      <c r="Q42" s="23" t="s">
        <v>40</v>
      </c>
      <c r="R42" s="23" t="s">
        <v>235</v>
      </c>
      <c r="S42" s="23" t="s">
        <v>1710</v>
      </c>
      <c r="T42" s="23" t="s">
        <v>40</v>
      </c>
    </row>
    <row r="43" spans="1:20" x14ac:dyDescent="0.25">
      <c r="A43" s="23" t="s">
        <v>9585</v>
      </c>
      <c r="B43" s="23" t="s">
        <v>234</v>
      </c>
      <c r="C43" s="23" t="s">
        <v>9578</v>
      </c>
      <c r="D43" s="23" t="s">
        <v>9586</v>
      </c>
      <c r="E43" s="23" t="s">
        <v>9587</v>
      </c>
      <c r="F43" s="23" t="s">
        <v>9588</v>
      </c>
      <c r="G43" s="23" t="s">
        <v>9589</v>
      </c>
      <c r="H43" s="23" t="s">
        <v>9590</v>
      </c>
      <c r="I43" s="23" t="s">
        <v>9591</v>
      </c>
      <c r="J43" s="23" t="s">
        <v>801</v>
      </c>
      <c r="K43" s="26" t="s">
        <v>396</v>
      </c>
      <c r="L43" s="23" t="s">
        <v>13</v>
      </c>
      <c r="M43" s="25" t="s">
        <v>18</v>
      </c>
      <c r="N43" s="23" t="s">
        <v>40</v>
      </c>
      <c r="O43" s="23" t="s">
        <v>387</v>
      </c>
      <c r="P43" s="23" t="s">
        <v>40</v>
      </c>
      <c r="Q43" s="23" t="s">
        <v>40</v>
      </c>
      <c r="R43" s="23" t="s">
        <v>235</v>
      </c>
      <c r="S43" s="23" t="s">
        <v>1710</v>
      </c>
      <c r="T43" s="23" t="s">
        <v>40</v>
      </c>
    </row>
    <row r="44" spans="1:20" x14ac:dyDescent="0.25">
      <c r="A44" s="23" t="s">
        <v>9592</v>
      </c>
      <c r="B44" s="23" t="s">
        <v>234</v>
      </c>
      <c r="C44" s="23" t="s">
        <v>9578</v>
      </c>
      <c r="D44" s="23" t="s">
        <v>9593</v>
      </c>
      <c r="E44" s="23" t="s">
        <v>9594</v>
      </c>
      <c r="F44" s="23" t="s">
        <v>9595</v>
      </c>
      <c r="G44" s="23" t="s">
        <v>9596</v>
      </c>
      <c r="H44" s="23" t="s">
        <v>9597</v>
      </c>
      <c r="I44" s="23" t="s">
        <v>9598</v>
      </c>
      <c r="J44" s="23" t="s">
        <v>801</v>
      </c>
      <c r="K44" s="26" t="s">
        <v>396</v>
      </c>
      <c r="L44" s="23" t="s">
        <v>13</v>
      </c>
      <c r="M44" s="25" t="s">
        <v>18</v>
      </c>
      <c r="N44" s="23" t="s">
        <v>40</v>
      </c>
      <c r="O44" s="23" t="s">
        <v>387</v>
      </c>
      <c r="P44" s="23" t="s">
        <v>40</v>
      </c>
      <c r="Q44" s="23" t="s">
        <v>40</v>
      </c>
      <c r="R44" s="23" t="s">
        <v>235</v>
      </c>
      <c r="S44" s="23" t="s">
        <v>1710</v>
      </c>
      <c r="T44" s="23" t="s">
        <v>40</v>
      </c>
    </row>
    <row r="45" spans="1:20" x14ac:dyDescent="0.25">
      <c r="A45" s="23" t="s">
        <v>9599</v>
      </c>
      <c r="B45" s="23" t="s">
        <v>234</v>
      </c>
      <c r="C45" s="23" t="s">
        <v>9600</v>
      </c>
      <c r="D45" s="23" t="s">
        <v>9601</v>
      </c>
      <c r="E45" s="23" t="s">
        <v>9602</v>
      </c>
      <c r="F45" s="23" t="s">
        <v>40</v>
      </c>
      <c r="G45" s="23" t="s">
        <v>9603</v>
      </c>
      <c r="H45" s="23" t="s">
        <v>9604</v>
      </c>
      <c r="I45" s="23" t="s">
        <v>9605</v>
      </c>
      <c r="J45" s="23" t="s">
        <v>14</v>
      </c>
      <c r="K45" s="24" t="s">
        <v>386</v>
      </c>
      <c r="L45" s="23" t="s">
        <v>405</v>
      </c>
      <c r="M45" s="25" t="s">
        <v>18</v>
      </c>
      <c r="N45" s="23" t="s">
        <v>40</v>
      </c>
      <c r="O45" s="23" t="s">
        <v>387</v>
      </c>
      <c r="P45" s="23" t="s">
        <v>40</v>
      </c>
      <c r="Q45" s="23" t="s">
        <v>40</v>
      </c>
      <c r="R45" s="23" t="s">
        <v>235</v>
      </c>
      <c r="S45" s="23" t="s">
        <v>1710</v>
      </c>
      <c r="T45" s="23" t="s">
        <v>40</v>
      </c>
    </row>
    <row r="46" spans="1:20" x14ac:dyDescent="0.25">
      <c r="A46" s="23" t="s">
        <v>9606</v>
      </c>
      <c r="B46" s="23" t="s">
        <v>234</v>
      </c>
      <c r="C46" s="23" t="s">
        <v>9600</v>
      </c>
      <c r="D46" s="23" t="s">
        <v>9607</v>
      </c>
      <c r="E46" s="23" t="s">
        <v>9608</v>
      </c>
      <c r="F46" s="23" t="s">
        <v>40</v>
      </c>
      <c r="G46" s="23" t="s">
        <v>9609</v>
      </c>
      <c r="H46" s="23" t="s">
        <v>9610</v>
      </c>
      <c r="I46" s="23" t="s">
        <v>9611</v>
      </c>
      <c r="J46" s="23" t="s">
        <v>15</v>
      </c>
      <c r="K46" s="27" t="s">
        <v>404</v>
      </c>
      <c r="L46" s="23" t="s">
        <v>405</v>
      </c>
      <c r="M46" s="25" t="s">
        <v>18</v>
      </c>
      <c r="N46" s="23" t="s">
        <v>40</v>
      </c>
      <c r="O46" s="23" t="s">
        <v>387</v>
      </c>
      <c r="P46" s="23" t="s">
        <v>40</v>
      </c>
      <c r="Q46" s="23" t="s">
        <v>40</v>
      </c>
      <c r="R46" s="23" t="s">
        <v>235</v>
      </c>
      <c r="S46" s="23" t="s">
        <v>1710</v>
      </c>
      <c r="T46" s="23" t="s">
        <v>40</v>
      </c>
    </row>
    <row r="47" spans="1:20" x14ac:dyDescent="0.25">
      <c r="A47" s="23" t="s">
        <v>9612</v>
      </c>
      <c r="B47" s="23" t="s">
        <v>234</v>
      </c>
      <c r="C47" s="23" t="s">
        <v>9600</v>
      </c>
      <c r="D47" s="23" t="s">
        <v>9613</v>
      </c>
      <c r="E47" s="23" t="s">
        <v>9614</v>
      </c>
      <c r="F47" s="23" t="s">
        <v>40</v>
      </c>
      <c r="G47" s="23" t="s">
        <v>9615</v>
      </c>
      <c r="H47" s="23" t="s">
        <v>9616</v>
      </c>
      <c r="I47" s="23" t="s">
        <v>9617</v>
      </c>
      <c r="J47" s="23" t="s">
        <v>15</v>
      </c>
      <c r="K47" s="27" t="s">
        <v>404</v>
      </c>
      <c r="L47" s="23" t="s">
        <v>490</v>
      </c>
      <c r="M47" s="25" t="s">
        <v>18</v>
      </c>
      <c r="N47" s="23" t="s">
        <v>40</v>
      </c>
      <c r="O47" s="23" t="s">
        <v>387</v>
      </c>
      <c r="P47" s="23" t="s">
        <v>40</v>
      </c>
      <c r="Q47" s="23" t="s">
        <v>40</v>
      </c>
      <c r="R47" s="23" t="s">
        <v>235</v>
      </c>
      <c r="S47" s="23" t="s">
        <v>1710</v>
      </c>
      <c r="T47" s="23" t="s">
        <v>40</v>
      </c>
    </row>
    <row r="48" spans="1:20" x14ac:dyDescent="0.25">
      <c r="A48" s="23" t="s">
        <v>9618</v>
      </c>
      <c r="B48" s="23" t="s">
        <v>234</v>
      </c>
      <c r="C48" s="23" t="s">
        <v>6700</v>
      </c>
      <c r="D48" s="23" t="s">
        <v>9619</v>
      </c>
      <c r="E48" s="23" t="s">
        <v>9402</v>
      </c>
      <c r="F48" s="23" t="s">
        <v>40</v>
      </c>
      <c r="G48" s="23" t="s">
        <v>9620</v>
      </c>
      <c r="H48" s="23" t="s">
        <v>9621</v>
      </c>
      <c r="I48" s="23" t="s">
        <v>9540</v>
      </c>
      <c r="J48" s="23" t="s">
        <v>525</v>
      </c>
      <c r="K48" s="24" t="s">
        <v>386</v>
      </c>
      <c r="L48" s="23" t="s">
        <v>13</v>
      </c>
      <c r="M48" s="25" t="s">
        <v>18</v>
      </c>
      <c r="N48" s="23" t="s">
        <v>40</v>
      </c>
      <c r="O48" s="23" t="s">
        <v>387</v>
      </c>
      <c r="P48" s="23" t="s">
        <v>40</v>
      </c>
      <c r="Q48" s="23" t="s">
        <v>40</v>
      </c>
      <c r="R48" s="23" t="s">
        <v>235</v>
      </c>
      <c r="S48" s="23" t="s">
        <v>1710</v>
      </c>
      <c r="T48" s="23" t="s">
        <v>40</v>
      </c>
    </row>
    <row r="49" spans="1:20" x14ac:dyDescent="0.25">
      <c r="A49" s="23" t="s">
        <v>9622</v>
      </c>
      <c r="B49" s="23" t="s">
        <v>236</v>
      </c>
      <c r="C49" s="23" t="s">
        <v>944</v>
      </c>
      <c r="D49" s="23" t="s">
        <v>9623</v>
      </c>
      <c r="E49" s="23" t="s">
        <v>3835</v>
      </c>
      <c r="F49" s="23" t="s">
        <v>9624</v>
      </c>
      <c r="G49" s="23" t="s">
        <v>9625</v>
      </c>
      <c r="H49" s="23" t="s">
        <v>9626</v>
      </c>
      <c r="I49" s="23" t="s">
        <v>9627</v>
      </c>
      <c r="J49" s="23" t="s">
        <v>385</v>
      </c>
      <c r="K49" s="24" t="s">
        <v>386</v>
      </c>
      <c r="L49" s="23" t="s">
        <v>13</v>
      </c>
      <c r="M49" s="31" t="s">
        <v>17</v>
      </c>
      <c r="N49" s="23" t="s">
        <v>9628</v>
      </c>
      <c r="O49" s="29" t="s">
        <v>87</v>
      </c>
      <c r="P49" s="23" t="s">
        <v>40</v>
      </c>
      <c r="Q49" s="23" t="s">
        <v>40</v>
      </c>
      <c r="R49" s="23" t="s">
        <v>237</v>
      </c>
      <c r="S49" s="23" t="s">
        <v>40</v>
      </c>
      <c r="T49" s="23" t="s">
        <v>40</v>
      </c>
    </row>
    <row r="50" spans="1:20" x14ac:dyDescent="0.25">
      <c r="A50" s="23" t="s">
        <v>9629</v>
      </c>
      <c r="B50" s="23" t="s">
        <v>236</v>
      </c>
      <c r="C50" s="23" t="s">
        <v>951</v>
      </c>
      <c r="D50" s="23" t="s">
        <v>9630</v>
      </c>
      <c r="E50" s="23" t="s">
        <v>3835</v>
      </c>
      <c r="F50" s="23" t="s">
        <v>40</v>
      </c>
      <c r="G50" s="23" t="s">
        <v>9631</v>
      </c>
      <c r="H50" s="23" t="s">
        <v>9632</v>
      </c>
      <c r="I50" s="23" t="s">
        <v>9633</v>
      </c>
      <c r="J50" s="23" t="s">
        <v>14</v>
      </c>
      <c r="K50" s="24" t="s">
        <v>386</v>
      </c>
      <c r="L50" s="23" t="s">
        <v>405</v>
      </c>
      <c r="M50" s="25" t="s">
        <v>18</v>
      </c>
      <c r="N50" s="23" t="s">
        <v>40</v>
      </c>
      <c r="O50" s="23" t="s">
        <v>387</v>
      </c>
      <c r="P50" s="23" t="s">
        <v>40</v>
      </c>
      <c r="Q50" s="23" t="s">
        <v>40</v>
      </c>
      <c r="R50" s="23" t="s">
        <v>237</v>
      </c>
      <c r="S50" s="23" t="s">
        <v>1710</v>
      </c>
      <c r="T50" s="23" t="s">
        <v>40</v>
      </c>
    </row>
    <row r="51" spans="1:20" x14ac:dyDescent="0.25">
      <c r="A51" s="23" t="s">
        <v>9634</v>
      </c>
      <c r="B51" s="23" t="s">
        <v>236</v>
      </c>
      <c r="C51" s="23" t="s">
        <v>951</v>
      </c>
      <c r="D51" s="23" t="s">
        <v>9635</v>
      </c>
      <c r="E51" s="23" t="s">
        <v>3835</v>
      </c>
      <c r="F51" s="23" t="s">
        <v>40</v>
      </c>
      <c r="G51" s="23" t="s">
        <v>9636</v>
      </c>
      <c r="H51" s="23" t="s">
        <v>9637</v>
      </c>
      <c r="I51" s="23" t="s">
        <v>9638</v>
      </c>
      <c r="J51" s="23" t="s">
        <v>14</v>
      </c>
      <c r="K51" s="27" t="s">
        <v>404</v>
      </c>
      <c r="L51" s="23" t="s">
        <v>490</v>
      </c>
      <c r="M51" s="25" t="s">
        <v>18</v>
      </c>
      <c r="N51" s="23" t="s">
        <v>40</v>
      </c>
      <c r="O51" s="23" t="s">
        <v>387</v>
      </c>
      <c r="P51" s="23" t="s">
        <v>40</v>
      </c>
      <c r="Q51" s="23" t="s">
        <v>40</v>
      </c>
      <c r="R51" s="23" t="s">
        <v>237</v>
      </c>
      <c r="S51" s="23" t="s">
        <v>1710</v>
      </c>
      <c r="T51" s="23" t="s">
        <v>40</v>
      </c>
    </row>
    <row r="52" spans="1:20" x14ac:dyDescent="0.25">
      <c r="A52" s="23" t="s">
        <v>9639</v>
      </c>
      <c r="B52" s="23" t="s">
        <v>236</v>
      </c>
      <c r="C52" s="23" t="s">
        <v>951</v>
      </c>
      <c r="D52" s="23" t="s">
        <v>9640</v>
      </c>
      <c r="E52" s="23" t="s">
        <v>3835</v>
      </c>
      <c r="F52" s="23" t="s">
        <v>40</v>
      </c>
      <c r="G52" s="23" t="s">
        <v>9641</v>
      </c>
      <c r="H52" s="23" t="s">
        <v>9642</v>
      </c>
      <c r="I52" s="23" t="s">
        <v>9643</v>
      </c>
      <c r="J52" s="23" t="s">
        <v>14</v>
      </c>
      <c r="K52" s="24" t="s">
        <v>386</v>
      </c>
      <c r="L52" s="23" t="s">
        <v>405</v>
      </c>
      <c r="M52" s="25" t="s">
        <v>18</v>
      </c>
      <c r="N52" s="23" t="s">
        <v>40</v>
      </c>
      <c r="O52" s="23" t="s">
        <v>387</v>
      </c>
      <c r="P52" s="23" t="s">
        <v>40</v>
      </c>
      <c r="Q52" s="23" t="s">
        <v>40</v>
      </c>
      <c r="R52" s="23" t="s">
        <v>237</v>
      </c>
      <c r="S52" s="23" t="s">
        <v>1710</v>
      </c>
      <c r="T52" s="23" t="s">
        <v>40</v>
      </c>
    </row>
    <row r="53" spans="1:20" x14ac:dyDescent="0.25">
      <c r="A53" s="23" t="s">
        <v>9644</v>
      </c>
      <c r="B53" s="23" t="s">
        <v>236</v>
      </c>
      <c r="C53" s="23" t="s">
        <v>951</v>
      </c>
      <c r="D53" s="23" t="s">
        <v>5889</v>
      </c>
      <c r="E53" s="23" t="s">
        <v>9645</v>
      </c>
      <c r="F53" s="23" t="s">
        <v>40</v>
      </c>
      <c r="G53" s="23" t="s">
        <v>9646</v>
      </c>
      <c r="H53" s="23" t="s">
        <v>9647</v>
      </c>
      <c r="I53" s="23" t="s">
        <v>9648</v>
      </c>
      <c r="J53" s="23" t="s">
        <v>385</v>
      </c>
      <c r="K53" s="32" t="s">
        <v>747</v>
      </c>
      <c r="L53" s="23" t="s">
        <v>490</v>
      </c>
      <c r="M53" s="25" t="s">
        <v>18</v>
      </c>
      <c r="N53" s="23" t="s">
        <v>40</v>
      </c>
      <c r="O53" s="23" t="s">
        <v>387</v>
      </c>
      <c r="P53" s="23" t="s">
        <v>40</v>
      </c>
      <c r="Q53" s="23" t="s">
        <v>40</v>
      </c>
      <c r="R53" s="23" t="s">
        <v>237</v>
      </c>
      <c r="S53" s="23" t="s">
        <v>1710</v>
      </c>
      <c r="T53" s="23" t="s">
        <v>40</v>
      </c>
    </row>
    <row r="54" spans="1:20" x14ac:dyDescent="0.25">
      <c r="A54" s="23" t="s">
        <v>9649</v>
      </c>
      <c r="B54" s="23" t="s">
        <v>236</v>
      </c>
      <c r="C54" s="23" t="s">
        <v>9650</v>
      </c>
      <c r="D54" s="23" t="s">
        <v>9651</v>
      </c>
      <c r="E54" s="23" t="s">
        <v>9652</v>
      </c>
      <c r="F54" s="23" t="s">
        <v>9653</v>
      </c>
      <c r="G54" s="23" t="s">
        <v>9654</v>
      </c>
      <c r="H54" s="23" t="s">
        <v>9655</v>
      </c>
      <c r="I54" s="23" t="s">
        <v>9656</v>
      </c>
      <c r="J54" s="23" t="s">
        <v>14</v>
      </c>
      <c r="K54" s="26" t="s">
        <v>396</v>
      </c>
      <c r="L54" s="23" t="s">
        <v>13</v>
      </c>
      <c r="M54" s="25" t="s">
        <v>18</v>
      </c>
      <c r="N54" s="23" t="s">
        <v>40</v>
      </c>
      <c r="O54" s="23" t="s">
        <v>387</v>
      </c>
      <c r="P54" s="23" t="s">
        <v>40</v>
      </c>
      <c r="Q54" s="23" t="s">
        <v>40</v>
      </c>
      <c r="R54" s="23" t="s">
        <v>237</v>
      </c>
      <c r="S54" s="23" t="s">
        <v>1710</v>
      </c>
      <c r="T54" s="23" t="s">
        <v>40</v>
      </c>
    </row>
    <row r="55" spans="1:20" x14ac:dyDescent="0.25">
      <c r="A55" s="23" t="s">
        <v>9657</v>
      </c>
      <c r="B55" s="23" t="s">
        <v>236</v>
      </c>
      <c r="C55" s="23" t="s">
        <v>9650</v>
      </c>
      <c r="D55" s="23" t="s">
        <v>9658</v>
      </c>
      <c r="E55" s="23" t="s">
        <v>3835</v>
      </c>
      <c r="F55" s="23" t="s">
        <v>40</v>
      </c>
      <c r="G55" s="23" t="s">
        <v>9659</v>
      </c>
      <c r="H55" s="23" t="s">
        <v>9660</v>
      </c>
      <c r="I55" s="23" t="s">
        <v>9661</v>
      </c>
      <c r="J55" s="23" t="s">
        <v>466</v>
      </c>
      <c r="K55" s="27" t="s">
        <v>404</v>
      </c>
      <c r="L55" s="23" t="s">
        <v>405</v>
      </c>
      <c r="M55" s="25" t="s">
        <v>18</v>
      </c>
      <c r="N55" s="23" t="s">
        <v>40</v>
      </c>
      <c r="O55" s="23" t="s">
        <v>387</v>
      </c>
      <c r="P55" s="23" t="s">
        <v>40</v>
      </c>
      <c r="Q55" s="23" t="s">
        <v>40</v>
      </c>
      <c r="R55" s="23" t="s">
        <v>237</v>
      </c>
      <c r="S55" s="23" t="s">
        <v>9662</v>
      </c>
      <c r="T55" s="23" t="s">
        <v>40</v>
      </c>
    </row>
    <row r="56" spans="1:20" x14ac:dyDescent="0.25">
      <c r="A56" s="23" t="s">
        <v>9663</v>
      </c>
      <c r="B56" s="23" t="s">
        <v>236</v>
      </c>
      <c r="C56" s="23" t="s">
        <v>9650</v>
      </c>
      <c r="D56" s="23" t="s">
        <v>9664</v>
      </c>
      <c r="E56" s="23" t="s">
        <v>3835</v>
      </c>
      <c r="F56" s="23" t="s">
        <v>40</v>
      </c>
      <c r="G56" s="23" t="s">
        <v>9665</v>
      </c>
      <c r="H56" s="23" t="s">
        <v>9666</v>
      </c>
      <c r="I56" s="23" t="s">
        <v>9667</v>
      </c>
      <c r="J56" s="23" t="s">
        <v>15</v>
      </c>
      <c r="K56" s="24" t="s">
        <v>386</v>
      </c>
      <c r="L56" s="23" t="s">
        <v>13</v>
      </c>
      <c r="M56" s="25" t="s">
        <v>18</v>
      </c>
      <c r="N56" s="23" t="s">
        <v>40</v>
      </c>
      <c r="O56" s="23" t="s">
        <v>387</v>
      </c>
      <c r="P56" s="23" t="s">
        <v>40</v>
      </c>
      <c r="Q56" s="23" t="s">
        <v>40</v>
      </c>
      <c r="R56" s="23" t="s">
        <v>237</v>
      </c>
      <c r="S56" s="23" t="s">
        <v>1710</v>
      </c>
      <c r="T56" s="23" t="s">
        <v>40</v>
      </c>
    </row>
    <row r="57" spans="1:20" x14ac:dyDescent="0.25">
      <c r="A57" s="23" t="s">
        <v>9668</v>
      </c>
      <c r="B57" s="23" t="s">
        <v>236</v>
      </c>
      <c r="C57" s="23" t="s">
        <v>9650</v>
      </c>
      <c r="D57" s="23" t="s">
        <v>9669</v>
      </c>
      <c r="E57" s="23" t="s">
        <v>3835</v>
      </c>
      <c r="F57" s="23" t="s">
        <v>40</v>
      </c>
      <c r="G57" s="23" t="s">
        <v>9670</v>
      </c>
      <c r="H57" s="23" t="s">
        <v>9671</v>
      </c>
      <c r="I57" s="23" t="s">
        <v>9672</v>
      </c>
      <c r="J57" s="23" t="s">
        <v>489</v>
      </c>
      <c r="K57" s="27" t="s">
        <v>404</v>
      </c>
      <c r="L57" s="23" t="s">
        <v>405</v>
      </c>
      <c r="M57" s="25" t="s">
        <v>18</v>
      </c>
      <c r="N57" s="23" t="s">
        <v>40</v>
      </c>
      <c r="O57" s="23" t="s">
        <v>387</v>
      </c>
      <c r="P57" s="23" t="s">
        <v>40</v>
      </c>
      <c r="Q57" s="23" t="s">
        <v>40</v>
      </c>
      <c r="R57" s="23" t="s">
        <v>237</v>
      </c>
      <c r="S57" s="23" t="s">
        <v>1710</v>
      </c>
      <c r="T57" s="23" t="s">
        <v>40</v>
      </c>
    </row>
    <row r="58" spans="1:20" x14ac:dyDescent="0.25">
      <c r="A58" s="23" t="s">
        <v>9673</v>
      </c>
      <c r="B58" s="23" t="s">
        <v>236</v>
      </c>
      <c r="C58" s="23" t="s">
        <v>9650</v>
      </c>
      <c r="D58" s="23" t="s">
        <v>9674</v>
      </c>
      <c r="E58" s="23" t="s">
        <v>3835</v>
      </c>
      <c r="F58" s="23" t="s">
        <v>40</v>
      </c>
      <c r="G58" s="23" t="s">
        <v>9675</v>
      </c>
      <c r="H58" s="23" t="s">
        <v>9676</v>
      </c>
      <c r="I58" s="23" t="s">
        <v>9677</v>
      </c>
      <c r="J58" s="23" t="s">
        <v>466</v>
      </c>
      <c r="K58" s="27" t="s">
        <v>404</v>
      </c>
      <c r="L58" s="23" t="s">
        <v>405</v>
      </c>
      <c r="M58" s="25" t="s">
        <v>18</v>
      </c>
      <c r="N58" s="23" t="s">
        <v>40</v>
      </c>
      <c r="O58" s="23" t="s">
        <v>387</v>
      </c>
      <c r="P58" s="23" t="s">
        <v>40</v>
      </c>
      <c r="Q58" s="23" t="s">
        <v>40</v>
      </c>
      <c r="R58" s="23" t="s">
        <v>237</v>
      </c>
      <c r="S58" s="23" t="s">
        <v>1710</v>
      </c>
      <c r="T58" s="23" t="s">
        <v>40</v>
      </c>
    </row>
    <row r="59" spans="1:20" x14ac:dyDescent="0.25">
      <c r="A59" s="23" t="s">
        <v>9678</v>
      </c>
      <c r="B59" s="23" t="s">
        <v>236</v>
      </c>
      <c r="C59" s="23" t="s">
        <v>9650</v>
      </c>
      <c r="D59" s="23" t="s">
        <v>9679</v>
      </c>
      <c r="E59" s="23" t="s">
        <v>9680</v>
      </c>
      <c r="F59" s="23" t="s">
        <v>40</v>
      </c>
      <c r="G59" s="23" t="s">
        <v>9681</v>
      </c>
      <c r="H59" s="23" t="s">
        <v>9682</v>
      </c>
      <c r="I59" s="23" t="s">
        <v>9683</v>
      </c>
      <c r="J59" s="23" t="s">
        <v>15</v>
      </c>
      <c r="K59" s="27" t="s">
        <v>404</v>
      </c>
      <c r="L59" s="23" t="s">
        <v>405</v>
      </c>
      <c r="M59" s="25" t="s">
        <v>18</v>
      </c>
      <c r="N59" s="23" t="s">
        <v>40</v>
      </c>
      <c r="O59" s="23" t="s">
        <v>387</v>
      </c>
      <c r="P59" s="23" t="s">
        <v>40</v>
      </c>
      <c r="Q59" s="23" t="s">
        <v>40</v>
      </c>
      <c r="R59" s="23" t="s">
        <v>237</v>
      </c>
      <c r="S59" s="23" t="s">
        <v>1710</v>
      </c>
      <c r="T59" s="23" t="s">
        <v>40</v>
      </c>
    </row>
    <row r="60" spans="1:20" x14ac:dyDescent="0.25">
      <c r="A60" s="23" t="s">
        <v>9684</v>
      </c>
      <c r="B60" s="23" t="s">
        <v>236</v>
      </c>
      <c r="C60" s="23" t="s">
        <v>9650</v>
      </c>
      <c r="D60" s="23" t="s">
        <v>9685</v>
      </c>
      <c r="E60" s="23" t="s">
        <v>9686</v>
      </c>
      <c r="F60" s="23" t="s">
        <v>40</v>
      </c>
      <c r="G60" s="23" t="s">
        <v>9687</v>
      </c>
      <c r="H60" s="23" t="s">
        <v>9688</v>
      </c>
      <c r="I60" s="23" t="s">
        <v>9689</v>
      </c>
      <c r="J60" s="23" t="s">
        <v>801</v>
      </c>
      <c r="K60" s="24" t="s">
        <v>386</v>
      </c>
      <c r="L60" s="23" t="s">
        <v>405</v>
      </c>
      <c r="M60" s="25" t="s">
        <v>18</v>
      </c>
      <c r="N60" s="23" t="s">
        <v>40</v>
      </c>
      <c r="O60" s="23" t="s">
        <v>387</v>
      </c>
      <c r="P60" s="23" t="s">
        <v>40</v>
      </c>
      <c r="Q60" s="23" t="s">
        <v>40</v>
      </c>
      <c r="R60" s="23" t="s">
        <v>237</v>
      </c>
      <c r="S60" s="23" t="s">
        <v>1710</v>
      </c>
      <c r="T60" s="23" t="s">
        <v>40</v>
      </c>
    </row>
    <row r="61" spans="1:20" x14ac:dyDescent="0.25">
      <c r="A61" s="23" t="s">
        <v>9690</v>
      </c>
      <c r="B61" s="23" t="s">
        <v>236</v>
      </c>
      <c r="C61" s="23" t="s">
        <v>9691</v>
      </c>
      <c r="D61" s="23" t="s">
        <v>9692</v>
      </c>
      <c r="E61" s="23" t="s">
        <v>9693</v>
      </c>
      <c r="F61" s="23" t="s">
        <v>40</v>
      </c>
      <c r="G61" s="23" t="s">
        <v>9694</v>
      </c>
      <c r="H61" s="23" t="s">
        <v>9695</v>
      </c>
      <c r="I61" s="23" t="s">
        <v>9696</v>
      </c>
      <c r="J61" s="23" t="s">
        <v>14</v>
      </c>
      <c r="K61" s="27" t="s">
        <v>404</v>
      </c>
      <c r="L61" s="23" t="s">
        <v>490</v>
      </c>
      <c r="M61" s="25" t="s">
        <v>18</v>
      </c>
      <c r="N61" s="23" t="s">
        <v>40</v>
      </c>
      <c r="O61" s="23" t="s">
        <v>387</v>
      </c>
      <c r="P61" s="23" t="s">
        <v>40</v>
      </c>
      <c r="Q61" s="23" t="s">
        <v>40</v>
      </c>
      <c r="R61" s="23" t="s">
        <v>237</v>
      </c>
      <c r="S61" s="23" t="s">
        <v>1710</v>
      </c>
      <c r="T61" s="23" t="s">
        <v>40</v>
      </c>
    </row>
    <row r="62" spans="1:20" x14ac:dyDescent="0.25">
      <c r="A62" s="23" t="s">
        <v>9697</v>
      </c>
      <c r="B62" s="23" t="s">
        <v>236</v>
      </c>
      <c r="C62" s="23" t="s">
        <v>801</v>
      </c>
      <c r="D62" s="23" t="s">
        <v>9698</v>
      </c>
      <c r="E62" s="23" t="s">
        <v>9699</v>
      </c>
      <c r="F62" s="23" t="s">
        <v>40</v>
      </c>
      <c r="G62" s="23" t="s">
        <v>9700</v>
      </c>
      <c r="H62" s="23" t="s">
        <v>9701</v>
      </c>
      <c r="I62" s="23" t="s">
        <v>9702</v>
      </c>
      <c r="J62" s="23" t="s">
        <v>801</v>
      </c>
      <c r="K62" s="26" t="s">
        <v>396</v>
      </c>
      <c r="L62" s="23" t="s">
        <v>13</v>
      </c>
      <c r="M62" s="25" t="s">
        <v>18</v>
      </c>
      <c r="N62" s="23" t="s">
        <v>40</v>
      </c>
      <c r="O62" s="23" t="s">
        <v>387</v>
      </c>
      <c r="P62" s="23" t="s">
        <v>40</v>
      </c>
      <c r="Q62" s="23" t="s">
        <v>40</v>
      </c>
      <c r="R62" s="23" t="s">
        <v>237</v>
      </c>
      <c r="S62" s="23" t="s">
        <v>1710</v>
      </c>
      <c r="T62" s="23" t="s">
        <v>40</v>
      </c>
    </row>
    <row r="63" spans="1:20" x14ac:dyDescent="0.25">
      <c r="A63" s="23" t="s">
        <v>9703</v>
      </c>
      <c r="B63" s="23" t="s">
        <v>236</v>
      </c>
      <c r="C63" s="23" t="s">
        <v>6700</v>
      </c>
      <c r="D63" s="23" t="s">
        <v>9704</v>
      </c>
      <c r="E63" s="23" t="s">
        <v>9402</v>
      </c>
      <c r="F63" s="23" t="s">
        <v>40</v>
      </c>
      <c r="G63" s="23" t="s">
        <v>9705</v>
      </c>
      <c r="H63" s="23" t="s">
        <v>9706</v>
      </c>
      <c r="I63" s="23" t="s">
        <v>9540</v>
      </c>
      <c r="J63" s="23" t="s">
        <v>525</v>
      </c>
      <c r="K63" s="24" t="s">
        <v>386</v>
      </c>
      <c r="L63" s="23" t="s">
        <v>13</v>
      </c>
      <c r="M63" s="25" t="s">
        <v>18</v>
      </c>
      <c r="N63" s="23" t="s">
        <v>40</v>
      </c>
      <c r="O63" s="23" t="s">
        <v>387</v>
      </c>
      <c r="P63" s="23" t="s">
        <v>40</v>
      </c>
      <c r="Q63" s="23" t="s">
        <v>40</v>
      </c>
      <c r="R63" s="23" t="s">
        <v>237</v>
      </c>
      <c r="S63" s="23" t="s">
        <v>1710</v>
      </c>
      <c r="T63" s="23" t="s">
        <v>40</v>
      </c>
    </row>
    <row r="64" spans="1:20" x14ac:dyDescent="0.25">
      <c r="A64" s="23" t="s">
        <v>9707</v>
      </c>
      <c r="B64" s="23" t="s">
        <v>238</v>
      </c>
      <c r="C64" s="23" t="s">
        <v>944</v>
      </c>
      <c r="D64" s="23" t="s">
        <v>9708</v>
      </c>
      <c r="E64" s="23" t="s">
        <v>3835</v>
      </c>
      <c r="F64" s="23" t="s">
        <v>9709</v>
      </c>
      <c r="G64" s="23" t="s">
        <v>9710</v>
      </c>
      <c r="H64" s="23" t="s">
        <v>9711</v>
      </c>
      <c r="I64" s="23" t="s">
        <v>9712</v>
      </c>
      <c r="J64" s="23" t="s">
        <v>385</v>
      </c>
      <c r="K64" s="24" t="s">
        <v>386</v>
      </c>
      <c r="L64" s="23" t="s">
        <v>13</v>
      </c>
      <c r="M64" s="31" t="s">
        <v>17</v>
      </c>
      <c r="N64" s="23" t="s">
        <v>9713</v>
      </c>
      <c r="O64" s="29" t="s">
        <v>87</v>
      </c>
      <c r="P64" s="23" t="s">
        <v>40</v>
      </c>
      <c r="Q64" s="23" t="s">
        <v>40</v>
      </c>
      <c r="R64" s="23" t="s">
        <v>239</v>
      </c>
      <c r="S64" s="23" t="s">
        <v>40</v>
      </c>
      <c r="T64" s="23" t="s">
        <v>40</v>
      </c>
    </row>
    <row r="65" spans="1:20" x14ac:dyDescent="0.25">
      <c r="A65" s="23" t="s">
        <v>9714</v>
      </c>
      <c r="B65" s="23" t="s">
        <v>238</v>
      </c>
      <c r="C65" s="23" t="s">
        <v>9715</v>
      </c>
      <c r="D65" s="23" t="s">
        <v>9716</v>
      </c>
      <c r="E65" s="23" t="s">
        <v>9717</v>
      </c>
      <c r="F65" s="23" t="s">
        <v>40</v>
      </c>
      <c r="G65" s="23" t="s">
        <v>9718</v>
      </c>
      <c r="H65" s="23" t="s">
        <v>9719</v>
      </c>
      <c r="I65" s="23" t="s">
        <v>9720</v>
      </c>
      <c r="J65" s="23" t="s">
        <v>14</v>
      </c>
      <c r="K65" s="26" t="s">
        <v>396</v>
      </c>
      <c r="L65" s="23" t="s">
        <v>13</v>
      </c>
      <c r="M65" s="25" t="s">
        <v>18</v>
      </c>
      <c r="N65" s="23" t="s">
        <v>40</v>
      </c>
      <c r="O65" s="23" t="s">
        <v>387</v>
      </c>
      <c r="P65" s="23" t="s">
        <v>40</v>
      </c>
      <c r="Q65" s="23" t="s">
        <v>40</v>
      </c>
      <c r="R65" s="23" t="s">
        <v>239</v>
      </c>
      <c r="S65" s="23" t="s">
        <v>1710</v>
      </c>
      <c r="T65" s="23" t="s">
        <v>9721</v>
      </c>
    </row>
    <row r="66" spans="1:20" x14ac:dyDescent="0.25">
      <c r="A66" s="23" t="s">
        <v>9722</v>
      </c>
      <c r="B66" s="23" t="s">
        <v>238</v>
      </c>
      <c r="C66" s="23" t="s">
        <v>9715</v>
      </c>
      <c r="D66" s="23" t="s">
        <v>9723</v>
      </c>
      <c r="E66" s="23" t="s">
        <v>9724</v>
      </c>
      <c r="F66" s="23" t="s">
        <v>40</v>
      </c>
      <c r="G66" s="23" t="s">
        <v>9725</v>
      </c>
      <c r="H66" s="23" t="s">
        <v>9726</v>
      </c>
      <c r="I66" s="23" t="s">
        <v>9727</v>
      </c>
      <c r="J66" s="23" t="s">
        <v>14</v>
      </c>
      <c r="K66" s="27" t="s">
        <v>404</v>
      </c>
      <c r="L66" s="23" t="s">
        <v>490</v>
      </c>
      <c r="M66" s="25" t="s">
        <v>18</v>
      </c>
      <c r="N66" s="23" t="s">
        <v>40</v>
      </c>
      <c r="O66" s="23" t="s">
        <v>387</v>
      </c>
      <c r="P66" s="23" t="s">
        <v>40</v>
      </c>
      <c r="Q66" s="23" t="s">
        <v>40</v>
      </c>
      <c r="R66" s="23" t="s">
        <v>239</v>
      </c>
      <c r="S66" s="23" t="s">
        <v>1710</v>
      </c>
      <c r="T66" s="23" t="s">
        <v>9728</v>
      </c>
    </row>
    <row r="67" spans="1:20" x14ac:dyDescent="0.25">
      <c r="A67" s="23" t="s">
        <v>9729</v>
      </c>
      <c r="B67" s="23" t="s">
        <v>238</v>
      </c>
      <c r="C67" s="23" t="s">
        <v>9715</v>
      </c>
      <c r="D67" s="23" t="s">
        <v>9730</v>
      </c>
      <c r="E67" s="23" t="s">
        <v>9731</v>
      </c>
      <c r="F67" s="23" t="s">
        <v>9732</v>
      </c>
      <c r="G67" s="23" t="s">
        <v>9733</v>
      </c>
      <c r="H67" s="23" t="s">
        <v>9734</v>
      </c>
      <c r="I67" s="23" t="s">
        <v>9735</v>
      </c>
      <c r="J67" s="23" t="s">
        <v>14</v>
      </c>
      <c r="K67" s="26" t="s">
        <v>396</v>
      </c>
      <c r="L67" s="23" t="s">
        <v>13</v>
      </c>
      <c r="M67" s="25" t="s">
        <v>18</v>
      </c>
      <c r="N67" s="23" t="s">
        <v>40</v>
      </c>
      <c r="O67" s="23" t="s">
        <v>387</v>
      </c>
      <c r="P67" s="23" t="s">
        <v>40</v>
      </c>
      <c r="Q67" s="23" t="s">
        <v>40</v>
      </c>
      <c r="R67" s="23" t="s">
        <v>239</v>
      </c>
      <c r="S67" s="23" t="s">
        <v>1710</v>
      </c>
      <c r="T67" s="23" t="s">
        <v>9736</v>
      </c>
    </row>
    <row r="68" spans="1:20" x14ac:dyDescent="0.25">
      <c r="A68" s="23" t="s">
        <v>9737</v>
      </c>
      <c r="B68" s="23" t="s">
        <v>238</v>
      </c>
      <c r="C68" s="23" t="s">
        <v>9715</v>
      </c>
      <c r="D68" s="23" t="s">
        <v>9738</v>
      </c>
      <c r="E68" s="23" t="s">
        <v>9739</v>
      </c>
      <c r="F68" s="23" t="s">
        <v>40</v>
      </c>
      <c r="G68" s="23" t="s">
        <v>9740</v>
      </c>
      <c r="H68" s="23" t="s">
        <v>9741</v>
      </c>
      <c r="I68" s="23" t="s">
        <v>9742</v>
      </c>
      <c r="J68" s="23" t="s">
        <v>14</v>
      </c>
      <c r="K68" s="26" t="s">
        <v>396</v>
      </c>
      <c r="L68" s="23" t="s">
        <v>13</v>
      </c>
      <c r="M68" s="25" t="s">
        <v>18</v>
      </c>
      <c r="N68" s="23" t="s">
        <v>40</v>
      </c>
      <c r="O68" s="23" t="s">
        <v>387</v>
      </c>
      <c r="P68" s="23" t="s">
        <v>40</v>
      </c>
      <c r="Q68" s="23" t="s">
        <v>40</v>
      </c>
      <c r="R68" s="23" t="s">
        <v>239</v>
      </c>
      <c r="S68" s="23" t="s">
        <v>1710</v>
      </c>
      <c r="T68" s="23" t="s">
        <v>9743</v>
      </c>
    </row>
    <row r="69" spans="1:20" x14ac:dyDescent="0.25">
      <c r="A69" s="23" t="s">
        <v>9744</v>
      </c>
      <c r="B69" s="23" t="s">
        <v>238</v>
      </c>
      <c r="C69" s="23" t="s">
        <v>466</v>
      </c>
      <c r="D69" s="23" t="s">
        <v>9745</v>
      </c>
      <c r="E69" s="23" t="s">
        <v>3835</v>
      </c>
      <c r="F69" s="23" t="s">
        <v>40</v>
      </c>
      <c r="G69" s="23" t="s">
        <v>9746</v>
      </c>
      <c r="H69" s="23" t="s">
        <v>9747</v>
      </c>
      <c r="I69" s="23" t="s">
        <v>9748</v>
      </c>
      <c r="J69" s="23" t="s">
        <v>466</v>
      </c>
      <c r="K69" s="24" t="s">
        <v>386</v>
      </c>
      <c r="L69" s="23" t="s">
        <v>13</v>
      </c>
      <c r="M69" s="25" t="s">
        <v>18</v>
      </c>
      <c r="N69" s="23" t="s">
        <v>40</v>
      </c>
      <c r="O69" s="23" t="s">
        <v>387</v>
      </c>
      <c r="P69" s="23" t="s">
        <v>40</v>
      </c>
      <c r="Q69" s="23" t="s">
        <v>40</v>
      </c>
      <c r="R69" s="23" t="s">
        <v>239</v>
      </c>
      <c r="S69" s="23" t="s">
        <v>1710</v>
      </c>
      <c r="T69" s="23" t="s">
        <v>9749</v>
      </c>
    </row>
    <row r="70" spans="1:20" x14ac:dyDescent="0.25">
      <c r="A70" s="23" t="s">
        <v>9750</v>
      </c>
      <c r="B70" s="23" t="s">
        <v>238</v>
      </c>
      <c r="C70" s="23" t="s">
        <v>466</v>
      </c>
      <c r="D70" s="23" t="s">
        <v>9751</v>
      </c>
      <c r="E70" s="23" t="s">
        <v>3835</v>
      </c>
      <c r="F70" s="23" t="s">
        <v>40</v>
      </c>
      <c r="G70" s="23" t="s">
        <v>9752</v>
      </c>
      <c r="H70" s="23" t="s">
        <v>9753</v>
      </c>
      <c r="I70" s="23" t="s">
        <v>9754</v>
      </c>
      <c r="J70" s="23" t="s">
        <v>489</v>
      </c>
      <c r="K70" s="27" t="s">
        <v>404</v>
      </c>
      <c r="L70" s="23" t="s">
        <v>405</v>
      </c>
      <c r="M70" s="25" t="s">
        <v>18</v>
      </c>
      <c r="N70" s="23" t="s">
        <v>40</v>
      </c>
      <c r="O70" s="23" t="s">
        <v>387</v>
      </c>
      <c r="P70" s="23" t="s">
        <v>40</v>
      </c>
      <c r="Q70" s="23" t="s">
        <v>40</v>
      </c>
      <c r="R70" s="23" t="s">
        <v>239</v>
      </c>
      <c r="S70" s="23" t="s">
        <v>1710</v>
      </c>
      <c r="T70" s="23" t="s">
        <v>9749</v>
      </c>
    </row>
    <row r="71" spans="1:20" x14ac:dyDescent="0.25">
      <c r="A71" s="23" t="s">
        <v>9755</v>
      </c>
      <c r="B71" s="23" t="s">
        <v>238</v>
      </c>
      <c r="C71" s="23" t="s">
        <v>466</v>
      </c>
      <c r="D71" s="23" t="s">
        <v>9756</v>
      </c>
      <c r="E71" s="23" t="s">
        <v>9757</v>
      </c>
      <c r="F71" s="23" t="s">
        <v>40</v>
      </c>
      <c r="G71" s="23" t="s">
        <v>9758</v>
      </c>
      <c r="H71" s="23" t="s">
        <v>9759</v>
      </c>
      <c r="I71" s="23" t="s">
        <v>9760</v>
      </c>
      <c r="J71" s="23" t="s">
        <v>15</v>
      </c>
      <c r="K71" s="27" t="s">
        <v>404</v>
      </c>
      <c r="L71" s="23" t="s">
        <v>405</v>
      </c>
      <c r="M71" s="25" t="s">
        <v>18</v>
      </c>
      <c r="N71" s="23" t="s">
        <v>40</v>
      </c>
      <c r="O71" s="23" t="s">
        <v>387</v>
      </c>
      <c r="P71" s="23" t="s">
        <v>40</v>
      </c>
      <c r="Q71" s="23" t="s">
        <v>40</v>
      </c>
      <c r="R71" s="23" t="s">
        <v>239</v>
      </c>
      <c r="S71" s="23" t="s">
        <v>1710</v>
      </c>
      <c r="T71" s="23" t="s">
        <v>9761</v>
      </c>
    </row>
    <row r="72" spans="1:20" x14ac:dyDescent="0.25">
      <c r="A72" s="23" t="s">
        <v>9762</v>
      </c>
      <c r="B72" s="23" t="s">
        <v>238</v>
      </c>
      <c r="C72" s="23" t="s">
        <v>466</v>
      </c>
      <c r="D72" s="23" t="s">
        <v>9763</v>
      </c>
      <c r="E72" s="23" t="s">
        <v>9764</v>
      </c>
      <c r="F72" s="23" t="s">
        <v>40</v>
      </c>
      <c r="G72" s="23" t="s">
        <v>9765</v>
      </c>
      <c r="H72" s="23" t="s">
        <v>9766</v>
      </c>
      <c r="I72" s="23" t="s">
        <v>9767</v>
      </c>
      <c r="J72" s="23" t="s">
        <v>14</v>
      </c>
      <c r="K72" s="24" t="s">
        <v>386</v>
      </c>
      <c r="L72" s="23" t="s">
        <v>405</v>
      </c>
      <c r="M72" s="25" t="s">
        <v>18</v>
      </c>
      <c r="N72" s="23" t="s">
        <v>40</v>
      </c>
      <c r="O72" s="23" t="s">
        <v>387</v>
      </c>
      <c r="P72" s="23" t="s">
        <v>40</v>
      </c>
      <c r="Q72" s="23" t="s">
        <v>40</v>
      </c>
      <c r="R72" s="23" t="s">
        <v>239</v>
      </c>
      <c r="S72" s="23" t="s">
        <v>1710</v>
      </c>
      <c r="T72" s="23" t="s">
        <v>9761</v>
      </c>
    </row>
    <row r="73" spans="1:20" x14ac:dyDescent="0.25">
      <c r="A73" s="23" t="s">
        <v>9768</v>
      </c>
      <c r="B73" s="23" t="s">
        <v>238</v>
      </c>
      <c r="C73" s="23" t="s">
        <v>466</v>
      </c>
      <c r="D73" s="23" t="s">
        <v>9769</v>
      </c>
      <c r="E73" s="23" t="s">
        <v>9770</v>
      </c>
      <c r="F73" s="23" t="s">
        <v>40</v>
      </c>
      <c r="G73" s="23" t="s">
        <v>9771</v>
      </c>
      <c r="H73" s="23" t="s">
        <v>9772</v>
      </c>
      <c r="I73" s="23" t="s">
        <v>9773</v>
      </c>
      <c r="J73" s="23" t="s">
        <v>15</v>
      </c>
      <c r="K73" s="24" t="s">
        <v>386</v>
      </c>
      <c r="L73" s="23" t="s">
        <v>13</v>
      </c>
      <c r="M73" s="25" t="s">
        <v>18</v>
      </c>
      <c r="N73" s="23" t="s">
        <v>40</v>
      </c>
      <c r="O73" s="23" t="s">
        <v>387</v>
      </c>
      <c r="P73" s="23" t="s">
        <v>40</v>
      </c>
      <c r="Q73" s="23" t="s">
        <v>40</v>
      </c>
      <c r="R73" s="23" t="s">
        <v>239</v>
      </c>
      <c r="S73" s="23" t="s">
        <v>1710</v>
      </c>
      <c r="T73" s="23" t="s">
        <v>9774</v>
      </c>
    </row>
    <row r="74" spans="1:20" x14ac:dyDescent="0.25">
      <c r="A74" s="23" t="s">
        <v>9775</v>
      </c>
      <c r="B74" s="23" t="s">
        <v>238</v>
      </c>
      <c r="C74" s="23" t="s">
        <v>8962</v>
      </c>
      <c r="D74" s="23" t="s">
        <v>9776</v>
      </c>
      <c r="E74" s="23" t="s">
        <v>9777</v>
      </c>
      <c r="F74" s="23" t="s">
        <v>40</v>
      </c>
      <c r="G74" s="23" t="s">
        <v>9778</v>
      </c>
      <c r="H74" s="23" t="s">
        <v>9779</v>
      </c>
      <c r="I74" s="23" t="s">
        <v>9780</v>
      </c>
      <c r="J74" s="23" t="s">
        <v>801</v>
      </c>
      <c r="K74" s="26" t="s">
        <v>396</v>
      </c>
      <c r="L74" s="23" t="s">
        <v>13</v>
      </c>
      <c r="M74" s="25" t="s">
        <v>18</v>
      </c>
      <c r="N74" s="23" t="s">
        <v>40</v>
      </c>
      <c r="O74" s="23" t="s">
        <v>387</v>
      </c>
      <c r="P74" s="23" t="s">
        <v>40</v>
      </c>
      <c r="Q74" s="23" t="s">
        <v>40</v>
      </c>
      <c r="R74" s="23" t="s">
        <v>239</v>
      </c>
      <c r="S74" s="23" t="s">
        <v>1710</v>
      </c>
      <c r="T74" s="23" t="s">
        <v>9781</v>
      </c>
    </row>
    <row r="75" spans="1:20" x14ac:dyDescent="0.25">
      <c r="A75" s="23" t="s">
        <v>9782</v>
      </c>
      <c r="B75" s="23" t="s">
        <v>238</v>
      </c>
      <c r="C75" s="23" t="s">
        <v>6856</v>
      </c>
      <c r="D75" s="23" t="s">
        <v>9783</v>
      </c>
      <c r="E75" s="23" t="s">
        <v>9784</v>
      </c>
      <c r="F75" s="23" t="s">
        <v>40</v>
      </c>
      <c r="G75" s="23" t="s">
        <v>9785</v>
      </c>
      <c r="H75" s="23" t="s">
        <v>9786</v>
      </c>
      <c r="I75" s="23" t="s">
        <v>9787</v>
      </c>
      <c r="J75" s="23" t="s">
        <v>14</v>
      </c>
      <c r="K75" s="24" t="s">
        <v>386</v>
      </c>
      <c r="L75" s="23" t="s">
        <v>405</v>
      </c>
      <c r="M75" s="25" t="s">
        <v>18</v>
      </c>
      <c r="N75" s="23" t="s">
        <v>40</v>
      </c>
      <c r="O75" s="23" t="s">
        <v>387</v>
      </c>
      <c r="P75" s="23" t="s">
        <v>40</v>
      </c>
      <c r="Q75" s="23" t="s">
        <v>40</v>
      </c>
      <c r="R75" s="23" t="s">
        <v>239</v>
      </c>
      <c r="S75" s="23" t="s">
        <v>1710</v>
      </c>
      <c r="T75" s="23" t="s">
        <v>9788</v>
      </c>
    </row>
    <row r="76" spans="1:20" x14ac:dyDescent="0.25">
      <c r="A76" s="23" t="s">
        <v>9789</v>
      </c>
      <c r="B76" s="23" t="s">
        <v>238</v>
      </c>
      <c r="C76" s="23" t="s">
        <v>9790</v>
      </c>
      <c r="D76" s="23" t="s">
        <v>9791</v>
      </c>
      <c r="E76" s="23" t="s">
        <v>9792</v>
      </c>
      <c r="F76" s="23" t="s">
        <v>9793</v>
      </c>
      <c r="G76" s="23" t="s">
        <v>9794</v>
      </c>
      <c r="H76" s="23" t="s">
        <v>9795</v>
      </c>
      <c r="I76" s="23" t="s">
        <v>9796</v>
      </c>
      <c r="J76" s="23" t="s">
        <v>801</v>
      </c>
      <c r="K76" s="26" t="s">
        <v>396</v>
      </c>
      <c r="L76" s="23" t="s">
        <v>13</v>
      </c>
      <c r="M76" s="25" t="s">
        <v>18</v>
      </c>
      <c r="N76" s="23" t="s">
        <v>40</v>
      </c>
      <c r="O76" s="23" t="s">
        <v>387</v>
      </c>
      <c r="P76" s="23" t="s">
        <v>40</v>
      </c>
      <c r="Q76" s="23" t="s">
        <v>40</v>
      </c>
      <c r="R76" s="23" t="s">
        <v>239</v>
      </c>
      <c r="S76" s="23" t="s">
        <v>9797</v>
      </c>
      <c r="T76" s="23" t="s">
        <v>9798</v>
      </c>
    </row>
    <row r="77" spans="1:20" x14ac:dyDescent="0.25">
      <c r="A77" s="23" t="s">
        <v>9799</v>
      </c>
      <c r="B77" s="23" t="s">
        <v>238</v>
      </c>
      <c r="C77" s="23" t="s">
        <v>9800</v>
      </c>
      <c r="D77" s="23" t="s">
        <v>9801</v>
      </c>
      <c r="E77" s="23" t="s">
        <v>9802</v>
      </c>
      <c r="F77" s="23" t="s">
        <v>40</v>
      </c>
      <c r="G77" s="23" t="s">
        <v>9803</v>
      </c>
      <c r="H77" s="23" t="s">
        <v>9804</v>
      </c>
      <c r="I77" s="23" t="s">
        <v>9805</v>
      </c>
      <c r="J77" s="23" t="s">
        <v>385</v>
      </c>
      <c r="K77" s="32" t="s">
        <v>747</v>
      </c>
      <c r="L77" s="23" t="s">
        <v>490</v>
      </c>
      <c r="M77" s="25" t="s">
        <v>18</v>
      </c>
      <c r="N77" s="23" t="s">
        <v>40</v>
      </c>
      <c r="O77" s="23" t="s">
        <v>387</v>
      </c>
      <c r="P77" s="23" t="s">
        <v>40</v>
      </c>
      <c r="Q77" s="23" t="s">
        <v>40</v>
      </c>
      <c r="R77" s="23" t="s">
        <v>239</v>
      </c>
      <c r="S77" s="23" t="s">
        <v>1710</v>
      </c>
      <c r="T77" s="23" t="s">
        <v>9806</v>
      </c>
    </row>
    <row r="78" spans="1:20" x14ac:dyDescent="0.25">
      <c r="A78" s="23" t="s">
        <v>9807</v>
      </c>
      <c r="B78" s="23" t="s">
        <v>238</v>
      </c>
      <c r="C78" s="23" t="s">
        <v>9808</v>
      </c>
      <c r="D78" s="23" t="s">
        <v>9809</v>
      </c>
      <c r="E78" s="23" t="s">
        <v>9810</v>
      </c>
      <c r="F78" s="23" t="s">
        <v>40</v>
      </c>
      <c r="G78" s="23" t="s">
        <v>9811</v>
      </c>
      <c r="H78" s="23" t="s">
        <v>9812</v>
      </c>
      <c r="I78" s="23" t="s">
        <v>9813</v>
      </c>
      <c r="J78" s="23" t="s">
        <v>385</v>
      </c>
      <c r="K78" s="32" t="s">
        <v>747</v>
      </c>
      <c r="L78" s="23" t="s">
        <v>490</v>
      </c>
      <c r="M78" s="25" t="s">
        <v>18</v>
      </c>
      <c r="N78" s="23" t="s">
        <v>40</v>
      </c>
      <c r="O78" s="23" t="s">
        <v>387</v>
      </c>
      <c r="P78" s="23" t="s">
        <v>40</v>
      </c>
      <c r="Q78" s="23" t="s">
        <v>40</v>
      </c>
      <c r="R78" s="23" t="s">
        <v>239</v>
      </c>
      <c r="S78" s="23" t="s">
        <v>1710</v>
      </c>
      <c r="T78" s="23" t="s">
        <v>9814</v>
      </c>
    </row>
    <row r="79" spans="1:20" x14ac:dyDescent="0.25">
      <c r="A79" s="23" t="s">
        <v>9815</v>
      </c>
      <c r="B79" s="23" t="s">
        <v>238</v>
      </c>
      <c r="C79" s="23" t="s">
        <v>6381</v>
      </c>
      <c r="D79" s="23" t="s">
        <v>9816</v>
      </c>
      <c r="E79" s="23" t="s">
        <v>9817</v>
      </c>
      <c r="F79" s="23" t="s">
        <v>40</v>
      </c>
      <c r="G79" s="23" t="s">
        <v>9818</v>
      </c>
      <c r="H79" s="23" t="s">
        <v>9819</v>
      </c>
      <c r="I79" s="23" t="s">
        <v>9820</v>
      </c>
      <c r="J79" s="23" t="s">
        <v>525</v>
      </c>
      <c r="K79" s="24" t="s">
        <v>386</v>
      </c>
      <c r="L79" s="23" t="s">
        <v>405</v>
      </c>
      <c r="M79" s="25" t="s">
        <v>18</v>
      </c>
      <c r="N79" s="23" t="s">
        <v>40</v>
      </c>
      <c r="O79" s="23" t="s">
        <v>387</v>
      </c>
      <c r="P79" s="23" t="s">
        <v>40</v>
      </c>
      <c r="Q79" s="23" t="s">
        <v>40</v>
      </c>
      <c r="R79" s="23" t="s">
        <v>239</v>
      </c>
      <c r="S79" s="23" t="s">
        <v>1710</v>
      </c>
      <c r="T79" s="23" t="s">
        <v>9821</v>
      </c>
    </row>
    <row r="80" spans="1:20" x14ac:dyDescent="0.25">
      <c r="A80" s="23" t="s">
        <v>9822</v>
      </c>
      <c r="B80" s="23" t="s">
        <v>238</v>
      </c>
      <c r="C80" s="23" t="s">
        <v>6700</v>
      </c>
      <c r="D80" s="23" t="s">
        <v>9823</v>
      </c>
      <c r="E80" s="23" t="s">
        <v>9824</v>
      </c>
      <c r="F80" s="23" t="s">
        <v>40</v>
      </c>
      <c r="G80" s="23" t="s">
        <v>9825</v>
      </c>
      <c r="H80" s="23" t="s">
        <v>9826</v>
      </c>
      <c r="I80" s="23" t="s">
        <v>9827</v>
      </c>
      <c r="J80" s="23" t="s">
        <v>525</v>
      </c>
      <c r="K80" s="24" t="s">
        <v>386</v>
      </c>
      <c r="L80" s="23" t="s">
        <v>405</v>
      </c>
      <c r="M80" s="25" t="s">
        <v>18</v>
      </c>
      <c r="N80" s="23" t="s">
        <v>40</v>
      </c>
      <c r="O80" s="23" t="s">
        <v>387</v>
      </c>
      <c r="P80" s="23" t="s">
        <v>40</v>
      </c>
      <c r="Q80" s="23" t="s">
        <v>40</v>
      </c>
      <c r="R80" s="23" t="s">
        <v>239</v>
      </c>
      <c r="S80" s="23" t="s">
        <v>1710</v>
      </c>
      <c r="T80" s="23" t="s">
        <v>40</v>
      </c>
    </row>
    <row r="81" spans="1:20" x14ac:dyDescent="0.25">
      <c r="A81" s="23" t="s">
        <v>9828</v>
      </c>
      <c r="B81" s="23" t="s">
        <v>240</v>
      </c>
      <c r="C81" s="23" t="s">
        <v>944</v>
      </c>
      <c r="D81" s="23" t="s">
        <v>9829</v>
      </c>
      <c r="E81" s="23" t="s">
        <v>3835</v>
      </c>
      <c r="F81" s="23" t="s">
        <v>9830</v>
      </c>
      <c r="G81" s="23" t="s">
        <v>9831</v>
      </c>
      <c r="H81" s="23" t="s">
        <v>9832</v>
      </c>
      <c r="I81" s="23" t="s">
        <v>9833</v>
      </c>
      <c r="J81" s="23" t="s">
        <v>385</v>
      </c>
      <c r="K81" s="24" t="s">
        <v>386</v>
      </c>
      <c r="L81" s="23" t="s">
        <v>13</v>
      </c>
      <c r="M81" s="31" t="s">
        <v>17</v>
      </c>
      <c r="N81" s="23" t="s">
        <v>9834</v>
      </c>
      <c r="O81" s="29" t="s">
        <v>87</v>
      </c>
      <c r="P81" s="23" t="s">
        <v>40</v>
      </c>
      <c r="Q81" s="23" t="s">
        <v>40</v>
      </c>
      <c r="R81" s="23" t="s">
        <v>241</v>
      </c>
      <c r="S81" s="23" t="s">
        <v>40</v>
      </c>
      <c r="T81" s="23" t="s">
        <v>40</v>
      </c>
    </row>
    <row r="82" spans="1:20" x14ac:dyDescent="0.25">
      <c r="A82" s="23" t="s">
        <v>9835</v>
      </c>
      <c r="B82" s="23" t="s">
        <v>240</v>
      </c>
      <c r="C82" s="23" t="s">
        <v>9836</v>
      </c>
      <c r="D82" s="23" t="s">
        <v>9837</v>
      </c>
      <c r="E82" s="23" t="s">
        <v>9693</v>
      </c>
      <c r="F82" s="23" t="s">
        <v>9838</v>
      </c>
      <c r="G82" s="23" t="s">
        <v>9839</v>
      </c>
      <c r="H82" s="23" t="s">
        <v>9840</v>
      </c>
      <c r="I82" s="23" t="s">
        <v>9841</v>
      </c>
      <c r="J82" s="23" t="s">
        <v>14</v>
      </c>
      <c r="K82" s="26" t="s">
        <v>396</v>
      </c>
      <c r="L82" s="23" t="s">
        <v>13</v>
      </c>
      <c r="M82" s="25" t="s">
        <v>18</v>
      </c>
      <c r="N82" s="23" t="s">
        <v>40</v>
      </c>
      <c r="O82" s="23" t="s">
        <v>387</v>
      </c>
      <c r="P82" s="23" t="s">
        <v>40</v>
      </c>
      <c r="Q82" s="23" t="s">
        <v>40</v>
      </c>
      <c r="R82" s="23" t="s">
        <v>241</v>
      </c>
      <c r="S82" s="23" t="s">
        <v>1710</v>
      </c>
      <c r="T82" s="23" t="s">
        <v>40</v>
      </c>
    </row>
    <row r="83" spans="1:20" x14ac:dyDescent="0.25">
      <c r="A83" s="23" t="s">
        <v>9842</v>
      </c>
      <c r="B83" s="23" t="s">
        <v>240</v>
      </c>
      <c r="C83" s="23" t="s">
        <v>466</v>
      </c>
      <c r="D83" s="23" t="s">
        <v>9843</v>
      </c>
      <c r="E83" s="23" t="s">
        <v>3835</v>
      </c>
      <c r="F83" s="23" t="s">
        <v>40</v>
      </c>
      <c r="G83" s="23" t="s">
        <v>9844</v>
      </c>
      <c r="H83" s="23" t="s">
        <v>9845</v>
      </c>
      <c r="I83" s="23" t="s">
        <v>9672</v>
      </c>
      <c r="J83" s="23" t="s">
        <v>466</v>
      </c>
      <c r="K83" s="27" t="s">
        <v>404</v>
      </c>
      <c r="L83" s="23" t="s">
        <v>405</v>
      </c>
      <c r="M83" s="25" t="s">
        <v>18</v>
      </c>
      <c r="N83" s="23" t="s">
        <v>40</v>
      </c>
      <c r="O83" s="23" t="s">
        <v>387</v>
      </c>
      <c r="P83" s="23" t="s">
        <v>40</v>
      </c>
      <c r="Q83" s="23" t="s">
        <v>40</v>
      </c>
      <c r="R83" s="23" t="s">
        <v>241</v>
      </c>
      <c r="S83" s="23" t="s">
        <v>1710</v>
      </c>
      <c r="T83" s="23" t="s">
        <v>40</v>
      </c>
    </row>
    <row r="84" spans="1:20" x14ac:dyDescent="0.25">
      <c r="A84" s="23" t="s">
        <v>9846</v>
      </c>
      <c r="B84" s="23" t="s">
        <v>240</v>
      </c>
      <c r="C84" s="23" t="s">
        <v>466</v>
      </c>
      <c r="D84" s="23" t="s">
        <v>9847</v>
      </c>
      <c r="E84" s="23" t="s">
        <v>3835</v>
      </c>
      <c r="F84" s="23" t="s">
        <v>40</v>
      </c>
      <c r="G84" s="23" t="s">
        <v>9848</v>
      </c>
      <c r="H84" s="23" t="s">
        <v>9849</v>
      </c>
      <c r="I84" s="23" t="s">
        <v>9850</v>
      </c>
      <c r="J84" s="23" t="s">
        <v>489</v>
      </c>
      <c r="K84" s="27" t="s">
        <v>404</v>
      </c>
      <c r="L84" s="23" t="s">
        <v>405</v>
      </c>
      <c r="M84" s="25" t="s">
        <v>18</v>
      </c>
      <c r="N84" s="23" t="s">
        <v>40</v>
      </c>
      <c r="O84" s="23" t="s">
        <v>387</v>
      </c>
      <c r="P84" s="23" t="s">
        <v>40</v>
      </c>
      <c r="Q84" s="23" t="s">
        <v>40</v>
      </c>
      <c r="R84" s="23" t="s">
        <v>241</v>
      </c>
      <c r="S84" s="23" t="s">
        <v>1710</v>
      </c>
      <c r="T84" s="23" t="s">
        <v>40</v>
      </c>
    </row>
    <row r="85" spans="1:20" x14ac:dyDescent="0.25">
      <c r="A85" s="23" t="s">
        <v>9851</v>
      </c>
      <c r="B85" s="23" t="s">
        <v>240</v>
      </c>
      <c r="C85" s="23" t="s">
        <v>466</v>
      </c>
      <c r="D85" s="23" t="s">
        <v>9852</v>
      </c>
      <c r="E85" s="23" t="s">
        <v>9853</v>
      </c>
      <c r="F85" s="23" t="s">
        <v>40</v>
      </c>
      <c r="G85" s="23" t="s">
        <v>9854</v>
      </c>
      <c r="H85" s="23" t="s">
        <v>9855</v>
      </c>
      <c r="I85" s="23" t="s">
        <v>9856</v>
      </c>
      <c r="J85" s="23" t="s">
        <v>15</v>
      </c>
      <c r="K85" s="27" t="s">
        <v>404</v>
      </c>
      <c r="L85" s="23" t="s">
        <v>405</v>
      </c>
      <c r="M85" s="25" t="s">
        <v>18</v>
      </c>
      <c r="N85" s="23" t="s">
        <v>40</v>
      </c>
      <c r="O85" s="23" t="s">
        <v>387</v>
      </c>
      <c r="P85" s="23" t="s">
        <v>40</v>
      </c>
      <c r="Q85" s="23" t="s">
        <v>40</v>
      </c>
      <c r="R85" s="23" t="s">
        <v>241</v>
      </c>
      <c r="S85" s="23" t="s">
        <v>1710</v>
      </c>
      <c r="T85" s="23" t="s">
        <v>40</v>
      </c>
    </row>
    <row r="86" spans="1:20" x14ac:dyDescent="0.25">
      <c r="A86" s="23" t="s">
        <v>9857</v>
      </c>
      <c r="B86" s="23" t="s">
        <v>240</v>
      </c>
      <c r="C86" s="23" t="s">
        <v>9161</v>
      </c>
      <c r="D86" s="23" t="s">
        <v>9858</v>
      </c>
      <c r="E86" s="23" t="s">
        <v>9859</v>
      </c>
      <c r="F86" s="23" t="s">
        <v>40</v>
      </c>
      <c r="G86" s="23" t="s">
        <v>9860</v>
      </c>
      <c r="H86" s="23" t="s">
        <v>9861</v>
      </c>
      <c r="I86" s="23" t="s">
        <v>9862</v>
      </c>
      <c r="J86" s="23" t="s">
        <v>801</v>
      </c>
      <c r="K86" s="24" t="s">
        <v>386</v>
      </c>
      <c r="L86" s="23" t="s">
        <v>405</v>
      </c>
      <c r="M86" s="25" t="s">
        <v>18</v>
      </c>
      <c r="N86" s="23" t="s">
        <v>40</v>
      </c>
      <c r="O86" s="23" t="s">
        <v>387</v>
      </c>
      <c r="P86" s="23" t="s">
        <v>40</v>
      </c>
      <c r="Q86" s="23" t="s">
        <v>40</v>
      </c>
      <c r="R86" s="23" t="s">
        <v>241</v>
      </c>
      <c r="S86" s="23" t="s">
        <v>1710</v>
      </c>
      <c r="T86" s="23" t="s">
        <v>40</v>
      </c>
    </row>
    <row r="87" spans="1:20" x14ac:dyDescent="0.25">
      <c r="A87" s="23" t="s">
        <v>9863</v>
      </c>
      <c r="B87" s="23" t="s">
        <v>240</v>
      </c>
      <c r="C87" s="23" t="s">
        <v>9864</v>
      </c>
      <c r="D87" s="23" t="s">
        <v>9865</v>
      </c>
      <c r="E87" s="23" t="s">
        <v>9866</v>
      </c>
      <c r="F87" s="23" t="s">
        <v>40</v>
      </c>
      <c r="G87" s="23" t="s">
        <v>9867</v>
      </c>
      <c r="H87" s="23" t="s">
        <v>9868</v>
      </c>
      <c r="I87" s="23" t="s">
        <v>9869</v>
      </c>
      <c r="J87" s="23" t="s">
        <v>801</v>
      </c>
      <c r="K87" s="26" t="s">
        <v>396</v>
      </c>
      <c r="L87" s="23" t="s">
        <v>13</v>
      </c>
      <c r="M87" s="25" t="s">
        <v>18</v>
      </c>
      <c r="N87" s="23" t="s">
        <v>40</v>
      </c>
      <c r="O87" s="23" t="s">
        <v>387</v>
      </c>
      <c r="P87" s="23" t="s">
        <v>40</v>
      </c>
      <c r="Q87" s="23" t="s">
        <v>40</v>
      </c>
      <c r="R87" s="23" t="s">
        <v>241</v>
      </c>
      <c r="S87" s="23" t="s">
        <v>1710</v>
      </c>
      <c r="T87" s="23" t="s">
        <v>40</v>
      </c>
    </row>
    <row r="88" spans="1:20" x14ac:dyDescent="0.25">
      <c r="A88" s="23" t="s">
        <v>9870</v>
      </c>
      <c r="B88" s="23" t="s">
        <v>240</v>
      </c>
      <c r="C88" s="23" t="s">
        <v>9864</v>
      </c>
      <c r="D88" s="23" t="s">
        <v>9871</v>
      </c>
      <c r="E88" s="23" t="s">
        <v>9872</v>
      </c>
      <c r="F88" s="23" t="s">
        <v>40</v>
      </c>
      <c r="G88" s="23" t="s">
        <v>9873</v>
      </c>
      <c r="H88" s="23" t="s">
        <v>9874</v>
      </c>
      <c r="I88" s="23" t="s">
        <v>9875</v>
      </c>
      <c r="J88" s="23" t="s">
        <v>801</v>
      </c>
      <c r="K88" s="26" t="s">
        <v>396</v>
      </c>
      <c r="L88" s="23" t="s">
        <v>13</v>
      </c>
      <c r="M88" s="25" t="s">
        <v>18</v>
      </c>
      <c r="N88" s="23" t="s">
        <v>40</v>
      </c>
      <c r="O88" s="23" t="s">
        <v>387</v>
      </c>
      <c r="P88" s="23" t="s">
        <v>40</v>
      </c>
      <c r="Q88" s="23" t="s">
        <v>40</v>
      </c>
      <c r="R88" s="23" t="s">
        <v>241</v>
      </c>
      <c r="S88" s="23" t="s">
        <v>1710</v>
      </c>
      <c r="T88" s="23" t="s">
        <v>40</v>
      </c>
    </row>
    <row r="89" spans="1:20" x14ac:dyDescent="0.25">
      <c r="A89" s="23" t="s">
        <v>9876</v>
      </c>
      <c r="B89" s="23" t="s">
        <v>240</v>
      </c>
      <c r="C89" s="23" t="s">
        <v>9877</v>
      </c>
      <c r="D89" s="23" t="s">
        <v>9878</v>
      </c>
      <c r="E89" s="23" t="s">
        <v>9879</v>
      </c>
      <c r="F89" s="23" t="s">
        <v>40</v>
      </c>
      <c r="G89" s="23" t="s">
        <v>9880</v>
      </c>
      <c r="H89" s="23" t="s">
        <v>9881</v>
      </c>
      <c r="I89" s="23" t="s">
        <v>9882</v>
      </c>
      <c r="J89" s="23" t="s">
        <v>14</v>
      </c>
      <c r="K89" s="27" t="s">
        <v>404</v>
      </c>
      <c r="L89" s="23" t="s">
        <v>490</v>
      </c>
      <c r="M89" s="25" t="s">
        <v>18</v>
      </c>
      <c r="N89" s="23" t="s">
        <v>40</v>
      </c>
      <c r="O89" s="23" t="s">
        <v>387</v>
      </c>
      <c r="P89" s="23" t="s">
        <v>40</v>
      </c>
      <c r="Q89" s="23" t="s">
        <v>40</v>
      </c>
      <c r="R89" s="23" t="s">
        <v>241</v>
      </c>
      <c r="S89" s="23" t="s">
        <v>1710</v>
      </c>
      <c r="T89" s="23" t="s">
        <v>40</v>
      </c>
    </row>
    <row r="90" spans="1:20" x14ac:dyDescent="0.25">
      <c r="A90" s="23" t="s">
        <v>9883</v>
      </c>
      <c r="B90" s="23" t="s">
        <v>240</v>
      </c>
      <c r="C90" s="23" t="s">
        <v>6700</v>
      </c>
      <c r="D90" s="23" t="s">
        <v>9884</v>
      </c>
      <c r="E90" s="23" t="s">
        <v>9402</v>
      </c>
      <c r="F90" s="23" t="s">
        <v>40</v>
      </c>
      <c r="G90" s="23" t="s">
        <v>9885</v>
      </c>
      <c r="H90" s="23" t="s">
        <v>9886</v>
      </c>
      <c r="I90" s="23" t="s">
        <v>9540</v>
      </c>
      <c r="J90" s="23" t="s">
        <v>525</v>
      </c>
      <c r="K90" s="24" t="s">
        <v>386</v>
      </c>
      <c r="L90" s="23" t="s">
        <v>13</v>
      </c>
      <c r="M90" s="25" t="s">
        <v>18</v>
      </c>
      <c r="N90" s="23" t="s">
        <v>40</v>
      </c>
      <c r="O90" s="23" t="s">
        <v>387</v>
      </c>
      <c r="P90" s="23" t="s">
        <v>40</v>
      </c>
      <c r="Q90" s="23" t="s">
        <v>40</v>
      </c>
      <c r="R90" s="23" t="s">
        <v>241</v>
      </c>
      <c r="S90" s="23" t="s">
        <v>1710</v>
      </c>
      <c r="T90" s="23" t="s">
        <v>40</v>
      </c>
    </row>
    <row r="91" spans="1:20" x14ac:dyDescent="0.25">
      <c r="A91" s="23" t="s">
        <v>9887</v>
      </c>
      <c r="B91" s="23" t="s">
        <v>242</v>
      </c>
      <c r="C91" s="23" t="s">
        <v>944</v>
      </c>
      <c r="D91" s="23" t="s">
        <v>9888</v>
      </c>
      <c r="E91" s="23" t="s">
        <v>3835</v>
      </c>
      <c r="F91" s="23" t="s">
        <v>9889</v>
      </c>
      <c r="G91" s="23" t="s">
        <v>9890</v>
      </c>
      <c r="H91" s="23" t="s">
        <v>9891</v>
      </c>
      <c r="I91" s="23" t="s">
        <v>9892</v>
      </c>
      <c r="J91" s="23" t="s">
        <v>385</v>
      </c>
      <c r="K91" s="24" t="s">
        <v>386</v>
      </c>
      <c r="L91" s="23" t="s">
        <v>13</v>
      </c>
      <c r="M91" s="31" t="s">
        <v>17</v>
      </c>
      <c r="N91" s="23" t="s">
        <v>9893</v>
      </c>
      <c r="O91" s="29" t="s">
        <v>87</v>
      </c>
      <c r="P91" s="23" t="s">
        <v>40</v>
      </c>
      <c r="Q91" s="23" t="s">
        <v>40</v>
      </c>
      <c r="R91" s="23" t="s">
        <v>243</v>
      </c>
      <c r="S91" s="23" t="s">
        <v>40</v>
      </c>
      <c r="T91" s="23" t="s">
        <v>40</v>
      </c>
    </row>
    <row r="92" spans="1:20" x14ac:dyDescent="0.25">
      <c r="A92" s="23" t="s">
        <v>9894</v>
      </c>
      <c r="B92" s="23" t="s">
        <v>242</v>
      </c>
      <c r="C92" s="23" t="s">
        <v>2327</v>
      </c>
      <c r="D92" s="23" t="s">
        <v>9895</v>
      </c>
      <c r="E92" s="23" t="s">
        <v>9693</v>
      </c>
      <c r="F92" s="23" t="s">
        <v>9896</v>
      </c>
      <c r="G92" s="23" t="s">
        <v>9897</v>
      </c>
      <c r="H92" s="23" t="s">
        <v>9898</v>
      </c>
      <c r="I92" s="23" t="s">
        <v>9899</v>
      </c>
      <c r="J92" s="23" t="s">
        <v>14</v>
      </c>
      <c r="K92" s="26" t="s">
        <v>396</v>
      </c>
      <c r="L92" s="23" t="s">
        <v>13</v>
      </c>
      <c r="M92" s="25" t="s">
        <v>18</v>
      </c>
      <c r="N92" s="23" t="s">
        <v>40</v>
      </c>
      <c r="O92" s="23" t="s">
        <v>387</v>
      </c>
      <c r="P92" s="23" t="s">
        <v>40</v>
      </c>
      <c r="Q92" s="23" t="s">
        <v>40</v>
      </c>
      <c r="R92" s="23" t="s">
        <v>243</v>
      </c>
      <c r="S92" s="23" t="s">
        <v>1710</v>
      </c>
      <c r="T92" s="23" t="s">
        <v>40</v>
      </c>
    </row>
    <row r="93" spans="1:20" x14ac:dyDescent="0.25">
      <c r="A93" s="23" t="s">
        <v>9900</v>
      </c>
      <c r="B93" s="23" t="s">
        <v>242</v>
      </c>
      <c r="C93" s="23" t="s">
        <v>2327</v>
      </c>
      <c r="D93" s="23" t="s">
        <v>9901</v>
      </c>
      <c r="E93" s="23" t="s">
        <v>3835</v>
      </c>
      <c r="F93" s="23" t="s">
        <v>9902</v>
      </c>
      <c r="G93" s="23" t="s">
        <v>9903</v>
      </c>
      <c r="H93" s="23" t="s">
        <v>9904</v>
      </c>
      <c r="I93" s="23" t="s">
        <v>9905</v>
      </c>
      <c r="J93" s="23" t="s">
        <v>14</v>
      </c>
      <c r="K93" s="24" t="s">
        <v>386</v>
      </c>
      <c r="L93" s="23" t="s">
        <v>405</v>
      </c>
      <c r="M93" s="25" t="s">
        <v>18</v>
      </c>
      <c r="N93" s="23" t="s">
        <v>40</v>
      </c>
      <c r="O93" s="23" t="s">
        <v>387</v>
      </c>
      <c r="P93" s="23" t="s">
        <v>40</v>
      </c>
      <c r="Q93" s="23" t="s">
        <v>40</v>
      </c>
      <c r="R93" s="23" t="s">
        <v>243</v>
      </c>
      <c r="S93" s="23" t="s">
        <v>1710</v>
      </c>
      <c r="T93" s="23" t="s">
        <v>40</v>
      </c>
    </row>
    <row r="94" spans="1:20" x14ac:dyDescent="0.25">
      <c r="A94" s="23" t="s">
        <v>9906</v>
      </c>
      <c r="B94" s="23" t="s">
        <v>242</v>
      </c>
      <c r="C94" s="23" t="s">
        <v>466</v>
      </c>
      <c r="D94" s="23" t="s">
        <v>9907</v>
      </c>
      <c r="E94" s="23" t="s">
        <v>3835</v>
      </c>
      <c r="F94" s="23" t="s">
        <v>40</v>
      </c>
      <c r="G94" s="23" t="s">
        <v>9908</v>
      </c>
      <c r="H94" s="23" t="s">
        <v>9909</v>
      </c>
      <c r="I94" s="23" t="s">
        <v>9910</v>
      </c>
      <c r="J94" s="23" t="s">
        <v>466</v>
      </c>
      <c r="K94" s="27" t="s">
        <v>404</v>
      </c>
      <c r="L94" s="23" t="s">
        <v>405</v>
      </c>
      <c r="M94" s="25" t="s">
        <v>18</v>
      </c>
      <c r="N94" s="23" t="s">
        <v>40</v>
      </c>
      <c r="O94" s="23" t="s">
        <v>387</v>
      </c>
      <c r="P94" s="23" t="s">
        <v>40</v>
      </c>
      <c r="Q94" s="23" t="s">
        <v>40</v>
      </c>
      <c r="R94" s="23" t="s">
        <v>243</v>
      </c>
      <c r="S94" s="23" t="s">
        <v>1710</v>
      </c>
      <c r="T94" s="23" t="s">
        <v>40</v>
      </c>
    </row>
    <row r="95" spans="1:20" x14ac:dyDescent="0.25">
      <c r="A95" s="23" t="s">
        <v>9911</v>
      </c>
      <c r="B95" s="23" t="s">
        <v>242</v>
      </c>
      <c r="C95" s="23" t="s">
        <v>466</v>
      </c>
      <c r="D95" s="23" t="s">
        <v>9912</v>
      </c>
      <c r="E95" s="23" t="s">
        <v>3835</v>
      </c>
      <c r="F95" s="23" t="s">
        <v>40</v>
      </c>
      <c r="G95" s="23" t="s">
        <v>9913</v>
      </c>
      <c r="H95" s="23" t="s">
        <v>9914</v>
      </c>
      <c r="I95" s="23" t="s">
        <v>3984</v>
      </c>
      <c r="J95" s="23" t="s">
        <v>489</v>
      </c>
      <c r="K95" s="27" t="s">
        <v>404</v>
      </c>
      <c r="L95" s="23" t="s">
        <v>405</v>
      </c>
      <c r="M95" s="25" t="s">
        <v>18</v>
      </c>
      <c r="N95" s="23" t="s">
        <v>40</v>
      </c>
      <c r="O95" s="23" t="s">
        <v>387</v>
      </c>
      <c r="P95" s="23" t="s">
        <v>40</v>
      </c>
      <c r="Q95" s="23" t="s">
        <v>40</v>
      </c>
      <c r="R95" s="23" t="s">
        <v>243</v>
      </c>
      <c r="S95" s="23" t="s">
        <v>1710</v>
      </c>
      <c r="T95" s="23" t="s">
        <v>40</v>
      </c>
    </row>
    <row r="96" spans="1:20" x14ac:dyDescent="0.25">
      <c r="A96" s="23" t="s">
        <v>9915</v>
      </c>
      <c r="B96" s="23" t="s">
        <v>242</v>
      </c>
      <c r="C96" s="23" t="s">
        <v>466</v>
      </c>
      <c r="D96" s="23" t="s">
        <v>9916</v>
      </c>
      <c r="E96" s="23" t="s">
        <v>9917</v>
      </c>
      <c r="F96" s="23" t="s">
        <v>40</v>
      </c>
      <c r="G96" s="23" t="s">
        <v>9918</v>
      </c>
      <c r="H96" s="23" t="s">
        <v>9919</v>
      </c>
      <c r="I96" s="23" t="s">
        <v>9920</v>
      </c>
      <c r="J96" s="23" t="s">
        <v>15</v>
      </c>
      <c r="K96" s="27" t="s">
        <v>404</v>
      </c>
      <c r="L96" s="23" t="s">
        <v>405</v>
      </c>
      <c r="M96" s="25" t="s">
        <v>18</v>
      </c>
      <c r="N96" s="23" t="s">
        <v>40</v>
      </c>
      <c r="O96" s="23" t="s">
        <v>387</v>
      </c>
      <c r="P96" s="23" t="s">
        <v>40</v>
      </c>
      <c r="Q96" s="23" t="s">
        <v>40</v>
      </c>
      <c r="R96" s="23" t="s">
        <v>243</v>
      </c>
      <c r="S96" s="23" t="s">
        <v>1710</v>
      </c>
      <c r="T96" s="23" t="s">
        <v>40</v>
      </c>
    </row>
    <row r="97" spans="1:20" x14ac:dyDescent="0.25">
      <c r="A97" s="23" t="s">
        <v>9921</v>
      </c>
      <c r="B97" s="23" t="s">
        <v>242</v>
      </c>
      <c r="C97" s="23" t="s">
        <v>9161</v>
      </c>
      <c r="D97" s="23" t="s">
        <v>9922</v>
      </c>
      <c r="E97" s="23" t="s">
        <v>9923</v>
      </c>
      <c r="F97" s="23" t="s">
        <v>40</v>
      </c>
      <c r="G97" s="23" t="s">
        <v>9924</v>
      </c>
      <c r="H97" s="23" t="s">
        <v>9925</v>
      </c>
      <c r="I97" s="23" t="s">
        <v>9926</v>
      </c>
      <c r="J97" s="23" t="s">
        <v>801</v>
      </c>
      <c r="K97" s="24" t="s">
        <v>386</v>
      </c>
      <c r="L97" s="23" t="s">
        <v>405</v>
      </c>
      <c r="M97" s="25" t="s">
        <v>18</v>
      </c>
      <c r="N97" s="23" t="s">
        <v>40</v>
      </c>
      <c r="O97" s="23" t="s">
        <v>387</v>
      </c>
      <c r="P97" s="23" t="s">
        <v>40</v>
      </c>
      <c r="Q97" s="23" t="s">
        <v>40</v>
      </c>
      <c r="R97" s="23" t="s">
        <v>243</v>
      </c>
      <c r="S97" s="23" t="s">
        <v>1710</v>
      </c>
      <c r="T97" s="23" t="s">
        <v>40</v>
      </c>
    </row>
    <row r="98" spans="1:20" x14ac:dyDescent="0.25">
      <c r="A98" s="23" t="s">
        <v>9927</v>
      </c>
      <c r="B98" s="23" t="s">
        <v>242</v>
      </c>
      <c r="C98" s="23" t="s">
        <v>350</v>
      </c>
      <c r="D98" s="23" t="s">
        <v>9928</v>
      </c>
      <c r="E98" s="23" t="s">
        <v>9929</v>
      </c>
      <c r="F98" s="23" t="s">
        <v>40</v>
      </c>
      <c r="G98" s="23" t="s">
        <v>9930</v>
      </c>
      <c r="H98" s="23" t="s">
        <v>9931</v>
      </c>
      <c r="I98" s="23" t="s">
        <v>9932</v>
      </c>
      <c r="J98" s="23" t="s">
        <v>801</v>
      </c>
      <c r="K98" s="24" t="s">
        <v>386</v>
      </c>
      <c r="L98" s="23" t="s">
        <v>405</v>
      </c>
      <c r="M98" s="25" t="s">
        <v>18</v>
      </c>
      <c r="N98" s="23" t="s">
        <v>40</v>
      </c>
      <c r="O98" s="23" t="s">
        <v>387</v>
      </c>
      <c r="P98" s="23" t="s">
        <v>40</v>
      </c>
      <c r="Q98" s="23" t="s">
        <v>40</v>
      </c>
      <c r="R98" s="23" t="s">
        <v>243</v>
      </c>
      <c r="S98" s="23" t="s">
        <v>1710</v>
      </c>
      <c r="T98" s="23" t="s">
        <v>40</v>
      </c>
    </row>
    <row r="99" spans="1:20" x14ac:dyDescent="0.25">
      <c r="A99" s="23" t="s">
        <v>9933</v>
      </c>
      <c r="B99" s="23" t="s">
        <v>242</v>
      </c>
      <c r="C99" s="23" t="s">
        <v>9877</v>
      </c>
      <c r="D99" s="23" t="s">
        <v>9934</v>
      </c>
      <c r="E99" s="23" t="s">
        <v>9935</v>
      </c>
      <c r="F99" s="23" t="s">
        <v>40</v>
      </c>
      <c r="G99" s="23" t="s">
        <v>9936</v>
      </c>
      <c r="H99" s="23" t="s">
        <v>9937</v>
      </c>
      <c r="I99" s="23" t="s">
        <v>9938</v>
      </c>
      <c r="J99" s="23" t="s">
        <v>14</v>
      </c>
      <c r="K99" s="27" t="s">
        <v>404</v>
      </c>
      <c r="L99" s="23" t="s">
        <v>490</v>
      </c>
      <c r="M99" s="25" t="s">
        <v>18</v>
      </c>
      <c r="N99" s="23" t="s">
        <v>40</v>
      </c>
      <c r="O99" s="23" t="s">
        <v>387</v>
      </c>
      <c r="P99" s="23" t="s">
        <v>40</v>
      </c>
      <c r="Q99" s="23" t="s">
        <v>40</v>
      </c>
      <c r="R99" s="23" t="s">
        <v>243</v>
      </c>
      <c r="S99" s="23" t="s">
        <v>1710</v>
      </c>
      <c r="T99" s="23" t="s">
        <v>40</v>
      </c>
    </row>
    <row r="100" spans="1:20" x14ac:dyDescent="0.25">
      <c r="A100" s="23" t="s">
        <v>9939</v>
      </c>
      <c r="B100" s="23" t="s">
        <v>244</v>
      </c>
      <c r="C100" s="23" t="s">
        <v>944</v>
      </c>
      <c r="D100" s="23" t="s">
        <v>9940</v>
      </c>
      <c r="E100" s="23" t="s">
        <v>3835</v>
      </c>
      <c r="F100" s="23" t="s">
        <v>9941</v>
      </c>
      <c r="G100" s="23" t="s">
        <v>9942</v>
      </c>
      <c r="H100" s="23" t="s">
        <v>9943</v>
      </c>
      <c r="I100" s="23" t="s">
        <v>9944</v>
      </c>
      <c r="J100" s="23" t="s">
        <v>385</v>
      </c>
      <c r="K100" s="24" t="s">
        <v>386</v>
      </c>
      <c r="L100" s="23" t="s">
        <v>13</v>
      </c>
      <c r="M100" s="31" t="s">
        <v>17</v>
      </c>
      <c r="N100" s="23" t="s">
        <v>9945</v>
      </c>
      <c r="O100" s="29" t="s">
        <v>87</v>
      </c>
      <c r="P100" s="23" t="s">
        <v>40</v>
      </c>
      <c r="Q100" s="23" t="s">
        <v>40</v>
      </c>
      <c r="R100" s="23" t="s">
        <v>245</v>
      </c>
      <c r="S100" s="23" t="s">
        <v>40</v>
      </c>
      <c r="T100" s="23" t="s">
        <v>40</v>
      </c>
    </row>
    <row r="101" spans="1:20" x14ac:dyDescent="0.25">
      <c r="A101" s="23" t="s">
        <v>9946</v>
      </c>
      <c r="B101" s="23" t="s">
        <v>244</v>
      </c>
      <c r="C101" s="23" t="s">
        <v>2327</v>
      </c>
      <c r="D101" s="23" t="s">
        <v>9947</v>
      </c>
      <c r="E101" s="23" t="s">
        <v>9948</v>
      </c>
      <c r="F101" s="23" t="s">
        <v>9949</v>
      </c>
      <c r="G101" s="23" t="s">
        <v>9950</v>
      </c>
      <c r="H101" s="23" t="s">
        <v>9951</v>
      </c>
      <c r="I101" s="23" t="s">
        <v>9952</v>
      </c>
      <c r="J101" s="23" t="s">
        <v>14</v>
      </c>
      <c r="K101" s="26" t="s">
        <v>396</v>
      </c>
      <c r="L101" s="23" t="s">
        <v>13</v>
      </c>
      <c r="M101" s="25" t="s">
        <v>18</v>
      </c>
      <c r="N101" s="23" t="s">
        <v>40</v>
      </c>
      <c r="O101" s="23" t="s">
        <v>387</v>
      </c>
      <c r="P101" s="23" t="s">
        <v>40</v>
      </c>
      <c r="Q101" s="23" t="s">
        <v>40</v>
      </c>
      <c r="R101" s="23" t="s">
        <v>245</v>
      </c>
      <c r="S101" s="23" t="s">
        <v>1710</v>
      </c>
      <c r="T101" s="23" t="s">
        <v>40</v>
      </c>
    </row>
    <row r="102" spans="1:20" x14ac:dyDescent="0.25">
      <c r="A102" s="23" t="s">
        <v>9953</v>
      </c>
      <c r="B102" s="23" t="s">
        <v>244</v>
      </c>
      <c r="C102" s="23" t="s">
        <v>466</v>
      </c>
      <c r="D102" s="23" t="s">
        <v>9954</v>
      </c>
      <c r="E102" s="23" t="s">
        <v>3835</v>
      </c>
      <c r="F102" s="23" t="s">
        <v>40</v>
      </c>
      <c r="G102" s="23" t="s">
        <v>9955</v>
      </c>
      <c r="H102" s="23" t="s">
        <v>9956</v>
      </c>
      <c r="I102" s="23" t="s">
        <v>3984</v>
      </c>
      <c r="J102" s="23" t="s">
        <v>489</v>
      </c>
      <c r="K102" s="27" t="s">
        <v>404</v>
      </c>
      <c r="L102" s="23" t="s">
        <v>405</v>
      </c>
      <c r="M102" s="25" t="s">
        <v>18</v>
      </c>
      <c r="N102" s="23" t="s">
        <v>40</v>
      </c>
      <c r="O102" s="23" t="s">
        <v>387</v>
      </c>
      <c r="P102" s="23" t="s">
        <v>40</v>
      </c>
      <c r="Q102" s="23" t="s">
        <v>40</v>
      </c>
      <c r="R102" s="23" t="s">
        <v>245</v>
      </c>
      <c r="S102" s="23" t="s">
        <v>1710</v>
      </c>
      <c r="T102" s="23" t="s">
        <v>40</v>
      </c>
    </row>
    <row r="103" spans="1:20" x14ac:dyDescent="0.25">
      <c r="A103" s="23" t="s">
        <v>9957</v>
      </c>
      <c r="B103" s="23" t="s">
        <v>244</v>
      </c>
      <c r="C103" s="23" t="s">
        <v>466</v>
      </c>
      <c r="D103" s="23" t="s">
        <v>9958</v>
      </c>
      <c r="E103" s="23" t="s">
        <v>9959</v>
      </c>
      <c r="F103" s="23" t="s">
        <v>40</v>
      </c>
      <c r="G103" s="23" t="s">
        <v>9960</v>
      </c>
      <c r="H103" s="23" t="s">
        <v>9961</v>
      </c>
      <c r="I103" s="23" t="s">
        <v>9962</v>
      </c>
      <c r="J103" s="23" t="s">
        <v>15</v>
      </c>
      <c r="K103" s="27" t="s">
        <v>404</v>
      </c>
      <c r="L103" s="23" t="s">
        <v>405</v>
      </c>
      <c r="M103" s="25" t="s">
        <v>18</v>
      </c>
      <c r="N103" s="23" t="s">
        <v>40</v>
      </c>
      <c r="O103" s="23" t="s">
        <v>387</v>
      </c>
      <c r="P103" s="23" t="s">
        <v>40</v>
      </c>
      <c r="Q103" s="23" t="s">
        <v>40</v>
      </c>
      <c r="R103" s="23" t="s">
        <v>245</v>
      </c>
      <c r="S103" s="23" t="s">
        <v>1710</v>
      </c>
      <c r="T103" s="23" t="s">
        <v>40</v>
      </c>
    </row>
    <row r="104" spans="1:20" x14ac:dyDescent="0.25">
      <c r="A104" s="23" t="s">
        <v>9963</v>
      </c>
      <c r="B104" s="23" t="s">
        <v>244</v>
      </c>
      <c r="C104" s="23" t="s">
        <v>801</v>
      </c>
      <c r="D104" s="23" t="s">
        <v>9964</v>
      </c>
      <c r="E104" s="23" t="s">
        <v>9965</v>
      </c>
      <c r="F104" s="23" t="s">
        <v>40</v>
      </c>
      <c r="G104" s="23" t="s">
        <v>9966</v>
      </c>
      <c r="H104" s="23" t="s">
        <v>9967</v>
      </c>
      <c r="I104" s="23" t="s">
        <v>9968</v>
      </c>
      <c r="J104" s="23" t="s">
        <v>801</v>
      </c>
      <c r="K104" s="26" t="s">
        <v>396</v>
      </c>
      <c r="L104" s="23" t="s">
        <v>13</v>
      </c>
      <c r="M104" s="25" t="s">
        <v>18</v>
      </c>
      <c r="N104" s="23" t="s">
        <v>40</v>
      </c>
      <c r="O104" s="23" t="s">
        <v>387</v>
      </c>
      <c r="P104" s="23" t="s">
        <v>40</v>
      </c>
      <c r="Q104" s="23" t="s">
        <v>40</v>
      </c>
      <c r="R104" s="23" t="s">
        <v>245</v>
      </c>
      <c r="S104" s="23" t="s">
        <v>1710</v>
      </c>
      <c r="T104" s="23" t="s">
        <v>40</v>
      </c>
    </row>
    <row r="105" spans="1:20" x14ac:dyDescent="0.25">
      <c r="A105" s="23" t="s">
        <v>9969</v>
      </c>
      <c r="B105" s="23" t="s">
        <v>244</v>
      </c>
      <c r="C105" s="23" t="s">
        <v>9877</v>
      </c>
      <c r="D105" s="23" t="s">
        <v>9970</v>
      </c>
      <c r="E105" s="23" t="s">
        <v>9971</v>
      </c>
      <c r="F105" s="23" t="s">
        <v>40</v>
      </c>
      <c r="G105" s="23" t="s">
        <v>9972</v>
      </c>
      <c r="H105" s="23" t="s">
        <v>9973</v>
      </c>
      <c r="I105" s="23" t="s">
        <v>9974</v>
      </c>
      <c r="J105" s="23" t="s">
        <v>15</v>
      </c>
      <c r="K105" s="27" t="s">
        <v>404</v>
      </c>
      <c r="L105" s="23" t="s">
        <v>405</v>
      </c>
      <c r="M105" s="25" t="s">
        <v>18</v>
      </c>
      <c r="N105" s="23" t="s">
        <v>40</v>
      </c>
      <c r="O105" s="23" t="s">
        <v>387</v>
      </c>
      <c r="P105" s="23" t="s">
        <v>40</v>
      </c>
      <c r="Q105" s="23" t="s">
        <v>40</v>
      </c>
      <c r="R105" s="23" t="s">
        <v>245</v>
      </c>
      <c r="S105" s="23" t="s">
        <v>1710</v>
      </c>
      <c r="T105" s="23" t="s">
        <v>40</v>
      </c>
    </row>
    <row r="106" spans="1:20" x14ac:dyDescent="0.25">
      <c r="A106" s="23" t="s">
        <v>9975</v>
      </c>
      <c r="B106" s="23" t="s">
        <v>244</v>
      </c>
      <c r="C106" s="23" t="s">
        <v>1984</v>
      </c>
      <c r="D106" s="23" t="s">
        <v>9976</v>
      </c>
      <c r="E106" s="23" t="s">
        <v>9977</v>
      </c>
      <c r="F106" s="23" t="s">
        <v>40</v>
      </c>
      <c r="G106" s="23" t="s">
        <v>9978</v>
      </c>
      <c r="H106" s="23" t="s">
        <v>9979</v>
      </c>
      <c r="I106" s="23" t="s">
        <v>9980</v>
      </c>
      <c r="J106" s="23" t="s">
        <v>14</v>
      </c>
      <c r="K106" s="27" t="s">
        <v>404</v>
      </c>
      <c r="L106" s="23" t="s">
        <v>490</v>
      </c>
      <c r="M106" s="25" t="s">
        <v>18</v>
      </c>
      <c r="N106" s="23" t="s">
        <v>40</v>
      </c>
      <c r="O106" s="23" t="s">
        <v>387</v>
      </c>
      <c r="P106" s="23" t="s">
        <v>40</v>
      </c>
      <c r="Q106" s="23" t="s">
        <v>40</v>
      </c>
      <c r="R106" s="23" t="s">
        <v>245</v>
      </c>
      <c r="S106" s="23" t="s">
        <v>1710</v>
      </c>
      <c r="T106" s="23" t="s">
        <v>40</v>
      </c>
    </row>
    <row r="107" spans="1:20" x14ac:dyDescent="0.25">
      <c r="A107" s="23" t="s">
        <v>9981</v>
      </c>
      <c r="B107" s="23" t="s">
        <v>246</v>
      </c>
      <c r="C107" s="23" t="s">
        <v>944</v>
      </c>
      <c r="D107" s="23" t="s">
        <v>9982</v>
      </c>
      <c r="E107" s="23" t="s">
        <v>3835</v>
      </c>
      <c r="F107" s="23" t="s">
        <v>9983</v>
      </c>
      <c r="G107" s="23" t="s">
        <v>9984</v>
      </c>
      <c r="H107" s="23" t="s">
        <v>9985</v>
      </c>
      <c r="I107" s="23" t="s">
        <v>9986</v>
      </c>
      <c r="J107" s="23" t="s">
        <v>385</v>
      </c>
      <c r="K107" s="24" t="s">
        <v>386</v>
      </c>
      <c r="L107" s="23" t="s">
        <v>13</v>
      </c>
      <c r="M107" s="31" t="s">
        <v>17</v>
      </c>
      <c r="N107" s="23" t="s">
        <v>9987</v>
      </c>
      <c r="O107" s="29" t="s">
        <v>87</v>
      </c>
      <c r="P107" s="23" t="s">
        <v>40</v>
      </c>
      <c r="Q107" s="23" t="s">
        <v>40</v>
      </c>
      <c r="R107" s="23" t="s">
        <v>247</v>
      </c>
      <c r="S107" s="23" t="s">
        <v>40</v>
      </c>
      <c r="T107" s="23" t="s">
        <v>40</v>
      </c>
    </row>
    <row r="108" spans="1:20" x14ac:dyDescent="0.25">
      <c r="A108" s="23" t="s">
        <v>9988</v>
      </c>
      <c r="B108" s="23" t="s">
        <v>246</v>
      </c>
      <c r="C108" s="23" t="s">
        <v>2327</v>
      </c>
      <c r="D108" s="23" t="s">
        <v>9989</v>
      </c>
      <c r="E108" s="23" t="s">
        <v>9990</v>
      </c>
      <c r="F108" s="23" t="s">
        <v>9991</v>
      </c>
      <c r="G108" s="23" t="s">
        <v>9992</v>
      </c>
      <c r="H108" s="23" t="s">
        <v>9993</v>
      </c>
      <c r="I108" s="23" t="s">
        <v>9994</v>
      </c>
      <c r="J108" s="23" t="s">
        <v>14</v>
      </c>
      <c r="K108" s="26" t="s">
        <v>396</v>
      </c>
      <c r="L108" s="23" t="s">
        <v>13</v>
      </c>
      <c r="M108" s="25" t="s">
        <v>18</v>
      </c>
      <c r="N108" s="23" t="s">
        <v>40</v>
      </c>
      <c r="O108" s="23" t="s">
        <v>387</v>
      </c>
      <c r="P108" s="23" t="s">
        <v>40</v>
      </c>
      <c r="Q108" s="23" t="s">
        <v>40</v>
      </c>
      <c r="R108" s="23" t="s">
        <v>247</v>
      </c>
      <c r="S108" s="23" t="s">
        <v>1710</v>
      </c>
      <c r="T108" s="23" t="s">
        <v>40</v>
      </c>
    </row>
    <row r="109" spans="1:20" x14ac:dyDescent="0.25">
      <c r="A109" s="23" t="s">
        <v>9995</v>
      </c>
      <c r="B109" s="23" t="s">
        <v>246</v>
      </c>
      <c r="C109" s="23" t="s">
        <v>466</v>
      </c>
      <c r="D109" s="23" t="s">
        <v>9996</v>
      </c>
      <c r="E109" s="23" t="s">
        <v>3835</v>
      </c>
      <c r="F109" s="23" t="s">
        <v>40</v>
      </c>
      <c r="G109" s="23" t="s">
        <v>9997</v>
      </c>
      <c r="H109" s="23" t="s">
        <v>9998</v>
      </c>
      <c r="I109" s="23" t="s">
        <v>9910</v>
      </c>
      <c r="J109" s="23" t="s">
        <v>466</v>
      </c>
      <c r="K109" s="27" t="s">
        <v>404</v>
      </c>
      <c r="L109" s="23" t="s">
        <v>405</v>
      </c>
      <c r="M109" s="25" t="s">
        <v>18</v>
      </c>
      <c r="N109" s="23" t="s">
        <v>40</v>
      </c>
      <c r="O109" s="23" t="s">
        <v>387</v>
      </c>
      <c r="P109" s="23" t="s">
        <v>40</v>
      </c>
      <c r="Q109" s="23" t="s">
        <v>40</v>
      </c>
      <c r="R109" s="23" t="s">
        <v>247</v>
      </c>
      <c r="S109" s="23" t="s">
        <v>1710</v>
      </c>
      <c r="T109" s="23" t="s">
        <v>40</v>
      </c>
    </row>
    <row r="110" spans="1:20" x14ac:dyDescent="0.25">
      <c r="A110" s="23" t="s">
        <v>9999</v>
      </c>
      <c r="B110" s="23" t="s">
        <v>246</v>
      </c>
      <c r="C110" s="23" t="s">
        <v>466</v>
      </c>
      <c r="D110" s="23" t="s">
        <v>10000</v>
      </c>
      <c r="E110" s="23" t="s">
        <v>10001</v>
      </c>
      <c r="F110" s="23" t="s">
        <v>40</v>
      </c>
      <c r="G110" s="23" t="s">
        <v>10002</v>
      </c>
      <c r="H110" s="23" t="s">
        <v>10003</v>
      </c>
      <c r="I110" s="23" t="s">
        <v>10004</v>
      </c>
      <c r="J110" s="23" t="s">
        <v>15</v>
      </c>
      <c r="K110" s="27" t="s">
        <v>404</v>
      </c>
      <c r="L110" s="23" t="s">
        <v>405</v>
      </c>
      <c r="M110" s="25" t="s">
        <v>18</v>
      </c>
      <c r="N110" s="23" t="s">
        <v>40</v>
      </c>
      <c r="O110" s="23" t="s">
        <v>387</v>
      </c>
      <c r="P110" s="23" t="s">
        <v>40</v>
      </c>
      <c r="Q110" s="23" t="s">
        <v>40</v>
      </c>
      <c r="R110" s="23" t="s">
        <v>247</v>
      </c>
      <c r="S110" s="23" t="s">
        <v>1710</v>
      </c>
      <c r="T110" s="23" t="s">
        <v>40</v>
      </c>
    </row>
    <row r="111" spans="1:20" x14ac:dyDescent="0.25">
      <c r="A111" s="23" t="s">
        <v>10005</v>
      </c>
      <c r="B111" s="23" t="s">
        <v>246</v>
      </c>
      <c r="C111" s="23" t="s">
        <v>466</v>
      </c>
      <c r="D111" s="23" t="s">
        <v>10006</v>
      </c>
      <c r="E111" s="23" t="s">
        <v>3835</v>
      </c>
      <c r="F111" s="23" t="s">
        <v>40</v>
      </c>
      <c r="G111" s="23" t="s">
        <v>10007</v>
      </c>
      <c r="H111" s="23" t="s">
        <v>10008</v>
      </c>
      <c r="I111" s="23" t="s">
        <v>10009</v>
      </c>
      <c r="J111" s="23" t="s">
        <v>489</v>
      </c>
      <c r="K111" s="27" t="s">
        <v>404</v>
      </c>
      <c r="L111" s="23" t="s">
        <v>490</v>
      </c>
      <c r="M111" s="25" t="s">
        <v>18</v>
      </c>
      <c r="N111" s="23" t="s">
        <v>40</v>
      </c>
      <c r="O111" s="23" t="s">
        <v>387</v>
      </c>
      <c r="P111" s="23" t="s">
        <v>40</v>
      </c>
      <c r="Q111" s="23" t="s">
        <v>40</v>
      </c>
      <c r="R111" s="23" t="s">
        <v>247</v>
      </c>
      <c r="S111" s="23" t="s">
        <v>1710</v>
      </c>
      <c r="T111" s="23" t="s">
        <v>40</v>
      </c>
    </row>
    <row r="112" spans="1:20" x14ac:dyDescent="0.25">
      <c r="A112" s="23" t="s">
        <v>10010</v>
      </c>
      <c r="B112" s="23" t="s">
        <v>246</v>
      </c>
      <c r="C112" s="23" t="s">
        <v>10011</v>
      </c>
      <c r="D112" s="23" t="s">
        <v>10012</v>
      </c>
      <c r="E112" s="23" t="s">
        <v>10013</v>
      </c>
      <c r="F112" s="23" t="s">
        <v>40</v>
      </c>
      <c r="G112" s="23" t="s">
        <v>10014</v>
      </c>
      <c r="H112" s="23" t="s">
        <v>10015</v>
      </c>
      <c r="I112" s="23" t="s">
        <v>10016</v>
      </c>
      <c r="J112" s="23" t="s">
        <v>801</v>
      </c>
      <c r="K112" s="24" t="s">
        <v>386</v>
      </c>
      <c r="L112" s="23" t="s">
        <v>405</v>
      </c>
      <c r="M112" s="25" t="s">
        <v>18</v>
      </c>
      <c r="N112" s="23" t="s">
        <v>40</v>
      </c>
      <c r="O112" s="23" t="s">
        <v>387</v>
      </c>
      <c r="P112" s="23" t="s">
        <v>40</v>
      </c>
      <c r="Q112" s="23" t="s">
        <v>40</v>
      </c>
      <c r="R112" s="23" t="s">
        <v>247</v>
      </c>
      <c r="S112" s="23" t="s">
        <v>1710</v>
      </c>
      <c r="T112" s="23" t="s">
        <v>40</v>
      </c>
    </row>
    <row r="113" spans="1:20" x14ac:dyDescent="0.25">
      <c r="A113" s="23" t="s">
        <v>10017</v>
      </c>
      <c r="B113" s="23" t="s">
        <v>246</v>
      </c>
      <c r="C113" s="23" t="s">
        <v>2651</v>
      </c>
      <c r="D113" s="23" t="s">
        <v>10018</v>
      </c>
      <c r="E113" s="23" t="s">
        <v>10019</v>
      </c>
      <c r="F113" s="23" t="s">
        <v>40</v>
      </c>
      <c r="G113" s="23" t="s">
        <v>10020</v>
      </c>
      <c r="H113" s="23" t="s">
        <v>10021</v>
      </c>
      <c r="I113" s="23" t="s">
        <v>10022</v>
      </c>
      <c r="J113" s="23" t="s">
        <v>14</v>
      </c>
      <c r="K113" s="24" t="s">
        <v>386</v>
      </c>
      <c r="L113" s="23" t="s">
        <v>405</v>
      </c>
      <c r="M113" s="25" t="s">
        <v>18</v>
      </c>
      <c r="N113" s="23" t="s">
        <v>40</v>
      </c>
      <c r="O113" s="23" t="s">
        <v>387</v>
      </c>
      <c r="P113" s="23" t="s">
        <v>40</v>
      </c>
      <c r="Q113" s="23" t="s">
        <v>40</v>
      </c>
      <c r="R113" s="23" t="s">
        <v>247</v>
      </c>
      <c r="S113" s="23" t="s">
        <v>1710</v>
      </c>
      <c r="T113" s="23" t="s">
        <v>40</v>
      </c>
    </row>
    <row r="114" spans="1:20" x14ac:dyDescent="0.25">
      <c r="A114" s="23" t="s">
        <v>10023</v>
      </c>
      <c r="B114" s="23" t="s">
        <v>248</v>
      </c>
      <c r="C114" s="23" t="s">
        <v>944</v>
      </c>
      <c r="D114" s="23" t="s">
        <v>10024</v>
      </c>
      <c r="E114" s="23" t="s">
        <v>3835</v>
      </c>
      <c r="F114" s="23" t="s">
        <v>10025</v>
      </c>
      <c r="G114" s="23" t="s">
        <v>10026</v>
      </c>
      <c r="H114" s="23" t="s">
        <v>10027</v>
      </c>
      <c r="I114" s="23" t="s">
        <v>10028</v>
      </c>
      <c r="J114" s="23" t="s">
        <v>385</v>
      </c>
      <c r="K114" s="24" t="s">
        <v>386</v>
      </c>
      <c r="L114" s="23" t="s">
        <v>13</v>
      </c>
      <c r="M114" s="31" t="s">
        <v>17</v>
      </c>
      <c r="N114" s="23" t="s">
        <v>10029</v>
      </c>
      <c r="O114" s="29" t="s">
        <v>87</v>
      </c>
      <c r="P114" s="23" t="s">
        <v>40</v>
      </c>
      <c r="Q114" s="23" t="s">
        <v>40</v>
      </c>
      <c r="R114" s="23" t="s">
        <v>249</v>
      </c>
      <c r="S114" s="23" t="s">
        <v>40</v>
      </c>
      <c r="T114" s="23" t="s">
        <v>40</v>
      </c>
    </row>
    <row r="115" spans="1:20" x14ac:dyDescent="0.25">
      <c r="A115" s="23" t="s">
        <v>10030</v>
      </c>
      <c r="B115" s="23" t="s">
        <v>248</v>
      </c>
      <c r="C115" s="23" t="s">
        <v>2222</v>
      </c>
      <c r="D115" s="23" t="s">
        <v>10031</v>
      </c>
      <c r="E115" s="23" t="s">
        <v>10032</v>
      </c>
      <c r="F115" s="23" t="s">
        <v>40</v>
      </c>
      <c r="G115" s="23" t="s">
        <v>10033</v>
      </c>
      <c r="H115" s="23" t="s">
        <v>10034</v>
      </c>
      <c r="I115" s="23" t="s">
        <v>10035</v>
      </c>
      <c r="J115" s="23" t="s">
        <v>14</v>
      </c>
      <c r="K115" s="24" t="s">
        <v>386</v>
      </c>
      <c r="L115" s="23" t="s">
        <v>405</v>
      </c>
      <c r="M115" s="25" t="s">
        <v>18</v>
      </c>
      <c r="N115" s="23" t="s">
        <v>40</v>
      </c>
      <c r="O115" s="23" t="s">
        <v>387</v>
      </c>
      <c r="P115" s="23" t="s">
        <v>40</v>
      </c>
      <c r="Q115" s="23" t="s">
        <v>40</v>
      </c>
      <c r="R115" s="23" t="s">
        <v>249</v>
      </c>
      <c r="S115" s="23" t="s">
        <v>1710</v>
      </c>
      <c r="T115" s="23" t="s">
        <v>40</v>
      </c>
    </row>
    <row r="116" spans="1:20" x14ac:dyDescent="0.25">
      <c r="A116" s="23" t="s">
        <v>10036</v>
      </c>
      <c r="B116" s="23" t="s">
        <v>248</v>
      </c>
      <c r="C116" s="23" t="s">
        <v>2222</v>
      </c>
      <c r="D116" s="23" t="s">
        <v>10037</v>
      </c>
      <c r="E116" s="23" t="s">
        <v>10038</v>
      </c>
      <c r="F116" s="23" t="s">
        <v>40</v>
      </c>
      <c r="G116" s="23" t="s">
        <v>10039</v>
      </c>
      <c r="H116" s="23" t="s">
        <v>10040</v>
      </c>
      <c r="I116" s="23" t="s">
        <v>10041</v>
      </c>
      <c r="J116" s="23" t="s">
        <v>15</v>
      </c>
      <c r="K116" s="27" t="s">
        <v>404</v>
      </c>
      <c r="L116" s="23" t="s">
        <v>490</v>
      </c>
      <c r="M116" s="25" t="s">
        <v>18</v>
      </c>
      <c r="N116" s="23" t="s">
        <v>40</v>
      </c>
      <c r="O116" s="23" t="s">
        <v>387</v>
      </c>
      <c r="P116" s="23" t="s">
        <v>40</v>
      </c>
      <c r="Q116" s="23" t="s">
        <v>40</v>
      </c>
      <c r="R116" s="23" t="s">
        <v>249</v>
      </c>
      <c r="S116" s="23" t="s">
        <v>1710</v>
      </c>
      <c r="T116" s="23" t="s">
        <v>40</v>
      </c>
    </row>
    <row r="117" spans="1:20" x14ac:dyDescent="0.25">
      <c r="A117" s="23" t="s">
        <v>10042</v>
      </c>
      <c r="B117" s="23" t="s">
        <v>248</v>
      </c>
      <c r="C117" s="23" t="s">
        <v>10043</v>
      </c>
      <c r="D117" s="23" t="s">
        <v>10044</v>
      </c>
      <c r="E117" s="23" t="s">
        <v>10045</v>
      </c>
      <c r="F117" s="23" t="s">
        <v>40</v>
      </c>
      <c r="G117" s="23" t="s">
        <v>10046</v>
      </c>
      <c r="H117" s="23" t="s">
        <v>10047</v>
      </c>
      <c r="I117" s="23" t="s">
        <v>10048</v>
      </c>
      <c r="J117" s="23" t="s">
        <v>14</v>
      </c>
      <c r="K117" s="27" t="s">
        <v>404</v>
      </c>
      <c r="L117" s="23" t="s">
        <v>490</v>
      </c>
      <c r="M117" s="25" t="s">
        <v>18</v>
      </c>
      <c r="N117" s="23" t="s">
        <v>40</v>
      </c>
      <c r="O117" s="23" t="s">
        <v>387</v>
      </c>
      <c r="P117" s="23" t="s">
        <v>40</v>
      </c>
      <c r="Q117" s="23" t="s">
        <v>40</v>
      </c>
      <c r="R117" s="23" t="s">
        <v>249</v>
      </c>
      <c r="S117" s="23" t="s">
        <v>1710</v>
      </c>
      <c r="T117" s="23" t="s">
        <v>40</v>
      </c>
    </row>
    <row r="118" spans="1:20" x14ac:dyDescent="0.25">
      <c r="A118" s="23" t="s">
        <v>10049</v>
      </c>
      <c r="B118" s="23" t="s">
        <v>248</v>
      </c>
      <c r="C118" s="23" t="s">
        <v>10050</v>
      </c>
      <c r="D118" s="23" t="s">
        <v>10051</v>
      </c>
      <c r="E118" s="23" t="s">
        <v>10052</v>
      </c>
      <c r="F118" s="23" t="s">
        <v>40</v>
      </c>
      <c r="G118" s="23" t="s">
        <v>10053</v>
      </c>
      <c r="H118" s="23" t="s">
        <v>10054</v>
      </c>
      <c r="I118" s="23" t="s">
        <v>10055</v>
      </c>
      <c r="J118" s="23" t="s">
        <v>14</v>
      </c>
      <c r="K118" s="24" t="s">
        <v>386</v>
      </c>
      <c r="L118" s="23" t="s">
        <v>405</v>
      </c>
      <c r="M118" s="33" t="s">
        <v>20</v>
      </c>
      <c r="N118" s="23" t="s">
        <v>40</v>
      </c>
      <c r="O118" s="23" t="s">
        <v>387</v>
      </c>
      <c r="P118" s="23" t="s">
        <v>40</v>
      </c>
      <c r="Q118" s="23" t="s">
        <v>40</v>
      </c>
      <c r="R118" s="23" t="s">
        <v>249</v>
      </c>
      <c r="S118" s="23" t="s">
        <v>10056</v>
      </c>
      <c r="T118" s="23" t="s">
        <v>40</v>
      </c>
    </row>
    <row r="119" spans="1:20" x14ac:dyDescent="0.25">
      <c r="A119" s="23" t="s">
        <v>10057</v>
      </c>
      <c r="B119" s="23" t="s">
        <v>250</v>
      </c>
      <c r="C119" s="23" t="s">
        <v>944</v>
      </c>
      <c r="D119" s="23" t="s">
        <v>10058</v>
      </c>
      <c r="E119" s="23" t="s">
        <v>3835</v>
      </c>
      <c r="F119" s="23" t="s">
        <v>10059</v>
      </c>
      <c r="G119" s="23" t="s">
        <v>10060</v>
      </c>
      <c r="H119" s="23" t="s">
        <v>10061</v>
      </c>
      <c r="I119" s="23" t="s">
        <v>10062</v>
      </c>
      <c r="J119" s="23" t="s">
        <v>385</v>
      </c>
      <c r="K119" s="24" t="s">
        <v>386</v>
      </c>
      <c r="L119" s="23" t="s">
        <v>13</v>
      </c>
      <c r="M119" s="31" t="s">
        <v>17</v>
      </c>
      <c r="N119" s="23" t="s">
        <v>10063</v>
      </c>
      <c r="O119" s="29" t="s">
        <v>87</v>
      </c>
      <c r="P119" s="23" t="s">
        <v>40</v>
      </c>
      <c r="Q119" s="23" t="s">
        <v>40</v>
      </c>
      <c r="R119" s="23" t="s">
        <v>251</v>
      </c>
      <c r="S119" s="23" t="s">
        <v>40</v>
      </c>
      <c r="T119" s="23" t="s">
        <v>40</v>
      </c>
    </row>
    <row r="120" spans="1:20" x14ac:dyDescent="0.25">
      <c r="A120" s="23" t="s">
        <v>10064</v>
      </c>
      <c r="B120" s="23" t="s">
        <v>250</v>
      </c>
      <c r="C120" s="23" t="s">
        <v>2327</v>
      </c>
      <c r="D120" s="23" t="s">
        <v>10065</v>
      </c>
      <c r="E120" s="23" t="s">
        <v>3835</v>
      </c>
      <c r="F120" s="23" t="s">
        <v>10066</v>
      </c>
      <c r="G120" s="23" t="s">
        <v>10067</v>
      </c>
      <c r="H120" s="23" t="s">
        <v>10068</v>
      </c>
      <c r="I120" s="23" t="s">
        <v>10069</v>
      </c>
      <c r="J120" s="23" t="s">
        <v>14</v>
      </c>
      <c r="K120" s="24" t="s">
        <v>386</v>
      </c>
      <c r="L120" s="23" t="s">
        <v>405</v>
      </c>
      <c r="M120" s="25" t="s">
        <v>18</v>
      </c>
      <c r="N120" s="23" t="s">
        <v>40</v>
      </c>
      <c r="O120" s="23" t="s">
        <v>387</v>
      </c>
      <c r="P120" s="23" t="s">
        <v>40</v>
      </c>
      <c r="Q120" s="23" t="s">
        <v>40</v>
      </c>
      <c r="R120" s="23" t="s">
        <v>251</v>
      </c>
      <c r="S120" s="23" t="s">
        <v>1710</v>
      </c>
      <c r="T120" s="23" t="s">
        <v>40</v>
      </c>
    </row>
    <row r="121" spans="1:20" x14ac:dyDescent="0.25">
      <c r="A121" s="23" t="s">
        <v>10070</v>
      </c>
      <c r="B121" s="23" t="s">
        <v>250</v>
      </c>
      <c r="C121" s="23" t="s">
        <v>466</v>
      </c>
      <c r="D121" s="23" t="s">
        <v>10071</v>
      </c>
      <c r="E121" s="23" t="s">
        <v>3835</v>
      </c>
      <c r="F121" s="23" t="s">
        <v>40</v>
      </c>
      <c r="G121" s="23" t="s">
        <v>10072</v>
      </c>
      <c r="H121" s="23" t="s">
        <v>10073</v>
      </c>
      <c r="I121" s="23" t="s">
        <v>8821</v>
      </c>
      <c r="J121" s="23" t="s">
        <v>466</v>
      </c>
      <c r="K121" s="27" t="s">
        <v>404</v>
      </c>
      <c r="L121" s="23" t="s">
        <v>405</v>
      </c>
      <c r="M121" s="25" t="s">
        <v>18</v>
      </c>
      <c r="N121" s="23" t="s">
        <v>40</v>
      </c>
      <c r="O121" s="23" t="s">
        <v>387</v>
      </c>
      <c r="P121" s="23" t="s">
        <v>40</v>
      </c>
      <c r="Q121" s="23" t="s">
        <v>40</v>
      </c>
      <c r="R121" s="23" t="s">
        <v>251</v>
      </c>
      <c r="S121" s="23" t="s">
        <v>1710</v>
      </c>
      <c r="T121" s="23" t="s">
        <v>40</v>
      </c>
    </row>
    <row r="122" spans="1:20" x14ac:dyDescent="0.25">
      <c r="A122" s="23" t="s">
        <v>10074</v>
      </c>
      <c r="B122" s="23" t="s">
        <v>250</v>
      </c>
      <c r="C122" s="23" t="s">
        <v>466</v>
      </c>
      <c r="D122" s="23" t="s">
        <v>10075</v>
      </c>
      <c r="E122" s="23" t="s">
        <v>3835</v>
      </c>
      <c r="F122" s="23" t="s">
        <v>40</v>
      </c>
      <c r="G122" s="23" t="s">
        <v>10076</v>
      </c>
      <c r="H122" s="23" t="s">
        <v>10077</v>
      </c>
      <c r="I122" s="23" t="s">
        <v>3984</v>
      </c>
      <c r="J122" s="23" t="s">
        <v>489</v>
      </c>
      <c r="K122" s="27" t="s">
        <v>404</v>
      </c>
      <c r="L122" s="23" t="s">
        <v>405</v>
      </c>
      <c r="M122" s="25" t="s">
        <v>18</v>
      </c>
      <c r="N122" s="23" t="s">
        <v>40</v>
      </c>
      <c r="O122" s="23" t="s">
        <v>387</v>
      </c>
      <c r="P122" s="23" t="s">
        <v>40</v>
      </c>
      <c r="Q122" s="23" t="s">
        <v>40</v>
      </c>
      <c r="R122" s="23" t="s">
        <v>251</v>
      </c>
      <c r="S122" s="23" t="s">
        <v>1710</v>
      </c>
      <c r="T122" s="23" t="s">
        <v>40</v>
      </c>
    </row>
    <row r="123" spans="1:20" x14ac:dyDescent="0.25">
      <c r="A123" s="23" t="s">
        <v>10078</v>
      </c>
      <c r="B123" s="23" t="s">
        <v>250</v>
      </c>
      <c r="C123" s="23" t="s">
        <v>466</v>
      </c>
      <c r="D123" s="23" t="s">
        <v>10079</v>
      </c>
      <c r="E123" s="23" t="s">
        <v>10080</v>
      </c>
      <c r="F123" s="23" t="s">
        <v>40</v>
      </c>
      <c r="G123" s="23" t="s">
        <v>10081</v>
      </c>
      <c r="H123" s="23" t="s">
        <v>10082</v>
      </c>
      <c r="I123" s="23" t="s">
        <v>10083</v>
      </c>
      <c r="J123" s="23" t="s">
        <v>15</v>
      </c>
      <c r="K123" s="27" t="s">
        <v>404</v>
      </c>
      <c r="L123" s="23" t="s">
        <v>405</v>
      </c>
      <c r="M123" s="25" t="s">
        <v>18</v>
      </c>
      <c r="N123" s="23" t="s">
        <v>40</v>
      </c>
      <c r="O123" s="23" t="s">
        <v>387</v>
      </c>
      <c r="P123" s="23" t="s">
        <v>40</v>
      </c>
      <c r="Q123" s="23" t="s">
        <v>40</v>
      </c>
      <c r="R123" s="23" t="s">
        <v>251</v>
      </c>
      <c r="S123" s="23" t="s">
        <v>1710</v>
      </c>
      <c r="T123" s="23" t="s">
        <v>40</v>
      </c>
    </row>
    <row r="124" spans="1:20" x14ac:dyDescent="0.25">
      <c r="A124" s="23" t="s">
        <v>10084</v>
      </c>
      <c r="B124" s="23" t="s">
        <v>250</v>
      </c>
      <c r="C124" s="23" t="s">
        <v>9877</v>
      </c>
      <c r="D124" s="23" t="s">
        <v>10085</v>
      </c>
      <c r="E124" s="23" t="s">
        <v>10086</v>
      </c>
      <c r="F124" s="23" t="s">
        <v>40</v>
      </c>
      <c r="G124" s="23" t="s">
        <v>10087</v>
      </c>
      <c r="H124" s="23" t="s">
        <v>10088</v>
      </c>
      <c r="I124" s="23" t="s">
        <v>10089</v>
      </c>
      <c r="J124" s="23" t="s">
        <v>14</v>
      </c>
      <c r="K124" s="27" t="s">
        <v>404</v>
      </c>
      <c r="L124" s="23" t="s">
        <v>490</v>
      </c>
      <c r="M124" s="25" t="s">
        <v>18</v>
      </c>
      <c r="N124" s="23" t="s">
        <v>40</v>
      </c>
      <c r="O124" s="23" t="s">
        <v>387</v>
      </c>
      <c r="P124" s="23" t="s">
        <v>40</v>
      </c>
      <c r="Q124" s="23" t="s">
        <v>40</v>
      </c>
      <c r="R124" s="23" t="s">
        <v>251</v>
      </c>
      <c r="S124" s="23" t="s">
        <v>1710</v>
      </c>
      <c r="T124" s="23" t="s">
        <v>40</v>
      </c>
    </row>
    <row r="125" spans="1:20" x14ac:dyDescent="0.25">
      <c r="A125" s="23" t="s">
        <v>10090</v>
      </c>
      <c r="B125" s="23" t="s">
        <v>250</v>
      </c>
      <c r="C125" s="23" t="s">
        <v>9877</v>
      </c>
      <c r="D125" s="23" t="s">
        <v>10091</v>
      </c>
      <c r="E125" s="23" t="s">
        <v>10092</v>
      </c>
      <c r="F125" s="23" t="s">
        <v>40</v>
      </c>
      <c r="G125" s="23" t="s">
        <v>10093</v>
      </c>
      <c r="H125" s="23" t="s">
        <v>10094</v>
      </c>
      <c r="I125" s="23" t="s">
        <v>10095</v>
      </c>
      <c r="J125" s="23" t="s">
        <v>15</v>
      </c>
      <c r="K125" s="27" t="s">
        <v>404</v>
      </c>
      <c r="L125" s="23" t="s">
        <v>490</v>
      </c>
      <c r="M125" s="25" t="s">
        <v>18</v>
      </c>
      <c r="N125" s="23" t="s">
        <v>40</v>
      </c>
      <c r="O125" s="23" t="s">
        <v>387</v>
      </c>
      <c r="P125" s="23" t="s">
        <v>40</v>
      </c>
      <c r="Q125" s="23" t="s">
        <v>40</v>
      </c>
      <c r="R125" s="23" t="s">
        <v>251</v>
      </c>
      <c r="S125" s="23" t="s">
        <v>1710</v>
      </c>
      <c r="T125" s="23" t="s">
        <v>40</v>
      </c>
    </row>
    <row r="126" spans="1:20" x14ac:dyDescent="0.25">
      <c r="A126" s="23" t="s">
        <v>10096</v>
      </c>
      <c r="B126" s="23" t="s">
        <v>252</v>
      </c>
      <c r="C126" s="23" t="s">
        <v>944</v>
      </c>
      <c r="D126" s="23" t="s">
        <v>10097</v>
      </c>
      <c r="E126" s="23" t="s">
        <v>3835</v>
      </c>
      <c r="F126" s="23" t="s">
        <v>10098</v>
      </c>
      <c r="G126" s="23" t="s">
        <v>10099</v>
      </c>
      <c r="H126" s="23" t="s">
        <v>10100</v>
      </c>
      <c r="I126" s="23" t="s">
        <v>10101</v>
      </c>
      <c r="J126" s="23" t="s">
        <v>385</v>
      </c>
      <c r="K126" s="24" t="s">
        <v>386</v>
      </c>
      <c r="L126" s="23" t="s">
        <v>13</v>
      </c>
      <c r="M126" s="31" t="s">
        <v>17</v>
      </c>
      <c r="N126" s="23" t="s">
        <v>10102</v>
      </c>
      <c r="O126" s="29" t="s">
        <v>87</v>
      </c>
      <c r="P126" s="23" t="s">
        <v>40</v>
      </c>
      <c r="Q126" s="23" t="s">
        <v>40</v>
      </c>
      <c r="R126" s="23" t="s">
        <v>253</v>
      </c>
      <c r="S126" s="23" t="s">
        <v>40</v>
      </c>
      <c r="T126" s="23" t="s">
        <v>40</v>
      </c>
    </row>
    <row r="127" spans="1:20" x14ac:dyDescent="0.25">
      <c r="A127" s="23" t="s">
        <v>10103</v>
      </c>
      <c r="B127" s="23" t="s">
        <v>252</v>
      </c>
      <c r="C127" s="23" t="s">
        <v>10104</v>
      </c>
      <c r="D127" s="23" t="s">
        <v>10105</v>
      </c>
      <c r="E127" s="23" t="s">
        <v>10106</v>
      </c>
      <c r="F127" s="23" t="s">
        <v>40</v>
      </c>
      <c r="G127" s="23" t="s">
        <v>10107</v>
      </c>
      <c r="H127" s="23" t="s">
        <v>10108</v>
      </c>
      <c r="I127" s="23" t="s">
        <v>10109</v>
      </c>
      <c r="J127" s="23" t="s">
        <v>801</v>
      </c>
      <c r="K127" s="26" t="s">
        <v>396</v>
      </c>
      <c r="L127" s="23" t="s">
        <v>13</v>
      </c>
      <c r="M127" s="25" t="s">
        <v>18</v>
      </c>
      <c r="N127" s="23" t="s">
        <v>40</v>
      </c>
      <c r="O127" s="23" t="s">
        <v>387</v>
      </c>
      <c r="P127" s="23" t="s">
        <v>40</v>
      </c>
      <c r="Q127" s="23" t="s">
        <v>40</v>
      </c>
      <c r="R127" s="23" t="s">
        <v>253</v>
      </c>
      <c r="S127" s="23" t="s">
        <v>1710</v>
      </c>
      <c r="T127" s="23" t="s">
        <v>40</v>
      </c>
    </row>
    <row r="128" spans="1:20" x14ac:dyDescent="0.25">
      <c r="A128" s="23" t="s">
        <v>10110</v>
      </c>
      <c r="B128" s="23" t="s">
        <v>252</v>
      </c>
      <c r="C128" s="23" t="s">
        <v>10104</v>
      </c>
      <c r="D128" s="23" t="s">
        <v>10111</v>
      </c>
      <c r="E128" s="23" t="s">
        <v>10112</v>
      </c>
      <c r="F128" s="23" t="s">
        <v>40</v>
      </c>
      <c r="G128" s="23" t="s">
        <v>10113</v>
      </c>
      <c r="H128" s="23" t="s">
        <v>10114</v>
      </c>
      <c r="I128" s="23" t="s">
        <v>10115</v>
      </c>
      <c r="J128" s="23" t="s">
        <v>801</v>
      </c>
      <c r="K128" s="24" t="s">
        <v>386</v>
      </c>
      <c r="L128" s="23" t="s">
        <v>405</v>
      </c>
      <c r="M128" s="25" t="s">
        <v>18</v>
      </c>
      <c r="N128" s="23" t="s">
        <v>40</v>
      </c>
      <c r="O128" s="23" t="s">
        <v>387</v>
      </c>
      <c r="P128" s="23" t="s">
        <v>40</v>
      </c>
      <c r="Q128" s="23" t="s">
        <v>40</v>
      </c>
      <c r="R128" s="23" t="s">
        <v>253</v>
      </c>
      <c r="S128" s="23" t="s">
        <v>1710</v>
      </c>
      <c r="T128" s="23" t="s">
        <v>40</v>
      </c>
    </row>
    <row r="129" spans="1:20" x14ac:dyDescent="0.25">
      <c r="A129" s="23" t="s">
        <v>10116</v>
      </c>
      <c r="B129" s="23" t="s">
        <v>252</v>
      </c>
      <c r="C129" s="23" t="s">
        <v>10104</v>
      </c>
      <c r="D129" s="23" t="s">
        <v>10117</v>
      </c>
      <c r="E129" s="23" t="s">
        <v>10118</v>
      </c>
      <c r="F129" s="23" t="s">
        <v>40</v>
      </c>
      <c r="G129" s="23" t="s">
        <v>10113</v>
      </c>
      <c r="H129" s="23" t="s">
        <v>10119</v>
      </c>
      <c r="I129" s="23" t="s">
        <v>10120</v>
      </c>
      <c r="J129" s="23" t="s">
        <v>801</v>
      </c>
      <c r="K129" s="24" t="s">
        <v>386</v>
      </c>
      <c r="L129" s="23" t="s">
        <v>405</v>
      </c>
      <c r="M129" s="25" t="s">
        <v>18</v>
      </c>
      <c r="N129" s="23" t="s">
        <v>40</v>
      </c>
      <c r="O129" s="23" t="s">
        <v>387</v>
      </c>
      <c r="P129" s="23" t="s">
        <v>40</v>
      </c>
      <c r="Q129" s="23" t="s">
        <v>40</v>
      </c>
      <c r="R129" s="23" t="s">
        <v>253</v>
      </c>
      <c r="S129" s="23" t="s">
        <v>1710</v>
      </c>
      <c r="T129" s="23" t="s">
        <v>40</v>
      </c>
    </row>
    <row r="130" spans="1:20" x14ac:dyDescent="0.25">
      <c r="A130" s="23" t="s">
        <v>10121</v>
      </c>
      <c r="B130" s="23" t="s">
        <v>252</v>
      </c>
      <c r="C130" s="23" t="s">
        <v>10104</v>
      </c>
      <c r="D130" s="23" t="s">
        <v>10122</v>
      </c>
      <c r="E130" s="23" t="s">
        <v>10123</v>
      </c>
      <c r="F130" s="23" t="s">
        <v>40</v>
      </c>
      <c r="G130" s="23" t="s">
        <v>10124</v>
      </c>
      <c r="H130" s="23" t="s">
        <v>10125</v>
      </c>
      <c r="I130" s="23" t="s">
        <v>10126</v>
      </c>
      <c r="J130" s="23" t="s">
        <v>14</v>
      </c>
      <c r="K130" s="24" t="s">
        <v>386</v>
      </c>
      <c r="L130" s="23" t="s">
        <v>405</v>
      </c>
      <c r="M130" s="25" t="s">
        <v>18</v>
      </c>
      <c r="N130" s="23" t="s">
        <v>40</v>
      </c>
      <c r="O130" s="23" t="s">
        <v>387</v>
      </c>
      <c r="P130" s="23" t="s">
        <v>40</v>
      </c>
      <c r="Q130" s="23" t="s">
        <v>40</v>
      </c>
      <c r="R130" s="23" t="s">
        <v>253</v>
      </c>
      <c r="S130" s="23" t="s">
        <v>1710</v>
      </c>
      <c r="T130" s="23" t="s">
        <v>40</v>
      </c>
    </row>
    <row r="131" spans="1:20" x14ac:dyDescent="0.25">
      <c r="A131" s="23" t="s">
        <v>10127</v>
      </c>
      <c r="B131" s="23" t="s">
        <v>252</v>
      </c>
      <c r="C131" s="23" t="s">
        <v>10104</v>
      </c>
      <c r="D131" s="23" t="s">
        <v>10128</v>
      </c>
      <c r="E131" s="23" t="s">
        <v>10129</v>
      </c>
      <c r="F131" s="23" t="s">
        <v>40</v>
      </c>
      <c r="G131" s="23" t="s">
        <v>10130</v>
      </c>
      <c r="H131" s="23" t="s">
        <v>10131</v>
      </c>
      <c r="I131" s="23" t="s">
        <v>10132</v>
      </c>
      <c r="J131" s="23" t="s">
        <v>14</v>
      </c>
      <c r="K131" s="27" t="s">
        <v>404</v>
      </c>
      <c r="L131" s="23" t="s">
        <v>490</v>
      </c>
      <c r="M131" s="25" t="s">
        <v>18</v>
      </c>
      <c r="N131" s="23" t="s">
        <v>40</v>
      </c>
      <c r="O131" s="23" t="s">
        <v>387</v>
      </c>
      <c r="P131" s="23" t="s">
        <v>40</v>
      </c>
      <c r="Q131" s="23" t="s">
        <v>40</v>
      </c>
      <c r="R131" s="23" t="s">
        <v>253</v>
      </c>
      <c r="S131" s="23" t="s">
        <v>1710</v>
      </c>
      <c r="T131" s="23" t="s">
        <v>40</v>
      </c>
    </row>
    <row r="132" spans="1:20" x14ac:dyDescent="0.25">
      <c r="A132" s="23" t="s">
        <v>10133</v>
      </c>
      <c r="B132" s="23" t="s">
        <v>254</v>
      </c>
      <c r="C132" s="23" t="s">
        <v>944</v>
      </c>
      <c r="D132" s="23" t="s">
        <v>10134</v>
      </c>
      <c r="E132" s="23" t="s">
        <v>3835</v>
      </c>
      <c r="F132" s="23" t="s">
        <v>10135</v>
      </c>
      <c r="G132" s="23" t="s">
        <v>10136</v>
      </c>
      <c r="H132" s="23" t="s">
        <v>10137</v>
      </c>
      <c r="I132" s="23" t="s">
        <v>10138</v>
      </c>
      <c r="J132" s="23" t="s">
        <v>385</v>
      </c>
      <c r="K132" s="24" t="s">
        <v>386</v>
      </c>
      <c r="L132" s="23" t="s">
        <v>13</v>
      </c>
      <c r="M132" s="31" t="s">
        <v>17</v>
      </c>
      <c r="N132" s="23" t="s">
        <v>10139</v>
      </c>
      <c r="O132" s="29" t="s">
        <v>87</v>
      </c>
      <c r="P132" s="23" t="s">
        <v>40</v>
      </c>
      <c r="Q132" s="23" t="s">
        <v>40</v>
      </c>
      <c r="R132" s="23" t="s">
        <v>255</v>
      </c>
      <c r="S132" s="23" t="s">
        <v>40</v>
      </c>
      <c r="T132" s="23" t="s">
        <v>40</v>
      </c>
    </row>
    <row r="133" spans="1:20" x14ac:dyDescent="0.25">
      <c r="A133" s="23" t="s">
        <v>10140</v>
      </c>
      <c r="B133" s="23" t="s">
        <v>254</v>
      </c>
      <c r="C133" s="23" t="s">
        <v>2327</v>
      </c>
      <c r="D133" s="23" t="s">
        <v>10141</v>
      </c>
      <c r="E133" s="23" t="s">
        <v>9693</v>
      </c>
      <c r="F133" s="23" t="s">
        <v>10142</v>
      </c>
      <c r="G133" s="23" t="s">
        <v>10143</v>
      </c>
      <c r="H133" s="23" t="s">
        <v>10144</v>
      </c>
      <c r="I133" s="23" t="s">
        <v>10145</v>
      </c>
      <c r="J133" s="23" t="s">
        <v>14</v>
      </c>
      <c r="K133" s="26" t="s">
        <v>396</v>
      </c>
      <c r="L133" s="23" t="s">
        <v>13</v>
      </c>
      <c r="M133" s="25" t="s">
        <v>18</v>
      </c>
      <c r="N133" s="23" t="s">
        <v>40</v>
      </c>
      <c r="O133" s="23" t="s">
        <v>387</v>
      </c>
      <c r="P133" s="23" t="s">
        <v>40</v>
      </c>
      <c r="Q133" s="23" t="s">
        <v>40</v>
      </c>
      <c r="R133" s="23" t="s">
        <v>255</v>
      </c>
      <c r="S133" s="23" t="s">
        <v>1710</v>
      </c>
      <c r="T133" s="23" t="s">
        <v>40</v>
      </c>
    </row>
    <row r="134" spans="1:20" x14ac:dyDescent="0.25">
      <c r="A134" s="23" t="s">
        <v>10146</v>
      </c>
      <c r="B134" s="23" t="s">
        <v>254</v>
      </c>
      <c r="C134" s="23" t="s">
        <v>466</v>
      </c>
      <c r="D134" s="23" t="s">
        <v>10147</v>
      </c>
      <c r="E134" s="23" t="s">
        <v>3835</v>
      </c>
      <c r="F134" s="23" t="s">
        <v>40</v>
      </c>
      <c r="G134" s="23" t="s">
        <v>10148</v>
      </c>
      <c r="H134" s="23" t="s">
        <v>10149</v>
      </c>
      <c r="I134" s="23" t="s">
        <v>10150</v>
      </c>
      <c r="J134" s="23" t="s">
        <v>466</v>
      </c>
      <c r="K134" s="27" t="s">
        <v>404</v>
      </c>
      <c r="L134" s="23" t="s">
        <v>405</v>
      </c>
      <c r="M134" s="25" t="s">
        <v>18</v>
      </c>
      <c r="N134" s="23" t="s">
        <v>40</v>
      </c>
      <c r="O134" s="23" t="s">
        <v>387</v>
      </c>
      <c r="P134" s="23" t="s">
        <v>40</v>
      </c>
      <c r="Q134" s="23" t="s">
        <v>40</v>
      </c>
      <c r="R134" s="23" t="s">
        <v>255</v>
      </c>
      <c r="S134" s="23" t="s">
        <v>1710</v>
      </c>
      <c r="T134" s="23" t="s">
        <v>40</v>
      </c>
    </row>
    <row r="135" spans="1:20" x14ac:dyDescent="0.25">
      <c r="A135" s="23" t="s">
        <v>10151</v>
      </c>
      <c r="B135" s="23" t="s">
        <v>254</v>
      </c>
      <c r="C135" s="23" t="s">
        <v>466</v>
      </c>
      <c r="D135" s="23" t="s">
        <v>10152</v>
      </c>
      <c r="E135" s="23" t="s">
        <v>10153</v>
      </c>
      <c r="F135" s="23" t="s">
        <v>40</v>
      </c>
      <c r="G135" s="23" t="s">
        <v>10154</v>
      </c>
      <c r="H135" s="23" t="s">
        <v>10155</v>
      </c>
      <c r="I135" s="23" t="s">
        <v>10156</v>
      </c>
      <c r="J135" s="23" t="s">
        <v>15</v>
      </c>
      <c r="K135" s="27" t="s">
        <v>404</v>
      </c>
      <c r="L135" s="23" t="s">
        <v>405</v>
      </c>
      <c r="M135" s="25" t="s">
        <v>18</v>
      </c>
      <c r="N135" s="23" t="s">
        <v>40</v>
      </c>
      <c r="O135" s="23" t="s">
        <v>387</v>
      </c>
      <c r="P135" s="23" t="s">
        <v>40</v>
      </c>
      <c r="Q135" s="23" t="s">
        <v>40</v>
      </c>
      <c r="R135" s="23" t="s">
        <v>255</v>
      </c>
      <c r="S135" s="23" t="s">
        <v>1710</v>
      </c>
      <c r="T135" s="23" t="s">
        <v>40</v>
      </c>
    </row>
    <row r="136" spans="1:20" x14ac:dyDescent="0.25">
      <c r="A136" s="23" t="s">
        <v>10157</v>
      </c>
      <c r="B136" s="23" t="s">
        <v>254</v>
      </c>
      <c r="C136" s="23" t="s">
        <v>350</v>
      </c>
      <c r="D136" s="23" t="s">
        <v>10158</v>
      </c>
      <c r="E136" s="23" t="s">
        <v>10159</v>
      </c>
      <c r="F136" s="23" t="s">
        <v>40</v>
      </c>
      <c r="G136" s="23" t="s">
        <v>10160</v>
      </c>
      <c r="H136" s="23" t="s">
        <v>10161</v>
      </c>
      <c r="I136" s="23" t="s">
        <v>10162</v>
      </c>
      <c r="J136" s="23" t="s">
        <v>801</v>
      </c>
      <c r="K136" s="24" t="s">
        <v>386</v>
      </c>
      <c r="L136" s="23" t="s">
        <v>405</v>
      </c>
      <c r="M136" s="25" t="s">
        <v>18</v>
      </c>
      <c r="N136" s="23" t="s">
        <v>40</v>
      </c>
      <c r="O136" s="23" t="s">
        <v>387</v>
      </c>
      <c r="P136" s="23" t="s">
        <v>40</v>
      </c>
      <c r="Q136" s="23" t="s">
        <v>40</v>
      </c>
      <c r="R136" s="23" t="s">
        <v>255</v>
      </c>
      <c r="S136" s="23" t="s">
        <v>1710</v>
      </c>
      <c r="T136" s="23" t="s">
        <v>40</v>
      </c>
    </row>
    <row r="137" spans="1:20" x14ac:dyDescent="0.25">
      <c r="A137" s="23" t="s">
        <v>10163</v>
      </c>
      <c r="B137" s="23" t="s">
        <v>254</v>
      </c>
      <c r="C137" s="23" t="s">
        <v>10050</v>
      </c>
      <c r="D137" s="23" t="s">
        <v>10164</v>
      </c>
      <c r="E137" s="23" t="s">
        <v>10165</v>
      </c>
      <c r="F137" s="23" t="s">
        <v>40</v>
      </c>
      <c r="G137" s="23" t="s">
        <v>10166</v>
      </c>
      <c r="H137" s="23" t="s">
        <v>10167</v>
      </c>
      <c r="I137" s="23" t="s">
        <v>10168</v>
      </c>
      <c r="J137" s="23" t="s">
        <v>14</v>
      </c>
      <c r="K137" s="24" t="s">
        <v>386</v>
      </c>
      <c r="L137" s="23" t="s">
        <v>405</v>
      </c>
      <c r="M137" s="33" t="s">
        <v>20</v>
      </c>
      <c r="N137" s="23" t="s">
        <v>40</v>
      </c>
      <c r="O137" s="23" t="s">
        <v>387</v>
      </c>
      <c r="P137" s="23" t="s">
        <v>40</v>
      </c>
      <c r="Q137" s="23" t="s">
        <v>40</v>
      </c>
      <c r="R137" s="23" t="s">
        <v>255</v>
      </c>
      <c r="S137" s="23" t="s">
        <v>10169</v>
      </c>
      <c r="T137" s="23" t="s">
        <v>40</v>
      </c>
    </row>
    <row r="138" spans="1:20" x14ac:dyDescent="0.25">
      <c r="A138" s="23" t="s">
        <v>10170</v>
      </c>
      <c r="B138" s="23" t="s">
        <v>254</v>
      </c>
      <c r="C138" s="23" t="s">
        <v>9877</v>
      </c>
      <c r="D138" s="23" t="s">
        <v>10171</v>
      </c>
      <c r="E138" s="23" t="s">
        <v>10172</v>
      </c>
      <c r="F138" s="23" t="s">
        <v>40</v>
      </c>
      <c r="G138" s="23" t="s">
        <v>10173</v>
      </c>
      <c r="H138" s="23" t="s">
        <v>10174</v>
      </c>
      <c r="I138" s="23" t="s">
        <v>2382</v>
      </c>
      <c r="J138" s="23" t="s">
        <v>14</v>
      </c>
      <c r="K138" s="27" t="s">
        <v>404</v>
      </c>
      <c r="L138" s="23" t="s">
        <v>490</v>
      </c>
      <c r="M138" s="25" t="s">
        <v>18</v>
      </c>
      <c r="N138" s="23" t="s">
        <v>40</v>
      </c>
      <c r="O138" s="23" t="s">
        <v>387</v>
      </c>
      <c r="P138" s="23" t="s">
        <v>40</v>
      </c>
      <c r="Q138" s="23" t="s">
        <v>40</v>
      </c>
      <c r="R138" s="23" t="s">
        <v>255</v>
      </c>
      <c r="S138" s="23" t="s">
        <v>1710</v>
      </c>
      <c r="T138" s="23" t="s">
        <v>40</v>
      </c>
    </row>
    <row r="139" spans="1:20" x14ac:dyDescent="0.25">
      <c r="A139" s="23" t="s">
        <v>10175</v>
      </c>
      <c r="B139" s="23" t="s">
        <v>256</v>
      </c>
      <c r="C139" s="23" t="s">
        <v>944</v>
      </c>
      <c r="D139" s="23" t="s">
        <v>10176</v>
      </c>
      <c r="E139" s="23" t="s">
        <v>3835</v>
      </c>
      <c r="F139" s="23" t="s">
        <v>10177</v>
      </c>
      <c r="G139" s="23" t="s">
        <v>10178</v>
      </c>
      <c r="H139" s="23" t="s">
        <v>10179</v>
      </c>
      <c r="I139" s="23" t="s">
        <v>10180</v>
      </c>
      <c r="J139" s="23" t="s">
        <v>385</v>
      </c>
      <c r="K139" s="24" t="s">
        <v>386</v>
      </c>
      <c r="L139" s="23" t="s">
        <v>13</v>
      </c>
      <c r="M139" s="31" t="s">
        <v>17</v>
      </c>
      <c r="N139" s="23" t="s">
        <v>10181</v>
      </c>
      <c r="O139" s="29" t="s">
        <v>87</v>
      </c>
      <c r="P139" s="23" t="s">
        <v>40</v>
      </c>
      <c r="Q139" s="23" t="s">
        <v>40</v>
      </c>
      <c r="R139" s="23" t="s">
        <v>257</v>
      </c>
      <c r="S139" s="23" t="s">
        <v>40</v>
      </c>
      <c r="T139" s="23" t="s">
        <v>40</v>
      </c>
    </row>
    <row r="140" spans="1:20" x14ac:dyDescent="0.25">
      <c r="A140" s="23" t="s">
        <v>10182</v>
      </c>
      <c r="B140" s="23" t="s">
        <v>256</v>
      </c>
      <c r="C140" s="23" t="s">
        <v>7112</v>
      </c>
      <c r="D140" s="23" t="s">
        <v>10183</v>
      </c>
      <c r="E140" s="23" t="s">
        <v>10184</v>
      </c>
      <c r="F140" s="23" t="s">
        <v>10185</v>
      </c>
      <c r="G140" s="23" t="s">
        <v>10186</v>
      </c>
      <c r="H140" s="23" t="s">
        <v>10187</v>
      </c>
      <c r="I140" s="23" t="s">
        <v>10188</v>
      </c>
      <c r="J140" s="23" t="s">
        <v>14</v>
      </c>
      <c r="K140" s="26" t="s">
        <v>396</v>
      </c>
      <c r="L140" s="23" t="s">
        <v>13</v>
      </c>
      <c r="M140" s="25" t="s">
        <v>18</v>
      </c>
      <c r="N140" s="23" t="s">
        <v>40</v>
      </c>
      <c r="O140" s="23" t="s">
        <v>387</v>
      </c>
      <c r="P140" s="23" t="s">
        <v>40</v>
      </c>
      <c r="Q140" s="23" t="s">
        <v>40</v>
      </c>
      <c r="R140" s="23" t="s">
        <v>257</v>
      </c>
      <c r="S140" s="23" t="s">
        <v>1710</v>
      </c>
      <c r="T140" s="23" t="s">
        <v>40</v>
      </c>
    </row>
    <row r="141" spans="1:20" x14ac:dyDescent="0.25">
      <c r="A141" s="23" t="s">
        <v>10189</v>
      </c>
      <c r="B141" s="23" t="s">
        <v>256</v>
      </c>
      <c r="C141" s="23" t="s">
        <v>7112</v>
      </c>
      <c r="D141" s="23" t="s">
        <v>10190</v>
      </c>
      <c r="E141" s="23" t="s">
        <v>3835</v>
      </c>
      <c r="F141" s="23" t="s">
        <v>40</v>
      </c>
      <c r="G141" s="23" t="s">
        <v>10191</v>
      </c>
      <c r="H141" s="23" t="s">
        <v>10192</v>
      </c>
      <c r="I141" s="23" t="s">
        <v>10193</v>
      </c>
      <c r="J141" s="23" t="s">
        <v>466</v>
      </c>
      <c r="K141" s="27" t="s">
        <v>404</v>
      </c>
      <c r="L141" s="23" t="s">
        <v>405</v>
      </c>
      <c r="M141" s="25" t="s">
        <v>18</v>
      </c>
      <c r="N141" s="23" t="s">
        <v>40</v>
      </c>
      <c r="O141" s="23" t="s">
        <v>387</v>
      </c>
      <c r="P141" s="23" t="s">
        <v>40</v>
      </c>
      <c r="Q141" s="23" t="s">
        <v>40</v>
      </c>
      <c r="R141" s="23" t="s">
        <v>257</v>
      </c>
      <c r="S141" s="23" t="s">
        <v>1710</v>
      </c>
      <c r="T141" s="23" t="s">
        <v>40</v>
      </c>
    </row>
    <row r="142" spans="1:20" x14ac:dyDescent="0.25">
      <c r="A142" s="23" t="s">
        <v>10194</v>
      </c>
      <c r="B142" s="23" t="s">
        <v>256</v>
      </c>
      <c r="C142" s="23" t="s">
        <v>7112</v>
      </c>
      <c r="D142" s="23" t="s">
        <v>10195</v>
      </c>
      <c r="E142" s="23" t="s">
        <v>10196</v>
      </c>
      <c r="F142" s="23" t="s">
        <v>40</v>
      </c>
      <c r="G142" s="23" t="s">
        <v>10197</v>
      </c>
      <c r="H142" s="23" t="s">
        <v>10198</v>
      </c>
      <c r="I142" s="23" t="s">
        <v>10199</v>
      </c>
      <c r="J142" s="23" t="s">
        <v>15</v>
      </c>
      <c r="K142" s="24" t="s">
        <v>386</v>
      </c>
      <c r="L142" s="23" t="s">
        <v>13</v>
      </c>
      <c r="M142" s="25" t="s">
        <v>18</v>
      </c>
      <c r="N142" s="23" t="s">
        <v>40</v>
      </c>
      <c r="O142" s="23" t="s">
        <v>387</v>
      </c>
      <c r="P142" s="23" t="s">
        <v>40</v>
      </c>
      <c r="Q142" s="23" t="s">
        <v>40</v>
      </c>
      <c r="R142" s="23" t="s">
        <v>257</v>
      </c>
      <c r="S142" s="23" t="s">
        <v>1710</v>
      </c>
      <c r="T142" s="23" t="s">
        <v>40</v>
      </c>
    </row>
    <row r="143" spans="1:20" x14ac:dyDescent="0.25">
      <c r="A143" s="23" t="s">
        <v>10200</v>
      </c>
      <c r="B143" s="23" t="s">
        <v>256</v>
      </c>
      <c r="C143" s="23" t="s">
        <v>951</v>
      </c>
      <c r="D143" s="23" t="s">
        <v>10201</v>
      </c>
      <c r="E143" s="23" t="s">
        <v>10202</v>
      </c>
      <c r="F143" s="23" t="s">
        <v>40</v>
      </c>
      <c r="G143" s="23" t="s">
        <v>10203</v>
      </c>
      <c r="H143" s="23" t="s">
        <v>10204</v>
      </c>
      <c r="I143" s="23" t="s">
        <v>7188</v>
      </c>
      <c r="J143" s="23" t="s">
        <v>14</v>
      </c>
      <c r="K143" s="27" t="s">
        <v>404</v>
      </c>
      <c r="L143" s="23" t="s">
        <v>490</v>
      </c>
      <c r="M143" s="25" t="s">
        <v>18</v>
      </c>
      <c r="N143" s="23" t="s">
        <v>40</v>
      </c>
      <c r="O143" s="23" t="s">
        <v>387</v>
      </c>
      <c r="P143" s="23" t="s">
        <v>40</v>
      </c>
      <c r="Q143" s="23" t="s">
        <v>40</v>
      </c>
      <c r="R143" s="23" t="s">
        <v>257</v>
      </c>
      <c r="S143" s="23" t="s">
        <v>1710</v>
      </c>
      <c r="T143" s="23" t="s">
        <v>40</v>
      </c>
    </row>
    <row r="144" spans="1:20" x14ac:dyDescent="0.25">
      <c r="A144" s="23" t="s">
        <v>10205</v>
      </c>
      <c r="B144" s="23" t="s">
        <v>256</v>
      </c>
      <c r="C144" s="23" t="s">
        <v>10206</v>
      </c>
      <c r="D144" s="23" t="s">
        <v>10207</v>
      </c>
      <c r="E144" s="23" t="s">
        <v>10106</v>
      </c>
      <c r="F144" s="23" t="s">
        <v>40</v>
      </c>
      <c r="G144" s="23" t="s">
        <v>10208</v>
      </c>
      <c r="H144" s="23" t="s">
        <v>10209</v>
      </c>
      <c r="I144" s="23" t="s">
        <v>10210</v>
      </c>
      <c r="J144" s="23" t="s">
        <v>15</v>
      </c>
      <c r="K144" s="24" t="s">
        <v>386</v>
      </c>
      <c r="L144" s="23" t="s">
        <v>13</v>
      </c>
      <c r="M144" s="25" t="s">
        <v>18</v>
      </c>
      <c r="N144" s="23" t="s">
        <v>40</v>
      </c>
      <c r="O144" s="23" t="s">
        <v>387</v>
      </c>
      <c r="P144" s="23" t="s">
        <v>40</v>
      </c>
      <c r="Q144" s="23" t="s">
        <v>40</v>
      </c>
      <c r="R144" s="23" t="s">
        <v>257</v>
      </c>
      <c r="S144" s="23" t="s">
        <v>10211</v>
      </c>
      <c r="T144" s="23" t="s">
        <v>40</v>
      </c>
    </row>
    <row r="145" spans="1:20" x14ac:dyDescent="0.25">
      <c r="A145" s="23" t="s">
        <v>10212</v>
      </c>
      <c r="B145" s="23" t="s">
        <v>256</v>
      </c>
      <c r="C145" s="23" t="s">
        <v>9578</v>
      </c>
      <c r="D145" s="23" t="s">
        <v>10213</v>
      </c>
      <c r="E145" s="23" t="s">
        <v>10214</v>
      </c>
      <c r="F145" s="23" t="s">
        <v>10215</v>
      </c>
      <c r="G145" s="23" t="s">
        <v>10216</v>
      </c>
      <c r="H145" s="23" t="s">
        <v>10217</v>
      </c>
      <c r="I145" s="23" t="s">
        <v>10218</v>
      </c>
      <c r="J145" s="23" t="s">
        <v>14</v>
      </c>
      <c r="K145" s="26" t="s">
        <v>396</v>
      </c>
      <c r="L145" s="23" t="s">
        <v>13</v>
      </c>
      <c r="M145" s="25" t="s">
        <v>18</v>
      </c>
      <c r="N145" s="23" t="s">
        <v>40</v>
      </c>
      <c r="O145" s="23" t="s">
        <v>387</v>
      </c>
      <c r="P145" s="23" t="s">
        <v>40</v>
      </c>
      <c r="Q145" s="23" t="s">
        <v>40</v>
      </c>
      <c r="R145" s="23" t="s">
        <v>257</v>
      </c>
      <c r="S145" s="23" t="s">
        <v>1710</v>
      </c>
      <c r="T145" s="23" t="s">
        <v>40</v>
      </c>
    </row>
    <row r="146" spans="1:20" x14ac:dyDescent="0.25">
      <c r="A146" s="23" t="s">
        <v>10219</v>
      </c>
      <c r="B146" s="23" t="s">
        <v>256</v>
      </c>
      <c r="C146" s="23" t="s">
        <v>8572</v>
      </c>
      <c r="D146" s="23" t="s">
        <v>10220</v>
      </c>
      <c r="E146" s="23" t="s">
        <v>10221</v>
      </c>
      <c r="F146" s="23" t="s">
        <v>10222</v>
      </c>
      <c r="G146" s="23" t="s">
        <v>10223</v>
      </c>
      <c r="H146" s="23" t="s">
        <v>10224</v>
      </c>
      <c r="I146" s="23" t="s">
        <v>10225</v>
      </c>
      <c r="J146" s="23" t="s">
        <v>801</v>
      </c>
      <c r="K146" s="26" t="s">
        <v>396</v>
      </c>
      <c r="L146" s="23" t="s">
        <v>13</v>
      </c>
      <c r="M146" s="25" t="s">
        <v>18</v>
      </c>
      <c r="N146" s="23" t="s">
        <v>40</v>
      </c>
      <c r="O146" s="23" t="s">
        <v>387</v>
      </c>
      <c r="P146" s="23" t="s">
        <v>40</v>
      </c>
      <c r="Q146" s="23" t="s">
        <v>40</v>
      </c>
      <c r="R146" s="23" t="s">
        <v>257</v>
      </c>
      <c r="S146" s="23" t="s">
        <v>1710</v>
      </c>
      <c r="T146" s="23" t="s">
        <v>40</v>
      </c>
    </row>
    <row r="147" spans="1:20" x14ac:dyDescent="0.25">
      <c r="A147" s="23" t="s">
        <v>10226</v>
      </c>
      <c r="B147" s="23" t="s">
        <v>256</v>
      </c>
      <c r="C147" s="23" t="s">
        <v>8572</v>
      </c>
      <c r="D147" s="23" t="s">
        <v>10227</v>
      </c>
      <c r="E147" s="23" t="s">
        <v>10228</v>
      </c>
      <c r="F147" s="23" t="s">
        <v>40</v>
      </c>
      <c r="G147" s="23" t="s">
        <v>10223</v>
      </c>
      <c r="H147" s="23" t="s">
        <v>10229</v>
      </c>
      <c r="I147" s="23" t="s">
        <v>10230</v>
      </c>
      <c r="J147" s="23" t="s">
        <v>801</v>
      </c>
      <c r="K147" s="26" t="s">
        <v>396</v>
      </c>
      <c r="L147" s="23" t="s">
        <v>13</v>
      </c>
      <c r="M147" s="25" t="s">
        <v>18</v>
      </c>
      <c r="N147" s="23" t="s">
        <v>40</v>
      </c>
      <c r="O147" s="23" t="s">
        <v>387</v>
      </c>
      <c r="P147" s="23" t="s">
        <v>40</v>
      </c>
      <c r="Q147" s="23" t="s">
        <v>40</v>
      </c>
      <c r="R147" s="23" t="s">
        <v>257</v>
      </c>
      <c r="S147" s="23" t="s">
        <v>1710</v>
      </c>
      <c r="T147" s="23" t="s">
        <v>40</v>
      </c>
    </row>
    <row r="148" spans="1:20" x14ac:dyDescent="0.25">
      <c r="A148" s="23" t="s">
        <v>10231</v>
      </c>
      <c r="B148" s="23" t="s">
        <v>256</v>
      </c>
      <c r="C148" s="23" t="s">
        <v>8572</v>
      </c>
      <c r="D148" s="23" t="s">
        <v>10232</v>
      </c>
      <c r="E148" s="23" t="s">
        <v>10233</v>
      </c>
      <c r="F148" s="23" t="s">
        <v>40</v>
      </c>
      <c r="G148" s="23" t="s">
        <v>10234</v>
      </c>
      <c r="H148" s="23" t="s">
        <v>10235</v>
      </c>
      <c r="I148" s="23" t="s">
        <v>10236</v>
      </c>
      <c r="J148" s="23" t="s">
        <v>801</v>
      </c>
      <c r="K148" s="24" t="s">
        <v>386</v>
      </c>
      <c r="L148" s="23" t="s">
        <v>405</v>
      </c>
      <c r="M148" s="25" t="s">
        <v>18</v>
      </c>
      <c r="N148" s="23" t="s">
        <v>40</v>
      </c>
      <c r="O148" s="23" t="s">
        <v>387</v>
      </c>
      <c r="P148" s="23" t="s">
        <v>40</v>
      </c>
      <c r="Q148" s="23" t="s">
        <v>40</v>
      </c>
      <c r="R148" s="23" t="s">
        <v>257</v>
      </c>
      <c r="S148" s="23" t="s">
        <v>1710</v>
      </c>
      <c r="T148" s="23" t="s">
        <v>40</v>
      </c>
    </row>
    <row r="149" spans="1:20" x14ac:dyDescent="0.25">
      <c r="A149" s="23" t="s">
        <v>10237</v>
      </c>
      <c r="B149" s="23" t="s">
        <v>256</v>
      </c>
      <c r="C149" s="23" t="s">
        <v>10238</v>
      </c>
      <c r="D149" s="23" t="s">
        <v>10239</v>
      </c>
      <c r="E149" s="23" t="s">
        <v>10240</v>
      </c>
      <c r="F149" s="23" t="s">
        <v>40</v>
      </c>
      <c r="G149" s="23" t="s">
        <v>10234</v>
      </c>
      <c r="H149" s="23" t="s">
        <v>10241</v>
      </c>
      <c r="I149" s="23" t="s">
        <v>10242</v>
      </c>
      <c r="J149" s="23" t="s">
        <v>801</v>
      </c>
      <c r="K149" s="26" t="s">
        <v>396</v>
      </c>
      <c r="L149" s="23" t="s">
        <v>13</v>
      </c>
      <c r="M149" s="25" t="s">
        <v>18</v>
      </c>
      <c r="N149" s="23" t="s">
        <v>40</v>
      </c>
      <c r="O149" s="23" t="s">
        <v>387</v>
      </c>
      <c r="P149" s="23" t="s">
        <v>40</v>
      </c>
      <c r="Q149" s="23" t="s">
        <v>40</v>
      </c>
      <c r="R149" s="23" t="s">
        <v>257</v>
      </c>
      <c r="S149" s="23" t="s">
        <v>1710</v>
      </c>
      <c r="T149" s="23" t="s">
        <v>40</v>
      </c>
    </row>
    <row r="150" spans="1:20" x14ac:dyDescent="0.25">
      <c r="A150" s="23" t="s">
        <v>10243</v>
      </c>
      <c r="B150" s="23" t="s">
        <v>256</v>
      </c>
      <c r="C150" s="23" t="s">
        <v>10238</v>
      </c>
      <c r="D150" s="23" t="s">
        <v>10244</v>
      </c>
      <c r="E150" s="23" t="s">
        <v>10245</v>
      </c>
      <c r="F150" s="23" t="s">
        <v>40</v>
      </c>
      <c r="G150" s="23" t="s">
        <v>10234</v>
      </c>
      <c r="H150" s="23" t="s">
        <v>10246</v>
      </c>
      <c r="I150" s="23" t="s">
        <v>10247</v>
      </c>
      <c r="J150" s="23" t="s">
        <v>801</v>
      </c>
      <c r="K150" s="26" t="s">
        <v>396</v>
      </c>
      <c r="L150" s="23" t="s">
        <v>13</v>
      </c>
      <c r="M150" s="25" t="s">
        <v>18</v>
      </c>
      <c r="N150" s="23" t="s">
        <v>40</v>
      </c>
      <c r="O150" s="23" t="s">
        <v>387</v>
      </c>
      <c r="P150" s="23" t="s">
        <v>40</v>
      </c>
      <c r="Q150" s="23" t="s">
        <v>40</v>
      </c>
      <c r="R150" s="23" t="s">
        <v>257</v>
      </c>
      <c r="S150" s="23" t="s">
        <v>1710</v>
      </c>
      <c r="T150" s="23" t="s">
        <v>40</v>
      </c>
    </row>
    <row r="151" spans="1:20" x14ac:dyDescent="0.25">
      <c r="A151" s="23" t="s">
        <v>10248</v>
      </c>
      <c r="B151" s="23" t="s">
        <v>256</v>
      </c>
      <c r="C151" s="23" t="s">
        <v>9790</v>
      </c>
      <c r="D151" s="23" t="s">
        <v>10249</v>
      </c>
      <c r="E151" s="23" t="s">
        <v>10250</v>
      </c>
      <c r="F151" s="23" t="s">
        <v>40</v>
      </c>
      <c r="G151" s="23" t="s">
        <v>10223</v>
      </c>
      <c r="H151" s="23" t="s">
        <v>10251</v>
      </c>
      <c r="I151" s="23" t="s">
        <v>10252</v>
      </c>
      <c r="J151" s="23" t="s">
        <v>801</v>
      </c>
      <c r="K151" s="26" t="s">
        <v>396</v>
      </c>
      <c r="L151" s="23" t="s">
        <v>13</v>
      </c>
      <c r="M151" s="25" t="s">
        <v>18</v>
      </c>
      <c r="N151" s="23" t="s">
        <v>40</v>
      </c>
      <c r="O151" s="23" t="s">
        <v>387</v>
      </c>
      <c r="P151" s="23" t="s">
        <v>40</v>
      </c>
      <c r="Q151" s="23" t="s">
        <v>40</v>
      </c>
      <c r="R151" s="23" t="s">
        <v>257</v>
      </c>
      <c r="S151" s="23" t="s">
        <v>1710</v>
      </c>
      <c r="T151" s="23" t="s">
        <v>40</v>
      </c>
    </row>
    <row r="152" spans="1:20" x14ac:dyDescent="0.25">
      <c r="A152" s="23" t="s">
        <v>10253</v>
      </c>
      <c r="B152" s="23" t="s">
        <v>256</v>
      </c>
      <c r="C152" s="23" t="s">
        <v>10254</v>
      </c>
      <c r="D152" s="23" t="s">
        <v>10255</v>
      </c>
      <c r="E152" s="23" t="s">
        <v>10256</v>
      </c>
      <c r="F152" s="23" t="s">
        <v>40</v>
      </c>
      <c r="G152" s="23" t="s">
        <v>10257</v>
      </c>
      <c r="H152" s="23" t="s">
        <v>10258</v>
      </c>
      <c r="I152" s="23" t="s">
        <v>10259</v>
      </c>
      <c r="J152" s="23" t="s">
        <v>801</v>
      </c>
      <c r="K152" s="26" t="s">
        <v>396</v>
      </c>
      <c r="L152" s="23" t="s">
        <v>13</v>
      </c>
      <c r="M152" s="25" t="s">
        <v>18</v>
      </c>
      <c r="N152" s="23" t="s">
        <v>40</v>
      </c>
      <c r="O152" s="23" t="s">
        <v>387</v>
      </c>
      <c r="P152" s="23" t="s">
        <v>40</v>
      </c>
      <c r="Q152" s="23" t="s">
        <v>40</v>
      </c>
      <c r="R152" s="23" t="s">
        <v>257</v>
      </c>
      <c r="S152" s="23" t="s">
        <v>1710</v>
      </c>
      <c r="T152" s="23" t="s">
        <v>40</v>
      </c>
    </row>
    <row r="153" spans="1:20" x14ac:dyDescent="0.25">
      <c r="A153" s="23" t="s">
        <v>10260</v>
      </c>
      <c r="B153" s="23" t="s">
        <v>256</v>
      </c>
      <c r="C153" s="23" t="s">
        <v>10254</v>
      </c>
      <c r="D153" s="23" t="s">
        <v>10261</v>
      </c>
      <c r="E153" s="23" t="s">
        <v>10262</v>
      </c>
      <c r="F153" s="23" t="s">
        <v>40</v>
      </c>
      <c r="G153" s="23" t="s">
        <v>10263</v>
      </c>
      <c r="H153" s="23" t="s">
        <v>10264</v>
      </c>
      <c r="I153" s="23" t="s">
        <v>10265</v>
      </c>
      <c r="J153" s="23" t="s">
        <v>801</v>
      </c>
      <c r="K153" s="26" t="s">
        <v>396</v>
      </c>
      <c r="L153" s="23" t="s">
        <v>13</v>
      </c>
      <c r="M153" s="25" t="s">
        <v>18</v>
      </c>
      <c r="N153" s="23" t="s">
        <v>40</v>
      </c>
      <c r="O153" s="23" t="s">
        <v>387</v>
      </c>
      <c r="P153" s="23" t="s">
        <v>40</v>
      </c>
      <c r="Q153" s="23" t="s">
        <v>40</v>
      </c>
      <c r="R153" s="23" t="s">
        <v>257</v>
      </c>
      <c r="S153" s="23" t="s">
        <v>1710</v>
      </c>
      <c r="T153" s="23" t="s">
        <v>40</v>
      </c>
    </row>
    <row r="154" spans="1:20" x14ac:dyDescent="0.25">
      <c r="A154" s="23" t="s">
        <v>10266</v>
      </c>
      <c r="B154" s="23" t="s">
        <v>256</v>
      </c>
      <c r="C154" s="23" t="s">
        <v>10254</v>
      </c>
      <c r="D154" s="23" t="s">
        <v>10267</v>
      </c>
      <c r="E154" s="23" t="s">
        <v>10268</v>
      </c>
      <c r="F154" s="23" t="s">
        <v>40</v>
      </c>
      <c r="G154" s="23" t="s">
        <v>10269</v>
      </c>
      <c r="H154" s="23" t="s">
        <v>10270</v>
      </c>
      <c r="I154" s="23" t="s">
        <v>10271</v>
      </c>
      <c r="J154" s="23" t="s">
        <v>801</v>
      </c>
      <c r="K154" s="24" t="s">
        <v>386</v>
      </c>
      <c r="L154" s="23" t="s">
        <v>405</v>
      </c>
      <c r="M154" s="25" t="s">
        <v>18</v>
      </c>
      <c r="N154" s="23" t="s">
        <v>40</v>
      </c>
      <c r="O154" s="23" t="s">
        <v>387</v>
      </c>
      <c r="P154" s="23" t="s">
        <v>40</v>
      </c>
      <c r="Q154" s="23" t="s">
        <v>40</v>
      </c>
      <c r="R154" s="23" t="s">
        <v>257</v>
      </c>
      <c r="S154" s="23" t="s">
        <v>1710</v>
      </c>
      <c r="T154" s="23" t="s">
        <v>40</v>
      </c>
    </row>
    <row r="155" spans="1:20" x14ac:dyDescent="0.25">
      <c r="A155" s="23" t="s">
        <v>10272</v>
      </c>
      <c r="B155" s="23" t="s">
        <v>256</v>
      </c>
      <c r="C155" s="23" t="s">
        <v>10254</v>
      </c>
      <c r="D155" s="23" t="s">
        <v>10273</v>
      </c>
      <c r="E155" s="23" t="s">
        <v>10274</v>
      </c>
      <c r="F155" s="23" t="s">
        <v>40</v>
      </c>
      <c r="G155" s="23" t="s">
        <v>10275</v>
      </c>
      <c r="H155" s="23" t="s">
        <v>10276</v>
      </c>
      <c r="I155" s="23" t="s">
        <v>10277</v>
      </c>
      <c r="J155" s="23" t="s">
        <v>801</v>
      </c>
      <c r="K155" s="26" t="s">
        <v>396</v>
      </c>
      <c r="L155" s="23" t="s">
        <v>13</v>
      </c>
      <c r="M155" s="25" t="s">
        <v>18</v>
      </c>
      <c r="N155" s="23" t="s">
        <v>40</v>
      </c>
      <c r="O155" s="23" t="s">
        <v>387</v>
      </c>
      <c r="P155" s="23" t="s">
        <v>40</v>
      </c>
      <c r="Q155" s="23" t="s">
        <v>40</v>
      </c>
      <c r="R155" s="23" t="s">
        <v>257</v>
      </c>
      <c r="S155" s="23" t="s">
        <v>1710</v>
      </c>
      <c r="T155" s="23" t="s">
        <v>40</v>
      </c>
    </row>
    <row r="156" spans="1:20" x14ac:dyDescent="0.25">
      <c r="A156" s="23" t="s">
        <v>10278</v>
      </c>
      <c r="B156" s="23" t="s">
        <v>256</v>
      </c>
      <c r="C156" s="23" t="s">
        <v>10279</v>
      </c>
      <c r="D156" s="23" t="s">
        <v>10280</v>
      </c>
      <c r="E156" s="23" t="s">
        <v>10281</v>
      </c>
      <c r="F156" s="23" t="s">
        <v>40</v>
      </c>
      <c r="G156" s="23" t="s">
        <v>10234</v>
      </c>
      <c r="H156" s="23" t="s">
        <v>10282</v>
      </c>
      <c r="I156" s="23" t="s">
        <v>10283</v>
      </c>
      <c r="J156" s="23" t="s">
        <v>801</v>
      </c>
      <c r="K156" s="24" t="s">
        <v>386</v>
      </c>
      <c r="L156" s="23" t="s">
        <v>405</v>
      </c>
      <c r="M156" s="25" t="s">
        <v>18</v>
      </c>
      <c r="N156" s="23" t="s">
        <v>40</v>
      </c>
      <c r="O156" s="23" t="s">
        <v>387</v>
      </c>
      <c r="P156" s="23" t="s">
        <v>40</v>
      </c>
      <c r="Q156" s="23" t="s">
        <v>40</v>
      </c>
      <c r="R156" s="23" t="s">
        <v>257</v>
      </c>
      <c r="S156" s="23" t="s">
        <v>1710</v>
      </c>
      <c r="T156" s="23" t="s">
        <v>40</v>
      </c>
    </row>
    <row r="157" spans="1:20" x14ac:dyDescent="0.25">
      <c r="A157" s="23" t="s">
        <v>10284</v>
      </c>
      <c r="B157" s="23" t="s">
        <v>256</v>
      </c>
      <c r="C157" s="23" t="s">
        <v>10285</v>
      </c>
      <c r="D157" s="23" t="s">
        <v>10286</v>
      </c>
      <c r="E157" s="23" t="s">
        <v>10287</v>
      </c>
      <c r="F157" s="23" t="s">
        <v>40</v>
      </c>
      <c r="G157" s="23" t="s">
        <v>10288</v>
      </c>
      <c r="H157" s="23" t="s">
        <v>10289</v>
      </c>
      <c r="I157" s="23" t="s">
        <v>10290</v>
      </c>
      <c r="J157" s="23" t="s">
        <v>801</v>
      </c>
      <c r="K157" s="24" t="s">
        <v>386</v>
      </c>
      <c r="L157" s="23" t="s">
        <v>405</v>
      </c>
      <c r="M157" s="25" t="s">
        <v>18</v>
      </c>
      <c r="N157" s="23" t="s">
        <v>40</v>
      </c>
      <c r="O157" s="23" t="s">
        <v>387</v>
      </c>
      <c r="P157" s="23" t="s">
        <v>40</v>
      </c>
      <c r="Q157" s="23" t="s">
        <v>40</v>
      </c>
      <c r="R157" s="23" t="s">
        <v>257</v>
      </c>
      <c r="S157" s="23" t="s">
        <v>1710</v>
      </c>
      <c r="T157" s="23" t="s">
        <v>40</v>
      </c>
    </row>
    <row r="158" spans="1:20" x14ac:dyDescent="0.25">
      <c r="A158" s="23" t="s">
        <v>10291</v>
      </c>
      <c r="B158" s="23" t="s">
        <v>256</v>
      </c>
      <c r="C158" s="23" t="s">
        <v>9161</v>
      </c>
      <c r="D158" s="23" t="s">
        <v>10292</v>
      </c>
      <c r="E158" s="23" t="s">
        <v>10293</v>
      </c>
      <c r="F158" s="23" t="s">
        <v>40</v>
      </c>
      <c r="G158" s="23" t="s">
        <v>10294</v>
      </c>
      <c r="H158" s="23" t="s">
        <v>10295</v>
      </c>
      <c r="I158" s="23" t="s">
        <v>10296</v>
      </c>
      <c r="J158" s="23" t="s">
        <v>801</v>
      </c>
      <c r="K158" s="24" t="s">
        <v>386</v>
      </c>
      <c r="L158" s="23" t="s">
        <v>405</v>
      </c>
      <c r="M158" s="33" t="s">
        <v>20</v>
      </c>
      <c r="N158" s="23" t="s">
        <v>40</v>
      </c>
      <c r="O158" s="23" t="s">
        <v>387</v>
      </c>
      <c r="P158" s="23" t="s">
        <v>40</v>
      </c>
      <c r="Q158" s="23" t="s">
        <v>40</v>
      </c>
      <c r="R158" s="23" t="s">
        <v>257</v>
      </c>
      <c r="S158" s="23" t="s">
        <v>10169</v>
      </c>
      <c r="T158" s="23" t="s">
        <v>40</v>
      </c>
    </row>
    <row r="159" spans="1:20" x14ac:dyDescent="0.25">
      <c r="A159" s="23" t="s">
        <v>10297</v>
      </c>
      <c r="B159" s="23" t="s">
        <v>256</v>
      </c>
      <c r="C159" s="23" t="s">
        <v>10298</v>
      </c>
      <c r="D159" s="23" t="s">
        <v>10299</v>
      </c>
      <c r="E159" s="23" t="s">
        <v>10300</v>
      </c>
      <c r="F159" s="23" t="s">
        <v>40</v>
      </c>
      <c r="G159" s="23" t="s">
        <v>10301</v>
      </c>
      <c r="H159" s="23" t="s">
        <v>10302</v>
      </c>
      <c r="I159" s="23" t="s">
        <v>10303</v>
      </c>
      <c r="J159" s="23" t="s">
        <v>14</v>
      </c>
      <c r="K159" s="26" t="s">
        <v>396</v>
      </c>
      <c r="L159" s="23" t="s">
        <v>13</v>
      </c>
      <c r="M159" s="33" t="s">
        <v>20</v>
      </c>
      <c r="N159" s="23" t="s">
        <v>40</v>
      </c>
      <c r="O159" s="23" t="s">
        <v>387</v>
      </c>
      <c r="P159" s="23" t="s">
        <v>40</v>
      </c>
      <c r="Q159" s="23" t="s">
        <v>40</v>
      </c>
      <c r="R159" s="23" t="s">
        <v>257</v>
      </c>
      <c r="S159" s="23" t="s">
        <v>10169</v>
      </c>
      <c r="T159" s="23" t="s">
        <v>40</v>
      </c>
    </row>
    <row r="160" spans="1:20" x14ac:dyDescent="0.25">
      <c r="A160" s="23" t="s">
        <v>10304</v>
      </c>
      <c r="B160" s="23" t="s">
        <v>256</v>
      </c>
      <c r="C160" s="23" t="s">
        <v>10298</v>
      </c>
      <c r="D160" s="23" t="s">
        <v>10305</v>
      </c>
      <c r="E160" s="23" t="s">
        <v>10306</v>
      </c>
      <c r="F160" s="23" t="s">
        <v>40</v>
      </c>
      <c r="G160" s="23" t="s">
        <v>10307</v>
      </c>
      <c r="H160" s="23" t="s">
        <v>10308</v>
      </c>
      <c r="I160" s="23" t="s">
        <v>10309</v>
      </c>
      <c r="J160" s="23" t="s">
        <v>15</v>
      </c>
      <c r="K160" s="24" t="s">
        <v>386</v>
      </c>
      <c r="L160" s="23" t="s">
        <v>13</v>
      </c>
      <c r="M160" s="33" t="s">
        <v>20</v>
      </c>
      <c r="N160" s="23" t="s">
        <v>40</v>
      </c>
      <c r="O160" s="23" t="s">
        <v>387</v>
      </c>
      <c r="P160" s="23" t="s">
        <v>40</v>
      </c>
      <c r="Q160" s="23" t="s">
        <v>40</v>
      </c>
      <c r="R160" s="23" t="s">
        <v>257</v>
      </c>
      <c r="S160" s="23" t="s">
        <v>10169</v>
      </c>
      <c r="T160" s="23" t="s">
        <v>40</v>
      </c>
    </row>
    <row r="161" spans="1:20" x14ac:dyDescent="0.25">
      <c r="A161" s="23" t="s">
        <v>10310</v>
      </c>
      <c r="B161" s="23" t="s">
        <v>256</v>
      </c>
      <c r="C161" s="23" t="s">
        <v>9877</v>
      </c>
      <c r="D161" s="23" t="s">
        <v>10311</v>
      </c>
      <c r="E161" s="23" t="s">
        <v>10312</v>
      </c>
      <c r="F161" s="23" t="s">
        <v>40</v>
      </c>
      <c r="G161" s="23" t="s">
        <v>10313</v>
      </c>
      <c r="H161" s="23" t="s">
        <v>10314</v>
      </c>
      <c r="I161" s="23" t="s">
        <v>10315</v>
      </c>
      <c r="J161" s="23" t="s">
        <v>14</v>
      </c>
      <c r="K161" s="27" t="s">
        <v>404</v>
      </c>
      <c r="L161" s="23" t="s">
        <v>490</v>
      </c>
      <c r="M161" s="25" t="s">
        <v>18</v>
      </c>
      <c r="N161" s="23" t="s">
        <v>40</v>
      </c>
      <c r="O161" s="23" t="s">
        <v>387</v>
      </c>
      <c r="P161" s="23" t="s">
        <v>40</v>
      </c>
      <c r="Q161" s="23" t="s">
        <v>40</v>
      </c>
      <c r="R161" s="23" t="s">
        <v>257</v>
      </c>
      <c r="S161" s="23" t="s">
        <v>1710</v>
      </c>
      <c r="T161" s="23" t="s">
        <v>40</v>
      </c>
    </row>
    <row r="162" spans="1:20" x14ac:dyDescent="0.25">
      <c r="A162" s="23" t="s">
        <v>10316</v>
      </c>
      <c r="B162" s="23" t="s">
        <v>256</v>
      </c>
      <c r="C162" s="23" t="s">
        <v>10317</v>
      </c>
      <c r="D162" s="23" t="s">
        <v>10318</v>
      </c>
      <c r="E162" s="23" t="s">
        <v>10319</v>
      </c>
      <c r="F162" s="23" t="s">
        <v>40</v>
      </c>
      <c r="G162" s="23" t="s">
        <v>10320</v>
      </c>
      <c r="H162" s="23" t="s">
        <v>10321</v>
      </c>
      <c r="I162" s="23" t="s">
        <v>10322</v>
      </c>
      <c r="J162" s="23" t="s">
        <v>801</v>
      </c>
      <c r="K162" s="26" t="s">
        <v>396</v>
      </c>
      <c r="L162" s="23" t="s">
        <v>13</v>
      </c>
      <c r="M162" s="25" t="s">
        <v>18</v>
      </c>
      <c r="N162" s="23" t="s">
        <v>40</v>
      </c>
      <c r="O162" s="23" t="s">
        <v>387</v>
      </c>
      <c r="P162" s="23" t="s">
        <v>40</v>
      </c>
      <c r="Q162" s="23" t="s">
        <v>40</v>
      </c>
      <c r="R162" s="23" t="s">
        <v>257</v>
      </c>
      <c r="S162" s="23" t="s">
        <v>1710</v>
      </c>
      <c r="T162" s="23" t="s">
        <v>40</v>
      </c>
    </row>
    <row r="163" spans="1:20" x14ac:dyDescent="0.25">
      <c r="A163" s="23" t="s">
        <v>10323</v>
      </c>
      <c r="B163" s="23" t="s">
        <v>256</v>
      </c>
      <c r="C163" s="23" t="s">
        <v>6700</v>
      </c>
      <c r="D163" s="23" t="s">
        <v>10324</v>
      </c>
      <c r="E163" s="23" t="s">
        <v>9402</v>
      </c>
      <c r="F163" s="23" t="s">
        <v>40</v>
      </c>
      <c r="G163" s="23" t="s">
        <v>10325</v>
      </c>
      <c r="H163" s="23" t="s">
        <v>10326</v>
      </c>
      <c r="I163" s="23" t="s">
        <v>9540</v>
      </c>
      <c r="J163" s="23" t="s">
        <v>525</v>
      </c>
      <c r="K163" s="24" t="s">
        <v>386</v>
      </c>
      <c r="L163" s="23" t="s">
        <v>13</v>
      </c>
      <c r="M163" s="25" t="s">
        <v>18</v>
      </c>
      <c r="N163" s="23" t="s">
        <v>40</v>
      </c>
      <c r="O163" s="23" t="s">
        <v>387</v>
      </c>
      <c r="P163" s="23" t="s">
        <v>40</v>
      </c>
      <c r="Q163" s="23" t="s">
        <v>40</v>
      </c>
      <c r="R163" s="23" t="s">
        <v>257</v>
      </c>
      <c r="S163" s="23" t="s">
        <v>1710</v>
      </c>
      <c r="T163" s="23" t="s">
        <v>40</v>
      </c>
    </row>
    <row r="164" spans="1:20" x14ac:dyDescent="0.25">
      <c r="A164" s="23" t="s">
        <v>10327</v>
      </c>
      <c r="B164" s="23" t="s">
        <v>258</v>
      </c>
      <c r="C164" s="23" t="s">
        <v>944</v>
      </c>
      <c r="D164" s="23" t="s">
        <v>10328</v>
      </c>
      <c r="E164" s="23" t="s">
        <v>3835</v>
      </c>
      <c r="F164" s="23" t="s">
        <v>10329</v>
      </c>
      <c r="G164" s="23" t="s">
        <v>10330</v>
      </c>
      <c r="H164" s="23" t="s">
        <v>10331</v>
      </c>
      <c r="I164" s="23" t="s">
        <v>10332</v>
      </c>
      <c r="J164" s="23" t="s">
        <v>385</v>
      </c>
      <c r="K164" s="24" t="s">
        <v>386</v>
      </c>
      <c r="L164" s="23" t="s">
        <v>13</v>
      </c>
      <c r="M164" s="31" t="s">
        <v>17</v>
      </c>
      <c r="N164" s="23" t="s">
        <v>10333</v>
      </c>
      <c r="O164" s="29" t="s">
        <v>87</v>
      </c>
      <c r="P164" s="23" t="s">
        <v>40</v>
      </c>
      <c r="Q164" s="23" t="s">
        <v>40</v>
      </c>
      <c r="R164" s="23" t="s">
        <v>259</v>
      </c>
      <c r="S164" s="23" t="s">
        <v>40</v>
      </c>
      <c r="T164" s="23" t="s">
        <v>40</v>
      </c>
    </row>
    <row r="165" spans="1:20" x14ac:dyDescent="0.25">
      <c r="A165" s="23" t="s">
        <v>10334</v>
      </c>
      <c r="B165" s="23" t="s">
        <v>258</v>
      </c>
      <c r="C165" s="23" t="s">
        <v>951</v>
      </c>
      <c r="D165" s="23" t="s">
        <v>10335</v>
      </c>
      <c r="E165" s="23" t="s">
        <v>10336</v>
      </c>
      <c r="F165" s="23" t="s">
        <v>40</v>
      </c>
      <c r="G165" s="23" t="s">
        <v>10337</v>
      </c>
      <c r="H165" s="23" t="s">
        <v>10338</v>
      </c>
      <c r="I165" s="23" t="s">
        <v>10339</v>
      </c>
      <c r="J165" s="23" t="s">
        <v>14</v>
      </c>
      <c r="K165" s="24" t="s">
        <v>386</v>
      </c>
      <c r="L165" s="23" t="s">
        <v>405</v>
      </c>
      <c r="M165" s="25" t="s">
        <v>18</v>
      </c>
      <c r="N165" s="23" t="s">
        <v>40</v>
      </c>
      <c r="O165" s="23" t="s">
        <v>387</v>
      </c>
      <c r="P165" s="23" t="s">
        <v>40</v>
      </c>
      <c r="Q165" s="23" t="s">
        <v>40</v>
      </c>
      <c r="R165" s="23" t="s">
        <v>259</v>
      </c>
      <c r="S165" s="23" t="s">
        <v>1710</v>
      </c>
      <c r="T165" s="23" t="s">
        <v>40</v>
      </c>
    </row>
    <row r="166" spans="1:20" x14ac:dyDescent="0.25">
      <c r="A166" s="23" t="s">
        <v>10340</v>
      </c>
      <c r="B166" s="23" t="s">
        <v>258</v>
      </c>
      <c r="C166" s="23" t="s">
        <v>951</v>
      </c>
      <c r="D166" s="23" t="s">
        <v>10341</v>
      </c>
      <c r="E166" s="23" t="s">
        <v>3835</v>
      </c>
      <c r="F166" s="23" t="s">
        <v>40</v>
      </c>
      <c r="G166" s="23" t="s">
        <v>10342</v>
      </c>
      <c r="H166" s="23" t="s">
        <v>10343</v>
      </c>
      <c r="I166" s="23" t="s">
        <v>10344</v>
      </c>
      <c r="J166" s="23" t="s">
        <v>385</v>
      </c>
      <c r="K166" s="32" t="s">
        <v>747</v>
      </c>
      <c r="L166" s="23" t="s">
        <v>490</v>
      </c>
      <c r="M166" s="25" t="s">
        <v>18</v>
      </c>
      <c r="N166" s="23" t="s">
        <v>40</v>
      </c>
      <c r="O166" s="23" t="s">
        <v>387</v>
      </c>
      <c r="P166" s="23" t="s">
        <v>40</v>
      </c>
      <c r="Q166" s="23" t="s">
        <v>40</v>
      </c>
      <c r="R166" s="23" t="s">
        <v>259</v>
      </c>
      <c r="S166" s="23" t="s">
        <v>1710</v>
      </c>
      <c r="T166" s="23" t="s">
        <v>40</v>
      </c>
    </row>
    <row r="167" spans="1:20" x14ac:dyDescent="0.25">
      <c r="A167" s="23" t="s">
        <v>10345</v>
      </c>
      <c r="B167" s="23" t="s">
        <v>258</v>
      </c>
      <c r="C167" s="23" t="s">
        <v>10346</v>
      </c>
      <c r="D167" s="23" t="s">
        <v>10347</v>
      </c>
      <c r="E167" s="23" t="s">
        <v>10348</v>
      </c>
      <c r="F167" s="23" t="s">
        <v>40</v>
      </c>
      <c r="G167" s="23" t="s">
        <v>10349</v>
      </c>
      <c r="H167" s="23" t="s">
        <v>10350</v>
      </c>
      <c r="I167" s="23" t="s">
        <v>10351</v>
      </c>
      <c r="J167" s="23" t="s">
        <v>14</v>
      </c>
      <c r="K167" s="26" t="s">
        <v>396</v>
      </c>
      <c r="L167" s="23" t="s">
        <v>13</v>
      </c>
      <c r="M167" s="25" t="s">
        <v>18</v>
      </c>
      <c r="N167" s="23" t="s">
        <v>40</v>
      </c>
      <c r="O167" s="23" t="s">
        <v>387</v>
      </c>
      <c r="P167" s="23" t="s">
        <v>40</v>
      </c>
      <c r="Q167" s="23" t="s">
        <v>40</v>
      </c>
      <c r="R167" s="23" t="s">
        <v>259</v>
      </c>
      <c r="S167" s="23" t="s">
        <v>1710</v>
      </c>
      <c r="T167" s="23" t="s">
        <v>40</v>
      </c>
    </row>
    <row r="168" spans="1:20" x14ac:dyDescent="0.25">
      <c r="A168" s="23" t="s">
        <v>10352</v>
      </c>
      <c r="B168" s="23" t="s">
        <v>258</v>
      </c>
      <c r="C168" s="23" t="s">
        <v>10346</v>
      </c>
      <c r="D168" s="23" t="s">
        <v>10353</v>
      </c>
      <c r="E168" s="23" t="s">
        <v>10354</v>
      </c>
      <c r="F168" s="23" t="s">
        <v>40</v>
      </c>
      <c r="G168" s="23" t="s">
        <v>10355</v>
      </c>
      <c r="H168" s="23" t="s">
        <v>10356</v>
      </c>
      <c r="I168" s="23" t="s">
        <v>10357</v>
      </c>
      <c r="J168" s="23" t="s">
        <v>385</v>
      </c>
      <c r="K168" s="32" t="s">
        <v>747</v>
      </c>
      <c r="L168" s="23" t="s">
        <v>490</v>
      </c>
      <c r="M168" s="25" t="s">
        <v>18</v>
      </c>
      <c r="N168" s="23" t="s">
        <v>40</v>
      </c>
      <c r="O168" s="23" t="s">
        <v>387</v>
      </c>
      <c r="P168" s="23" t="s">
        <v>40</v>
      </c>
      <c r="Q168" s="23" t="s">
        <v>40</v>
      </c>
      <c r="R168" s="23" t="s">
        <v>259</v>
      </c>
      <c r="S168" s="23" t="s">
        <v>1710</v>
      </c>
      <c r="T168" s="23" t="s">
        <v>40</v>
      </c>
    </row>
    <row r="169" spans="1:20" x14ac:dyDescent="0.25">
      <c r="A169" s="23" t="s">
        <v>10358</v>
      </c>
      <c r="B169" s="23" t="s">
        <v>258</v>
      </c>
      <c r="C169" s="23" t="s">
        <v>10043</v>
      </c>
      <c r="D169" s="23" t="s">
        <v>10359</v>
      </c>
      <c r="E169" s="23" t="s">
        <v>10348</v>
      </c>
      <c r="F169" s="23" t="s">
        <v>40</v>
      </c>
      <c r="G169" s="23" t="s">
        <v>10360</v>
      </c>
      <c r="H169" s="23" t="s">
        <v>10361</v>
      </c>
      <c r="I169" s="23" t="s">
        <v>10362</v>
      </c>
      <c r="J169" s="23" t="s">
        <v>14</v>
      </c>
      <c r="K169" s="24" t="s">
        <v>386</v>
      </c>
      <c r="L169" s="23" t="s">
        <v>405</v>
      </c>
      <c r="M169" s="25" t="s">
        <v>18</v>
      </c>
      <c r="N169" s="23" t="s">
        <v>40</v>
      </c>
      <c r="O169" s="23" t="s">
        <v>387</v>
      </c>
      <c r="P169" s="23" t="s">
        <v>40</v>
      </c>
      <c r="Q169" s="23" t="s">
        <v>40</v>
      </c>
      <c r="R169" s="23" t="s">
        <v>259</v>
      </c>
      <c r="S169" s="23" t="s">
        <v>1710</v>
      </c>
      <c r="T169" s="23" t="s">
        <v>40</v>
      </c>
    </row>
    <row r="170" spans="1:20" x14ac:dyDescent="0.25">
      <c r="A170" s="23" t="s">
        <v>10363</v>
      </c>
      <c r="B170" s="23" t="s">
        <v>258</v>
      </c>
      <c r="C170" s="23" t="s">
        <v>10364</v>
      </c>
      <c r="D170" s="23" t="s">
        <v>10365</v>
      </c>
      <c r="E170" s="23" t="s">
        <v>10312</v>
      </c>
      <c r="F170" s="23" t="s">
        <v>40</v>
      </c>
      <c r="G170" s="23" t="s">
        <v>10366</v>
      </c>
      <c r="H170" s="23" t="s">
        <v>10367</v>
      </c>
      <c r="I170" s="23" t="s">
        <v>10368</v>
      </c>
      <c r="J170" s="23" t="s">
        <v>525</v>
      </c>
      <c r="K170" s="24" t="s">
        <v>386</v>
      </c>
      <c r="L170" s="23" t="s">
        <v>13</v>
      </c>
      <c r="M170" s="25" t="s">
        <v>18</v>
      </c>
      <c r="N170" s="23" t="s">
        <v>40</v>
      </c>
      <c r="O170" s="23" t="s">
        <v>387</v>
      </c>
      <c r="P170" s="23" t="s">
        <v>40</v>
      </c>
      <c r="Q170" s="23" t="s">
        <v>40</v>
      </c>
      <c r="R170" s="23" t="s">
        <v>259</v>
      </c>
      <c r="S170" s="23" t="s">
        <v>1710</v>
      </c>
      <c r="T170" s="23" t="s">
        <v>40</v>
      </c>
    </row>
    <row r="171" spans="1:20" x14ac:dyDescent="0.25">
      <c r="A171" s="23" t="s">
        <v>10369</v>
      </c>
      <c r="B171" s="23" t="s">
        <v>258</v>
      </c>
      <c r="C171" s="23" t="s">
        <v>6381</v>
      </c>
      <c r="D171" s="23" t="s">
        <v>10370</v>
      </c>
      <c r="E171" s="23" t="s">
        <v>10371</v>
      </c>
      <c r="F171" s="23" t="s">
        <v>40</v>
      </c>
      <c r="G171" s="23" t="s">
        <v>10372</v>
      </c>
      <c r="H171" s="23" t="s">
        <v>10373</v>
      </c>
      <c r="I171" s="23" t="s">
        <v>10374</v>
      </c>
      <c r="J171" s="23" t="s">
        <v>525</v>
      </c>
      <c r="K171" s="24" t="s">
        <v>386</v>
      </c>
      <c r="L171" s="23" t="s">
        <v>13</v>
      </c>
      <c r="M171" s="25" t="s">
        <v>18</v>
      </c>
      <c r="N171" s="23" t="s">
        <v>40</v>
      </c>
      <c r="O171" s="23" t="s">
        <v>387</v>
      </c>
      <c r="P171" s="23" t="s">
        <v>40</v>
      </c>
      <c r="Q171" s="23" t="s">
        <v>40</v>
      </c>
      <c r="R171" s="23" t="s">
        <v>259</v>
      </c>
      <c r="S171" s="23" t="s">
        <v>1710</v>
      </c>
      <c r="T171" s="23" t="s">
        <v>40</v>
      </c>
    </row>
    <row r="172" spans="1:20" x14ac:dyDescent="0.25">
      <c r="A172" s="23" t="s">
        <v>10375</v>
      </c>
      <c r="B172" s="23" t="s">
        <v>258</v>
      </c>
      <c r="C172" s="23" t="s">
        <v>9578</v>
      </c>
      <c r="D172" s="23" t="s">
        <v>10376</v>
      </c>
      <c r="E172" s="23" t="s">
        <v>10348</v>
      </c>
      <c r="F172" s="23" t="s">
        <v>40</v>
      </c>
      <c r="G172" s="23" t="s">
        <v>10377</v>
      </c>
      <c r="H172" s="23" t="s">
        <v>10378</v>
      </c>
      <c r="I172" s="23" t="s">
        <v>10379</v>
      </c>
      <c r="J172" s="23" t="s">
        <v>14</v>
      </c>
      <c r="K172" s="26" t="s">
        <v>396</v>
      </c>
      <c r="L172" s="23" t="s">
        <v>13</v>
      </c>
      <c r="M172" s="25" t="s">
        <v>18</v>
      </c>
      <c r="N172" s="23" t="s">
        <v>40</v>
      </c>
      <c r="O172" s="23" t="s">
        <v>387</v>
      </c>
      <c r="P172" s="23" t="s">
        <v>40</v>
      </c>
      <c r="Q172" s="23" t="s">
        <v>40</v>
      </c>
      <c r="R172" s="23" t="s">
        <v>259</v>
      </c>
      <c r="S172" s="23" t="s">
        <v>1710</v>
      </c>
      <c r="T172" s="23" t="s">
        <v>40</v>
      </c>
    </row>
    <row r="173" spans="1:20" x14ac:dyDescent="0.25">
      <c r="A173" s="23" t="s">
        <v>10380</v>
      </c>
      <c r="B173" s="23" t="s">
        <v>258</v>
      </c>
      <c r="C173" s="23" t="s">
        <v>2291</v>
      </c>
      <c r="D173" s="23" t="s">
        <v>10381</v>
      </c>
      <c r="E173" s="23" t="s">
        <v>10382</v>
      </c>
      <c r="F173" s="23" t="s">
        <v>40</v>
      </c>
      <c r="G173" s="23" t="s">
        <v>10383</v>
      </c>
      <c r="H173" s="23" t="s">
        <v>10384</v>
      </c>
      <c r="I173" s="23" t="s">
        <v>10385</v>
      </c>
      <c r="J173" s="23" t="s">
        <v>801</v>
      </c>
      <c r="K173" s="27" t="s">
        <v>404</v>
      </c>
      <c r="L173" s="23" t="s">
        <v>490</v>
      </c>
      <c r="M173" s="33" t="s">
        <v>20</v>
      </c>
      <c r="N173" s="23" t="s">
        <v>40</v>
      </c>
      <c r="O173" s="23" t="s">
        <v>387</v>
      </c>
      <c r="P173" s="23" t="s">
        <v>40</v>
      </c>
      <c r="Q173" s="23" t="s">
        <v>40</v>
      </c>
      <c r="R173" s="23" t="s">
        <v>259</v>
      </c>
      <c r="S173" s="23" t="s">
        <v>10169</v>
      </c>
      <c r="T173" s="23" t="s">
        <v>40</v>
      </c>
    </row>
    <row r="174" spans="1:20" x14ac:dyDescent="0.25">
      <c r="A174" s="23" t="s">
        <v>10386</v>
      </c>
      <c r="B174" s="23" t="s">
        <v>260</v>
      </c>
      <c r="C174" s="23" t="s">
        <v>944</v>
      </c>
      <c r="D174" s="23" t="s">
        <v>10387</v>
      </c>
      <c r="E174" s="23" t="s">
        <v>3835</v>
      </c>
      <c r="F174" s="23" t="s">
        <v>10388</v>
      </c>
      <c r="G174" s="23" t="s">
        <v>10389</v>
      </c>
      <c r="H174" s="23" t="s">
        <v>10390</v>
      </c>
      <c r="I174" s="23" t="s">
        <v>10391</v>
      </c>
      <c r="J174" s="23" t="s">
        <v>385</v>
      </c>
      <c r="K174" s="24" t="s">
        <v>386</v>
      </c>
      <c r="L174" s="23" t="s">
        <v>13</v>
      </c>
      <c r="M174" s="31" t="s">
        <v>17</v>
      </c>
      <c r="N174" s="23" t="s">
        <v>10392</v>
      </c>
      <c r="O174" s="29" t="s">
        <v>87</v>
      </c>
      <c r="P174" s="23" t="s">
        <v>40</v>
      </c>
      <c r="Q174" s="23" t="s">
        <v>40</v>
      </c>
      <c r="R174" s="23" t="s">
        <v>261</v>
      </c>
      <c r="S174" s="23" t="s">
        <v>40</v>
      </c>
      <c r="T174" s="23" t="s">
        <v>40</v>
      </c>
    </row>
    <row r="175" spans="1:20" x14ac:dyDescent="0.25">
      <c r="A175" s="23" t="s">
        <v>10393</v>
      </c>
      <c r="B175" s="23" t="s">
        <v>260</v>
      </c>
      <c r="C175" s="23" t="s">
        <v>2222</v>
      </c>
      <c r="D175" s="23" t="s">
        <v>10394</v>
      </c>
      <c r="E175" s="23" t="s">
        <v>10395</v>
      </c>
      <c r="F175" s="23" t="s">
        <v>40</v>
      </c>
      <c r="G175" s="23" t="s">
        <v>10396</v>
      </c>
      <c r="H175" s="23" t="s">
        <v>10397</v>
      </c>
      <c r="I175" s="23" t="s">
        <v>10398</v>
      </c>
      <c r="J175" s="23" t="s">
        <v>14</v>
      </c>
      <c r="K175" s="26" t="s">
        <v>396</v>
      </c>
      <c r="L175" s="23" t="s">
        <v>13</v>
      </c>
      <c r="M175" s="33" t="s">
        <v>20</v>
      </c>
      <c r="N175" s="23" t="s">
        <v>40</v>
      </c>
      <c r="O175" s="23" t="s">
        <v>387</v>
      </c>
      <c r="P175" s="23" t="s">
        <v>40</v>
      </c>
      <c r="Q175" s="23" t="s">
        <v>40</v>
      </c>
      <c r="R175" s="23" t="s">
        <v>261</v>
      </c>
      <c r="S175" s="23" t="s">
        <v>10169</v>
      </c>
      <c r="T175" s="23" t="s">
        <v>40</v>
      </c>
    </row>
    <row r="176" spans="1:20" x14ac:dyDescent="0.25">
      <c r="A176" s="23" t="s">
        <v>10399</v>
      </c>
      <c r="B176" s="23" t="s">
        <v>260</v>
      </c>
      <c r="C176" s="23" t="s">
        <v>2222</v>
      </c>
      <c r="D176" s="23" t="s">
        <v>10400</v>
      </c>
      <c r="E176" s="23" t="s">
        <v>10312</v>
      </c>
      <c r="F176" s="23" t="s">
        <v>40</v>
      </c>
      <c r="G176" s="23" t="s">
        <v>10401</v>
      </c>
      <c r="H176" s="23" t="s">
        <v>10402</v>
      </c>
      <c r="I176" s="23" t="s">
        <v>10403</v>
      </c>
      <c r="J176" s="23" t="s">
        <v>15</v>
      </c>
      <c r="K176" s="24" t="s">
        <v>386</v>
      </c>
      <c r="L176" s="23" t="s">
        <v>13</v>
      </c>
      <c r="M176" s="25" t="s">
        <v>18</v>
      </c>
      <c r="N176" s="23" t="s">
        <v>40</v>
      </c>
      <c r="O176" s="23" t="s">
        <v>387</v>
      </c>
      <c r="P176" s="23" t="s">
        <v>40</v>
      </c>
      <c r="Q176" s="23" t="s">
        <v>40</v>
      </c>
      <c r="R176" s="23" t="s">
        <v>261</v>
      </c>
      <c r="S176" s="23" t="s">
        <v>1710</v>
      </c>
      <c r="T176" s="23" t="s">
        <v>40</v>
      </c>
    </row>
    <row r="177" spans="1:20" x14ac:dyDescent="0.25">
      <c r="A177" s="23" t="s">
        <v>10404</v>
      </c>
      <c r="B177" s="23" t="s">
        <v>260</v>
      </c>
      <c r="C177" s="23" t="s">
        <v>10405</v>
      </c>
      <c r="D177" s="23" t="s">
        <v>10406</v>
      </c>
      <c r="E177" s="23" t="s">
        <v>10407</v>
      </c>
      <c r="F177" s="23" t="s">
        <v>40</v>
      </c>
      <c r="G177" s="23" t="s">
        <v>10408</v>
      </c>
      <c r="H177" s="23" t="s">
        <v>10409</v>
      </c>
      <c r="I177" s="23" t="s">
        <v>10410</v>
      </c>
      <c r="J177" s="23" t="s">
        <v>15</v>
      </c>
      <c r="K177" s="24" t="s">
        <v>386</v>
      </c>
      <c r="L177" s="23" t="s">
        <v>13</v>
      </c>
      <c r="M177" s="25" t="s">
        <v>18</v>
      </c>
      <c r="N177" s="23" t="s">
        <v>40</v>
      </c>
      <c r="O177" s="23" t="s">
        <v>387</v>
      </c>
      <c r="P177" s="23" t="s">
        <v>40</v>
      </c>
      <c r="Q177" s="23" t="s">
        <v>40</v>
      </c>
      <c r="R177" s="23" t="s">
        <v>261</v>
      </c>
      <c r="S177" s="23" t="s">
        <v>1710</v>
      </c>
      <c r="T177" s="23" t="s">
        <v>40</v>
      </c>
    </row>
    <row r="178" spans="1:20" x14ac:dyDescent="0.25">
      <c r="A178" s="23" t="s">
        <v>10411</v>
      </c>
      <c r="B178" s="23" t="s">
        <v>260</v>
      </c>
      <c r="C178" s="23" t="s">
        <v>10405</v>
      </c>
      <c r="D178" s="23" t="s">
        <v>10412</v>
      </c>
      <c r="E178" s="23" t="s">
        <v>10413</v>
      </c>
      <c r="F178" s="23" t="s">
        <v>40</v>
      </c>
      <c r="G178" s="23" t="s">
        <v>10408</v>
      </c>
      <c r="H178" s="23" t="s">
        <v>10414</v>
      </c>
      <c r="I178" s="23" t="s">
        <v>10415</v>
      </c>
      <c r="J178" s="23" t="s">
        <v>801</v>
      </c>
      <c r="K178" s="24" t="s">
        <v>386</v>
      </c>
      <c r="L178" s="23" t="s">
        <v>405</v>
      </c>
      <c r="M178" s="25" t="s">
        <v>18</v>
      </c>
      <c r="N178" s="23" t="s">
        <v>40</v>
      </c>
      <c r="O178" s="23" t="s">
        <v>387</v>
      </c>
      <c r="P178" s="23" t="s">
        <v>40</v>
      </c>
      <c r="Q178" s="23" t="s">
        <v>40</v>
      </c>
      <c r="R178" s="23" t="s">
        <v>261</v>
      </c>
      <c r="S178" s="23" t="s">
        <v>1710</v>
      </c>
      <c r="T178" s="23" t="s">
        <v>40</v>
      </c>
    </row>
    <row r="179" spans="1:20" x14ac:dyDescent="0.25">
      <c r="A179" s="23" t="s">
        <v>10416</v>
      </c>
      <c r="B179" s="23" t="s">
        <v>260</v>
      </c>
      <c r="C179" s="23" t="s">
        <v>10417</v>
      </c>
      <c r="D179" s="23" t="s">
        <v>10418</v>
      </c>
      <c r="E179" s="23" t="s">
        <v>10419</v>
      </c>
      <c r="F179" s="23" t="s">
        <v>40</v>
      </c>
      <c r="G179" s="23" t="s">
        <v>10420</v>
      </c>
      <c r="H179" s="23" t="s">
        <v>10421</v>
      </c>
      <c r="I179" s="23" t="s">
        <v>10422</v>
      </c>
      <c r="J179" s="23" t="s">
        <v>14</v>
      </c>
      <c r="K179" s="27" t="s">
        <v>404</v>
      </c>
      <c r="L179" s="23" t="s">
        <v>490</v>
      </c>
      <c r="M179" s="25" t="s">
        <v>18</v>
      </c>
      <c r="N179" s="23" t="s">
        <v>40</v>
      </c>
      <c r="O179" s="23" t="s">
        <v>387</v>
      </c>
      <c r="P179" s="23" t="s">
        <v>40</v>
      </c>
      <c r="Q179" s="23" t="s">
        <v>40</v>
      </c>
      <c r="R179" s="23" t="s">
        <v>261</v>
      </c>
      <c r="S179" s="23" t="s">
        <v>1710</v>
      </c>
      <c r="T179" s="23" t="s">
        <v>40</v>
      </c>
    </row>
    <row r="180" spans="1:20" x14ac:dyDescent="0.25">
      <c r="A180" s="23" t="s">
        <v>10423</v>
      </c>
      <c r="B180" s="23" t="s">
        <v>260</v>
      </c>
      <c r="C180" s="23" t="s">
        <v>6700</v>
      </c>
      <c r="D180" s="23" t="s">
        <v>10424</v>
      </c>
      <c r="E180" s="23" t="s">
        <v>9402</v>
      </c>
      <c r="F180" s="23" t="s">
        <v>40</v>
      </c>
      <c r="G180" s="23" t="s">
        <v>10425</v>
      </c>
      <c r="H180" s="23" t="s">
        <v>10426</v>
      </c>
      <c r="I180" s="23" t="s">
        <v>1963</v>
      </c>
      <c r="J180" s="23" t="s">
        <v>395</v>
      </c>
      <c r="K180" s="26" t="s">
        <v>396</v>
      </c>
      <c r="L180" s="23" t="s">
        <v>13</v>
      </c>
      <c r="M180" s="25" t="s">
        <v>18</v>
      </c>
      <c r="N180" s="23" t="s">
        <v>40</v>
      </c>
      <c r="O180" s="23" t="s">
        <v>387</v>
      </c>
      <c r="P180" s="23" t="s">
        <v>40</v>
      </c>
      <c r="Q180" s="23" t="s">
        <v>40</v>
      </c>
      <c r="R180" s="23" t="s">
        <v>261</v>
      </c>
      <c r="S180" s="23" t="s">
        <v>1710</v>
      </c>
      <c r="T180" s="23" t="s">
        <v>40</v>
      </c>
    </row>
    <row r="181" spans="1:20" x14ac:dyDescent="0.25">
      <c r="A181" s="23" t="s">
        <v>10427</v>
      </c>
      <c r="B181" s="23" t="s">
        <v>262</v>
      </c>
      <c r="C181" s="23" t="s">
        <v>944</v>
      </c>
      <c r="D181" s="23" t="s">
        <v>10428</v>
      </c>
      <c r="E181" s="23" t="s">
        <v>3835</v>
      </c>
      <c r="F181" s="23" t="s">
        <v>10429</v>
      </c>
      <c r="G181" s="23" t="s">
        <v>10430</v>
      </c>
      <c r="H181" s="23" t="s">
        <v>10431</v>
      </c>
      <c r="I181" s="23" t="s">
        <v>10432</v>
      </c>
      <c r="J181" s="23" t="s">
        <v>385</v>
      </c>
      <c r="K181" s="24" t="s">
        <v>386</v>
      </c>
      <c r="L181" s="23" t="s">
        <v>13</v>
      </c>
      <c r="M181" s="31" t="s">
        <v>17</v>
      </c>
      <c r="N181" s="23" t="s">
        <v>10433</v>
      </c>
      <c r="O181" s="29" t="s">
        <v>87</v>
      </c>
      <c r="P181" s="23" t="s">
        <v>40</v>
      </c>
      <c r="Q181" s="23" t="s">
        <v>40</v>
      </c>
      <c r="R181" s="23" t="s">
        <v>263</v>
      </c>
      <c r="S181" s="23" t="s">
        <v>40</v>
      </c>
      <c r="T181" s="23" t="s">
        <v>40</v>
      </c>
    </row>
    <row r="182" spans="1:20" x14ac:dyDescent="0.25">
      <c r="A182" s="23" t="s">
        <v>10434</v>
      </c>
      <c r="B182" s="23" t="s">
        <v>262</v>
      </c>
      <c r="C182" s="23" t="s">
        <v>8727</v>
      </c>
      <c r="D182" s="23" t="s">
        <v>10435</v>
      </c>
      <c r="E182" s="23" t="s">
        <v>10436</v>
      </c>
      <c r="F182" s="23" t="s">
        <v>40</v>
      </c>
      <c r="G182" s="23" t="s">
        <v>10437</v>
      </c>
      <c r="H182" s="23" t="s">
        <v>10438</v>
      </c>
      <c r="I182" s="23" t="s">
        <v>10439</v>
      </c>
      <c r="J182" s="23" t="s">
        <v>14</v>
      </c>
      <c r="K182" s="24" t="s">
        <v>386</v>
      </c>
      <c r="L182" s="23" t="s">
        <v>405</v>
      </c>
      <c r="M182" s="25" t="s">
        <v>18</v>
      </c>
      <c r="N182" s="23" t="s">
        <v>40</v>
      </c>
      <c r="O182" s="23" t="s">
        <v>387</v>
      </c>
      <c r="P182" s="23" t="s">
        <v>40</v>
      </c>
      <c r="Q182" s="23" t="s">
        <v>40</v>
      </c>
      <c r="R182" s="23" t="s">
        <v>263</v>
      </c>
      <c r="S182" s="23" t="s">
        <v>1710</v>
      </c>
      <c r="T182" s="23" t="s">
        <v>40</v>
      </c>
    </row>
    <row r="183" spans="1:20" x14ac:dyDescent="0.25">
      <c r="A183" s="23" t="s">
        <v>10440</v>
      </c>
      <c r="B183" s="23" t="s">
        <v>262</v>
      </c>
      <c r="C183" s="23" t="s">
        <v>8727</v>
      </c>
      <c r="D183" s="23" t="s">
        <v>10441</v>
      </c>
      <c r="E183" s="23" t="s">
        <v>10442</v>
      </c>
      <c r="F183" s="23" t="s">
        <v>40</v>
      </c>
      <c r="G183" s="23" t="s">
        <v>10443</v>
      </c>
      <c r="H183" s="23" t="s">
        <v>10444</v>
      </c>
      <c r="I183" s="23" t="s">
        <v>10445</v>
      </c>
      <c r="J183" s="23" t="s">
        <v>15</v>
      </c>
      <c r="K183" s="27" t="s">
        <v>404</v>
      </c>
      <c r="L183" s="23" t="s">
        <v>405</v>
      </c>
      <c r="M183" s="25" t="s">
        <v>18</v>
      </c>
      <c r="N183" s="23" t="s">
        <v>40</v>
      </c>
      <c r="O183" s="23" t="s">
        <v>387</v>
      </c>
      <c r="P183" s="23" t="s">
        <v>40</v>
      </c>
      <c r="Q183" s="23" t="s">
        <v>40</v>
      </c>
      <c r="R183" s="23" t="s">
        <v>263</v>
      </c>
      <c r="S183" s="23" t="s">
        <v>1710</v>
      </c>
      <c r="T183" s="23" t="s">
        <v>40</v>
      </c>
    </row>
    <row r="184" spans="1:20" x14ac:dyDescent="0.25">
      <c r="A184" s="23" t="s">
        <v>10446</v>
      </c>
      <c r="B184" s="23" t="s">
        <v>262</v>
      </c>
      <c r="C184" s="23" t="s">
        <v>8727</v>
      </c>
      <c r="D184" s="23" t="s">
        <v>10447</v>
      </c>
      <c r="E184" s="23" t="s">
        <v>3835</v>
      </c>
      <c r="F184" s="23" t="s">
        <v>40</v>
      </c>
      <c r="G184" s="23" t="s">
        <v>10448</v>
      </c>
      <c r="H184" s="23" t="s">
        <v>10449</v>
      </c>
      <c r="I184" s="23" t="s">
        <v>10450</v>
      </c>
      <c r="J184" s="23" t="s">
        <v>466</v>
      </c>
      <c r="K184" s="27" t="s">
        <v>404</v>
      </c>
      <c r="L184" s="23" t="s">
        <v>490</v>
      </c>
      <c r="M184" s="25" t="s">
        <v>18</v>
      </c>
      <c r="N184" s="23" t="s">
        <v>40</v>
      </c>
      <c r="O184" s="23" t="s">
        <v>387</v>
      </c>
      <c r="P184" s="23" t="s">
        <v>40</v>
      </c>
      <c r="Q184" s="23" t="s">
        <v>40</v>
      </c>
      <c r="R184" s="23" t="s">
        <v>263</v>
      </c>
      <c r="S184" s="23" t="s">
        <v>1710</v>
      </c>
      <c r="T184" s="23" t="s">
        <v>40</v>
      </c>
    </row>
    <row r="185" spans="1:20" x14ac:dyDescent="0.25">
      <c r="A185" s="23" t="s">
        <v>10451</v>
      </c>
      <c r="B185" s="23" t="s">
        <v>262</v>
      </c>
      <c r="C185" s="23" t="s">
        <v>8727</v>
      </c>
      <c r="D185" s="23" t="s">
        <v>10452</v>
      </c>
      <c r="E185" s="23" t="s">
        <v>10453</v>
      </c>
      <c r="F185" s="23" t="s">
        <v>40</v>
      </c>
      <c r="G185" s="23" t="s">
        <v>10454</v>
      </c>
      <c r="H185" s="23" t="s">
        <v>10455</v>
      </c>
      <c r="I185" s="23" t="s">
        <v>10456</v>
      </c>
      <c r="J185" s="23" t="s">
        <v>14</v>
      </c>
      <c r="K185" s="27" t="s">
        <v>404</v>
      </c>
      <c r="L185" s="23" t="s">
        <v>490</v>
      </c>
      <c r="M185" s="33" t="s">
        <v>20</v>
      </c>
      <c r="N185" s="23" t="s">
        <v>40</v>
      </c>
      <c r="O185" s="23" t="s">
        <v>387</v>
      </c>
      <c r="P185" s="23" t="s">
        <v>40</v>
      </c>
      <c r="Q185" s="23" t="s">
        <v>40</v>
      </c>
      <c r="R185" s="23" t="s">
        <v>263</v>
      </c>
      <c r="S185" s="23" t="s">
        <v>10457</v>
      </c>
      <c r="T185" s="23" t="s">
        <v>40</v>
      </c>
    </row>
    <row r="186" spans="1:20" x14ac:dyDescent="0.25">
      <c r="A186" s="23" t="s">
        <v>10458</v>
      </c>
      <c r="B186" s="23" t="s">
        <v>264</v>
      </c>
      <c r="C186" s="23" t="s">
        <v>944</v>
      </c>
      <c r="D186" s="23" t="s">
        <v>10459</v>
      </c>
      <c r="E186" s="23" t="s">
        <v>3835</v>
      </c>
      <c r="F186" s="23" t="s">
        <v>10460</v>
      </c>
      <c r="G186" s="23" t="s">
        <v>10461</v>
      </c>
      <c r="H186" s="23" t="s">
        <v>10462</v>
      </c>
      <c r="I186" s="23" t="s">
        <v>10463</v>
      </c>
      <c r="J186" s="23" t="s">
        <v>385</v>
      </c>
      <c r="K186" s="24" t="s">
        <v>386</v>
      </c>
      <c r="L186" s="23" t="s">
        <v>13</v>
      </c>
      <c r="M186" s="31" t="s">
        <v>17</v>
      </c>
      <c r="N186" s="23" t="s">
        <v>10464</v>
      </c>
      <c r="O186" s="29" t="s">
        <v>87</v>
      </c>
      <c r="P186" s="23" t="s">
        <v>40</v>
      </c>
      <c r="Q186" s="23" t="s">
        <v>40</v>
      </c>
      <c r="R186" s="23" t="s">
        <v>265</v>
      </c>
      <c r="S186" s="23" t="s">
        <v>40</v>
      </c>
      <c r="T186" s="23" t="s">
        <v>40</v>
      </c>
    </row>
    <row r="187" spans="1:20" x14ac:dyDescent="0.25">
      <c r="A187" s="23" t="s">
        <v>10465</v>
      </c>
      <c r="B187" s="23" t="s">
        <v>264</v>
      </c>
      <c r="C187" s="23" t="s">
        <v>951</v>
      </c>
      <c r="D187" s="23" t="s">
        <v>10466</v>
      </c>
      <c r="E187" s="23" t="s">
        <v>10467</v>
      </c>
      <c r="F187" s="23" t="s">
        <v>40</v>
      </c>
      <c r="G187" s="23" t="s">
        <v>10468</v>
      </c>
      <c r="H187" s="23" t="s">
        <v>10469</v>
      </c>
      <c r="I187" s="23" t="s">
        <v>10470</v>
      </c>
      <c r="J187" s="23" t="s">
        <v>801</v>
      </c>
      <c r="K187" s="26" t="s">
        <v>396</v>
      </c>
      <c r="L187" s="23" t="s">
        <v>13</v>
      </c>
      <c r="M187" s="25" t="s">
        <v>18</v>
      </c>
      <c r="N187" s="23" t="s">
        <v>40</v>
      </c>
      <c r="O187" s="23" t="s">
        <v>387</v>
      </c>
      <c r="P187" s="23" t="s">
        <v>40</v>
      </c>
      <c r="Q187" s="23" t="s">
        <v>40</v>
      </c>
      <c r="R187" s="23" t="s">
        <v>265</v>
      </c>
      <c r="S187" s="23" t="s">
        <v>1710</v>
      </c>
      <c r="T187" s="23" t="s">
        <v>40</v>
      </c>
    </row>
    <row r="188" spans="1:20" x14ac:dyDescent="0.25">
      <c r="A188" s="23" t="s">
        <v>10471</v>
      </c>
      <c r="B188" s="23" t="s">
        <v>264</v>
      </c>
      <c r="C188" s="23" t="s">
        <v>951</v>
      </c>
      <c r="D188" s="23" t="s">
        <v>10472</v>
      </c>
      <c r="E188" s="23" t="s">
        <v>10473</v>
      </c>
      <c r="F188" s="23" t="s">
        <v>40</v>
      </c>
      <c r="G188" s="23" t="s">
        <v>10474</v>
      </c>
      <c r="H188" s="23" t="s">
        <v>10475</v>
      </c>
      <c r="I188" s="23" t="s">
        <v>10476</v>
      </c>
      <c r="J188" s="23" t="s">
        <v>801</v>
      </c>
      <c r="K188" s="24" t="s">
        <v>386</v>
      </c>
      <c r="L188" s="23" t="s">
        <v>405</v>
      </c>
      <c r="M188" s="25" t="s">
        <v>18</v>
      </c>
      <c r="N188" s="23" t="s">
        <v>40</v>
      </c>
      <c r="O188" s="23" t="s">
        <v>387</v>
      </c>
      <c r="P188" s="23" t="s">
        <v>40</v>
      </c>
      <c r="Q188" s="23" t="s">
        <v>40</v>
      </c>
      <c r="R188" s="23" t="s">
        <v>265</v>
      </c>
      <c r="S188" s="23" t="s">
        <v>1710</v>
      </c>
      <c r="T188" s="23" t="s">
        <v>40</v>
      </c>
    </row>
    <row r="189" spans="1:20" x14ac:dyDescent="0.25">
      <c r="A189" s="23" t="s">
        <v>10477</v>
      </c>
      <c r="B189" s="23" t="s">
        <v>264</v>
      </c>
      <c r="C189" s="23" t="s">
        <v>10478</v>
      </c>
      <c r="D189" s="23" t="s">
        <v>10479</v>
      </c>
      <c r="E189" s="23" t="s">
        <v>10480</v>
      </c>
      <c r="F189" s="23" t="s">
        <v>40</v>
      </c>
      <c r="G189" s="23" t="s">
        <v>10481</v>
      </c>
      <c r="H189" s="23" t="s">
        <v>10482</v>
      </c>
      <c r="I189" s="23" t="s">
        <v>10483</v>
      </c>
      <c r="J189" s="23" t="s">
        <v>14</v>
      </c>
      <c r="K189" s="24" t="s">
        <v>386</v>
      </c>
      <c r="L189" s="23" t="s">
        <v>405</v>
      </c>
      <c r="M189" s="33" t="s">
        <v>20</v>
      </c>
      <c r="N189" s="23" t="s">
        <v>40</v>
      </c>
      <c r="O189" s="23" t="s">
        <v>387</v>
      </c>
      <c r="P189" s="23" t="s">
        <v>40</v>
      </c>
      <c r="Q189" s="23" t="s">
        <v>40</v>
      </c>
      <c r="R189" s="23" t="s">
        <v>265</v>
      </c>
      <c r="S189" s="23" t="s">
        <v>10484</v>
      </c>
      <c r="T189" s="23" t="s">
        <v>40</v>
      </c>
    </row>
    <row r="190" spans="1:20" x14ac:dyDescent="0.25">
      <c r="A190" s="23" t="s">
        <v>10485</v>
      </c>
      <c r="B190" s="23" t="s">
        <v>264</v>
      </c>
      <c r="C190" s="23" t="s">
        <v>10478</v>
      </c>
      <c r="D190" s="23" t="s">
        <v>10486</v>
      </c>
      <c r="E190" s="23" t="s">
        <v>10480</v>
      </c>
      <c r="F190" s="23" t="s">
        <v>40</v>
      </c>
      <c r="G190" s="23" t="s">
        <v>10487</v>
      </c>
      <c r="H190" s="23" t="s">
        <v>10488</v>
      </c>
      <c r="I190" s="23" t="s">
        <v>10489</v>
      </c>
      <c r="J190" s="23" t="s">
        <v>466</v>
      </c>
      <c r="K190" s="27" t="s">
        <v>404</v>
      </c>
      <c r="L190" s="23" t="s">
        <v>405</v>
      </c>
      <c r="M190" s="25" t="s">
        <v>18</v>
      </c>
      <c r="N190" s="23" t="s">
        <v>40</v>
      </c>
      <c r="O190" s="23" t="s">
        <v>387</v>
      </c>
      <c r="P190" s="23" t="s">
        <v>40</v>
      </c>
      <c r="Q190" s="23" t="s">
        <v>40</v>
      </c>
      <c r="R190" s="23" t="s">
        <v>265</v>
      </c>
      <c r="S190" s="23" t="s">
        <v>1710</v>
      </c>
      <c r="T190" s="23" t="s">
        <v>40</v>
      </c>
    </row>
    <row r="191" spans="1:20" x14ac:dyDescent="0.25">
      <c r="A191" s="23" t="s">
        <v>10490</v>
      </c>
      <c r="B191" s="23" t="s">
        <v>264</v>
      </c>
      <c r="C191" s="23" t="s">
        <v>466</v>
      </c>
      <c r="D191" s="23" t="s">
        <v>10491</v>
      </c>
      <c r="E191" s="23" t="s">
        <v>10492</v>
      </c>
      <c r="F191" s="23" t="s">
        <v>40</v>
      </c>
      <c r="G191" s="23" t="s">
        <v>10493</v>
      </c>
      <c r="H191" s="23" t="s">
        <v>10494</v>
      </c>
      <c r="I191" s="23" t="s">
        <v>3984</v>
      </c>
      <c r="J191" s="23" t="s">
        <v>489</v>
      </c>
      <c r="K191" s="27" t="s">
        <v>404</v>
      </c>
      <c r="L191" s="23" t="s">
        <v>490</v>
      </c>
      <c r="M191" s="25" t="s">
        <v>18</v>
      </c>
      <c r="N191" s="23" t="s">
        <v>40</v>
      </c>
      <c r="O191" s="23" t="s">
        <v>387</v>
      </c>
      <c r="P191" s="23" t="s">
        <v>40</v>
      </c>
      <c r="Q191" s="23" t="s">
        <v>40</v>
      </c>
      <c r="R191" s="23" t="s">
        <v>265</v>
      </c>
      <c r="S191" s="23" t="s">
        <v>1710</v>
      </c>
      <c r="T191" s="23" t="s">
        <v>40</v>
      </c>
    </row>
    <row r="192" spans="1:20" x14ac:dyDescent="0.25">
      <c r="A192" s="23" t="s">
        <v>10495</v>
      </c>
      <c r="B192" s="23" t="s">
        <v>266</v>
      </c>
      <c r="C192" s="23" t="s">
        <v>944</v>
      </c>
      <c r="D192" s="23" t="s">
        <v>10496</v>
      </c>
      <c r="E192" s="23" t="s">
        <v>3835</v>
      </c>
      <c r="F192" s="23" t="s">
        <v>10497</v>
      </c>
      <c r="G192" s="23" t="s">
        <v>10498</v>
      </c>
      <c r="H192" s="23" t="s">
        <v>10499</v>
      </c>
      <c r="I192" s="23" t="s">
        <v>10500</v>
      </c>
      <c r="J192" s="23" t="s">
        <v>385</v>
      </c>
      <c r="K192" s="24" t="s">
        <v>386</v>
      </c>
      <c r="L192" s="23" t="s">
        <v>13</v>
      </c>
      <c r="M192" s="31" t="s">
        <v>17</v>
      </c>
      <c r="N192" s="23" t="s">
        <v>10501</v>
      </c>
      <c r="O192" s="29" t="s">
        <v>87</v>
      </c>
      <c r="P192" s="23" t="s">
        <v>40</v>
      </c>
      <c r="Q192" s="23" t="s">
        <v>40</v>
      </c>
      <c r="R192" s="23" t="s">
        <v>267</v>
      </c>
      <c r="S192" s="23" t="s">
        <v>40</v>
      </c>
      <c r="T192" s="23" t="s">
        <v>40</v>
      </c>
    </row>
    <row r="193" spans="1:20" x14ac:dyDescent="0.25">
      <c r="A193" s="23" t="s">
        <v>10502</v>
      </c>
      <c r="B193" s="23" t="s">
        <v>266</v>
      </c>
      <c r="C193" s="23" t="s">
        <v>10503</v>
      </c>
      <c r="D193" s="23" t="s">
        <v>10504</v>
      </c>
      <c r="E193" s="23" t="s">
        <v>10505</v>
      </c>
      <c r="F193" s="23" t="s">
        <v>10506</v>
      </c>
      <c r="G193" s="23" t="s">
        <v>10507</v>
      </c>
      <c r="H193" s="23" t="s">
        <v>10508</v>
      </c>
      <c r="I193" s="23" t="s">
        <v>10509</v>
      </c>
      <c r="J193" s="23" t="s">
        <v>14</v>
      </c>
      <c r="K193" s="26" t="s">
        <v>396</v>
      </c>
      <c r="L193" s="23" t="s">
        <v>13</v>
      </c>
      <c r="M193" s="25" t="s">
        <v>18</v>
      </c>
      <c r="N193" s="23" t="s">
        <v>40</v>
      </c>
      <c r="O193" s="23" t="s">
        <v>387</v>
      </c>
      <c r="P193" s="23" t="s">
        <v>40</v>
      </c>
      <c r="Q193" s="23" t="s">
        <v>40</v>
      </c>
      <c r="R193" s="23" t="s">
        <v>267</v>
      </c>
      <c r="S193" s="23" t="s">
        <v>1710</v>
      </c>
      <c r="T193" s="23" t="s">
        <v>40</v>
      </c>
    </row>
    <row r="194" spans="1:20" x14ac:dyDescent="0.25">
      <c r="A194" s="23" t="s">
        <v>10510</v>
      </c>
      <c r="B194" s="23" t="s">
        <v>266</v>
      </c>
      <c r="C194" s="23" t="s">
        <v>10503</v>
      </c>
      <c r="D194" s="23" t="s">
        <v>10511</v>
      </c>
      <c r="E194" s="23" t="s">
        <v>3835</v>
      </c>
      <c r="F194" s="23" t="s">
        <v>40</v>
      </c>
      <c r="G194" s="23" t="s">
        <v>10512</v>
      </c>
      <c r="H194" s="23" t="s">
        <v>10513</v>
      </c>
      <c r="I194" s="23" t="s">
        <v>8821</v>
      </c>
      <c r="J194" s="23" t="s">
        <v>466</v>
      </c>
      <c r="K194" s="27" t="s">
        <v>404</v>
      </c>
      <c r="L194" s="23" t="s">
        <v>405</v>
      </c>
      <c r="M194" s="25" t="s">
        <v>18</v>
      </c>
      <c r="N194" s="23" t="s">
        <v>40</v>
      </c>
      <c r="O194" s="23" t="s">
        <v>387</v>
      </c>
      <c r="P194" s="23" t="s">
        <v>40</v>
      </c>
      <c r="Q194" s="23" t="s">
        <v>40</v>
      </c>
      <c r="R194" s="23" t="s">
        <v>267</v>
      </c>
      <c r="S194" s="23" t="s">
        <v>1710</v>
      </c>
      <c r="T194" s="23" t="s">
        <v>40</v>
      </c>
    </row>
    <row r="195" spans="1:20" x14ac:dyDescent="0.25">
      <c r="A195" s="23" t="s">
        <v>10514</v>
      </c>
      <c r="B195" s="23" t="s">
        <v>266</v>
      </c>
      <c r="C195" s="23" t="s">
        <v>10503</v>
      </c>
      <c r="D195" s="23" t="s">
        <v>10515</v>
      </c>
      <c r="E195" s="23" t="s">
        <v>10516</v>
      </c>
      <c r="F195" s="23" t="s">
        <v>40</v>
      </c>
      <c r="G195" s="23" t="s">
        <v>10517</v>
      </c>
      <c r="H195" s="23" t="s">
        <v>10518</v>
      </c>
      <c r="I195" s="23" t="s">
        <v>6120</v>
      </c>
      <c r="J195" s="23" t="s">
        <v>15</v>
      </c>
      <c r="K195" s="27" t="s">
        <v>404</v>
      </c>
      <c r="L195" s="23" t="s">
        <v>490</v>
      </c>
      <c r="M195" s="25" t="s">
        <v>18</v>
      </c>
      <c r="N195" s="23" t="s">
        <v>40</v>
      </c>
      <c r="O195" s="23" t="s">
        <v>387</v>
      </c>
      <c r="P195" s="23" t="s">
        <v>40</v>
      </c>
      <c r="Q195" s="23" t="s">
        <v>40</v>
      </c>
      <c r="R195" s="23" t="s">
        <v>267</v>
      </c>
      <c r="S195" s="23" t="s">
        <v>1710</v>
      </c>
      <c r="T195" s="23" t="s">
        <v>40</v>
      </c>
    </row>
    <row r="196" spans="1:20" x14ac:dyDescent="0.25">
      <c r="A196" s="23" t="s">
        <v>10519</v>
      </c>
      <c r="B196" s="23" t="s">
        <v>266</v>
      </c>
      <c r="C196" s="23" t="s">
        <v>10520</v>
      </c>
      <c r="D196" s="23" t="s">
        <v>10521</v>
      </c>
      <c r="E196" s="23" t="s">
        <v>10279</v>
      </c>
      <c r="F196" s="23" t="s">
        <v>40</v>
      </c>
      <c r="G196" s="23" t="s">
        <v>10522</v>
      </c>
      <c r="H196" s="23" t="s">
        <v>10523</v>
      </c>
      <c r="I196" s="23" t="s">
        <v>10524</v>
      </c>
      <c r="J196" s="23" t="s">
        <v>14</v>
      </c>
      <c r="K196" s="26" t="s">
        <v>396</v>
      </c>
      <c r="L196" s="23" t="s">
        <v>13</v>
      </c>
      <c r="M196" s="33" t="s">
        <v>20</v>
      </c>
      <c r="N196" s="23" t="s">
        <v>40</v>
      </c>
      <c r="O196" s="23" t="s">
        <v>387</v>
      </c>
      <c r="P196" s="23" t="s">
        <v>40</v>
      </c>
      <c r="Q196" s="23" t="s">
        <v>40</v>
      </c>
      <c r="R196" s="23" t="s">
        <v>267</v>
      </c>
      <c r="S196" s="23" t="s">
        <v>10169</v>
      </c>
      <c r="T196" s="23" t="s">
        <v>40</v>
      </c>
    </row>
    <row r="197" spans="1:20" x14ac:dyDescent="0.25">
      <c r="A197" s="23" t="s">
        <v>10525</v>
      </c>
      <c r="B197" s="23" t="s">
        <v>266</v>
      </c>
      <c r="C197" s="23" t="s">
        <v>801</v>
      </c>
      <c r="D197" s="23" t="s">
        <v>10526</v>
      </c>
      <c r="E197" s="23" t="s">
        <v>10527</v>
      </c>
      <c r="F197" s="23" t="s">
        <v>40</v>
      </c>
      <c r="G197" s="23" t="s">
        <v>10528</v>
      </c>
      <c r="H197" s="23" t="s">
        <v>10529</v>
      </c>
      <c r="I197" s="23" t="s">
        <v>10530</v>
      </c>
      <c r="J197" s="23" t="s">
        <v>801</v>
      </c>
      <c r="K197" s="24" t="s">
        <v>386</v>
      </c>
      <c r="L197" s="23" t="s">
        <v>405</v>
      </c>
      <c r="M197" s="25" t="s">
        <v>18</v>
      </c>
      <c r="N197" s="23" t="s">
        <v>40</v>
      </c>
      <c r="O197" s="23" t="s">
        <v>387</v>
      </c>
      <c r="P197" s="23" t="s">
        <v>40</v>
      </c>
      <c r="Q197" s="23" t="s">
        <v>40</v>
      </c>
      <c r="R197" s="23" t="s">
        <v>267</v>
      </c>
      <c r="S197" s="23" t="s">
        <v>1710</v>
      </c>
      <c r="T197" s="23" t="s">
        <v>40</v>
      </c>
    </row>
    <row r="198" spans="1:20" x14ac:dyDescent="0.25">
      <c r="A198" s="23" t="s">
        <v>10531</v>
      </c>
      <c r="B198" s="23" t="s">
        <v>268</v>
      </c>
      <c r="C198" s="23" t="s">
        <v>944</v>
      </c>
      <c r="D198" s="23" t="s">
        <v>10532</v>
      </c>
      <c r="E198" s="23" t="s">
        <v>3835</v>
      </c>
      <c r="F198" s="23" t="s">
        <v>10533</v>
      </c>
      <c r="G198" s="23" t="s">
        <v>10534</v>
      </c>
      <c r="H198" s="23" t="s">
        <v>10535</v>
      </c>
      <c r="I198" s="23" t="s">
        <v>10536</v>
      </c>
      <c r="J198" s="23" t="s">
        <v>385</v>
      </c>
      <c r="K198" s="24" t="s">
        <v>386</v>
      </c>
      <c r="L198" s="23" t="s">
        <v>13</v>
      </c>
      <c r="M198" s="31" t="s">
        <v>17</v>
      </c>
      <c r="N198" s="23" t="s">
        <v>10537</v>
      </c>
      <c r="O198" s="29" t="s">
        <v>87</v>
      </c>
      <c r="P198" s="23" t="s">
        <v>40</v>
      </c>
      <c r="Q198" s="23" t="s">
        <v>40</v>
      </c>
      <c r="R198" s="23" t="s">
        <v>269</v>
      </c>
      <c r="S198" s="23" t="s">
        <v>40</v>
      </c>
      <c r="T198" s="23" t="s">
        <v>40</v>
      </c>
    </row>
    <row r="199" spans="1:20" x14ac:dyDescent="0.25">
      <c r="A199" s="23" t="s">
        <v>10538</v>
      </c>
      <c r="B199" s="23" t="s">
        <v>268</v>
      </c>
      <c r="C199" s="23" t="s">
        <v>10539</v>
      </c>
      <c r="D199" s="23" t="s">
        <v>10540</v>
      </c>
      <c r="E199" s="23" t="s">
        <v>3835</v>
      </c>
      <c r="F199" s="23" t="s">
        <v>40</v>
      </c>
      <c r="G199" s="23" t="s">
        <v>10541</v>
      </c>
      <c r="H199" s="23" t="s">
        <v>10542</v>
      </c>
      <c r="I199" s="23" t="s">
        <v>10543</v>
      </c>
      <c r="J199" s="23" t="s">
        <v>385</v>
      </c>
      <c r="K199" s="24" t="s">
        <v>386</v>
      </c>
      <c r="L199" s="23" t="s">
        <v>13</v>
      </c>
      <c r="M199" s="25" t="s">
        <v>18</v>
      </c>
      <c r="N199" s="23" t="s">
        <v>40</v>
      </c>
      <c r="O199" s="23" t="s">
        <v>387</v>
      </c>
      <c r="P199" s="23" t="s">
        <v>40</v>
      </c>
      <c r="Q199" s="23" t="s">
        <v>40</v>
      </c>
      <c r="R199" s="23" t="s">
        <v>269</v>
      </c>
      <c r="S199" s="23" t="s">
        <v>1710</v>
      </c>
      <c r="T199" s="23" t="s">
        <v>40</v>
      </c>
    </row>
    <row r="200" spans="1:20" x14ac:dyDescent="0.25">
      <c r="A200" s="23" t="s">
        <v>10544</v>
      </c>
      <c r="B200" s="23" t="s">
        <v>268</v>
      </c>
      <c r="C200" s="23" t="s">
        <v>10539</v>
      </c>
      <c r="D200" s="23" t="s">
        <v>10545</v>
      </c>
      <c r="E200" s="23" t="s">
        <v>10546</v>
      </c>
      <c r="F200" s="23" t="s">
        <v>10547</v>
      </c>
      <c r="G200" s="23" t="s">
        <v>10548</v>
      </c>
      <c r="H200" s="23" t="s">
        <v>10549</v>
      </c>
      <c r="I200" s="23" t="s">
        <v>8821</v>
      </c>
      <c r="J200" s="23" t="s">
        <v>466</v>
      </c>
      <c r="K200" s="27" t="s">
        <v>404</v>
      </c>
      <c r="L200" s="23" t="s">
        <v>405</v>
      </c>
      <c r="M200" s="25" t="s">
        <v>18</v>
      </c>
      <c r="N200" s="23" t="s">
        <v>40</v>
      </c>
      <c r="O200" s="23" t="s">
        <v>387</v>
      </c>
      <c r="P200" s="23" t="s">
        <v>40</v>
      </c>
      <c r="Q200" s="23" t="s">
        <v>40</v>
      </c>
      <c r="R200" s="23" t="s">
        <v>269</v>
      </c>
      <c r="S200" s="23" t="s">
        <v>10550</v>
      </c>
      <c r="T200" s="23" t="s">
        <v>40</v>
      </c>
    </row>
    <row r="201" spans="1:20" x14ac:dyDescent="0.25">
      <c r="A201" s="23" t="s">
        <v>10551</v>
      </c>
      <c r="B201" s="23" t="s">
        <v>268</v>
      </c>
      <c r="C201" s="23" t="s">
        <v>10539</v>
      </c>
      <c r="D201" s="23" t="s">
        <v>10552</v>
      </c>
      <c r="E201" s="23" t="s">
        <v>10546</v>
      </c>
      <c r="F201" s="23" t="s">
        <v>40</v>
      </c>
      <c r="G201" s="23" t="s">
        <v>10553</v>
      </c>
      <c r="H201" s="23" t="s">
        <v>10554</v>
      </c>
      <c r="I201" s="23" t="s">
        <v>3984</v>
      </c>
      <c r="J201" s="23" t="s">
        <v>489</v>
      </c>
      <c r="K201" s="27" t="s">
        <v>404</v>
      </c>
      <c r="L201" s="23" t="s">
        <v>490</v>
      </c>
      <c r="M201" s="25" t="s">
        <v>18</v>
      </c>
      <c r="N201" s="23" t="s">
        <v>40</v>
      </c>
      <c r="O201" s="23" t="s">
        <v>387</v>
      </c>
      <c r="P201" s="23" t="s">
        <v>40</v>
      </c>
      <c r="Q201" s="23" t="s">
        <v>40</v>
      </c>
      <c r="R201" s="23" t="s">
        <v>269</v>
      </c>
      <c r="S201" s="23" t="s">
        <v>10550</v>
      </c>
      <c r="T201" s="23" t="s">
        <v>40</v>
      </c>
    </row>
    <row r="202" spans="1:20" x14ac:dyDescent="0.25">
      <c r="A202" s="23" t="s">
        <v>10555</v>
      </c>
      <c r="B202" s="23" t="s">
        <v>268</v>
      </c>
      <c r="C202" s="23" t="s">
        <v>10556</v>
      </c>
      <c r="D202" s="23" t="s">
        <v>10557</v>
      </c>
      <c r="E202" s="23" t="s">
        <v>3835</v>
      </c>
      <c r="F202" s="23" t="s">
        <v>40</v>
      </c>
      <c r="G202" s="23" t="s">
        <v>10558</v>
      </c>
      <c r="H202" s="23" t="s">
        <v>10559</v>
      </c>
      <c r="I202" s="23" t="s">
        <v>10560</v>
      </c>
      <c r="J202" s="23" t="s">
        <v>385</v>
      </c>
      <c r="K202" s="24" t="s">
        <v>386</v>
      </c>
      <c r="L202" s="23" t="s">
        <v>13</v>
      </c>
      <c r="M202" s="25" t="s">
        <v>18</v>
      </c>
      <c r="N202" s="23" t="s">
        <v>40</v>
      </c>
      <c r="O202" s="23" t="s">
        <v>387</v>
      </c>
      <c r="P202" s="23" t="s">
        <v>40</v>
      </c>
      <c r="Q202" s="23" t="s">
        <v>40</v>
      </c>
      <c r="R202" s="23" t="s">
        <v>269</v>
      </c>
      <c r="S202" s="23" t="s">
        <v>1710</v>
      </c>
      <c r="T202" s="23" t="s">
        <v>40</v>
      </c>
    </row>
    <row r="203" spans="1:20" x14ac:dyDescent="0.25">
      <c r="A203" s="23" t="s">
        <v>10561</v>
      </c>
      <c r="B203" s="23" t="s">
        <v>268</v>
      </c>
      <c r="C203" s="23" t="s">
        <v>10556</v>
      </c>
      <c r="D203" s="23" t="s">
        <v>10562</v>
      </c>
      <c r="E203" s="23" t="s">
        <v>10546</v>
      </c>
      <c r="F203" s="23" t="s">
        <v>40</v>
      </c>
      <c r="G203" s="23" t="s">
        <v>10563</v>
      </c>
      <c r="H203" s="23" t="s">
        <v>10564</v>
      </c>
      <c r="I203" s="23" t="s">
        <v>3984</v>
      </c>
      <c r="J203" s="23" t="s">
        <v>466</v>
      </c>
      <c r="K203" s="27" t="s">
        <v>404</v>
      </c>
      <c r="L203" s="23" t="s">
        <v>405</v>
      </c>
      <c r="M203" s="25" t="s">
        <v>18</v>
      </c>
      <c r="N203" s="23" t="s">
        <v>40</v>
      </c>
      <c r="O203" s="23" t="s">
        <v>387</v>
      </c>
      <c r="P203" s="23" t="s">
        <v>40</v>
      </c>
      <c r="Q203" s="23" t="s">
        <v>40</v>
      </c>
      <c r="R203" s="23" t="s">
        <v>269</v>
      </c>
      <c r="S203" s="23" t="s">
        <v>10550</v>
      </c>
      <c r="T203" s="23" t="s">
        <v>40</v>
      </c>
    </row>
    <row r="204" spans="1:20" x14ac:dyDescent="0.25">
      <c r="A204" s="23" t="s">
        <v>10565</v>
      </c>
      <c r="B204" s="23" t="s">
        <v>268</v>
      </c>
      <c r="C204" s="23" t="s">
        <v>10566</v>
      </c>
      <c r="D204" s="23" t="s">
        <v>10567</v>
      </c>
      <c r="E204" s="23" t="s">
        <v>10546</v>
      </c>
      <c r="F204" s="23" t="s">
        <v>10568</v>
      </c>
      <c r="G204" s="23" t="s">
        <v>10569</v>
      </c>
      <c r="H204" s="23" t="s">
        <v>10570</v>
      </c>
      <c r="I204" s="23" t="s">
        <v>10571</v>
      </c>
      <c r="J204" s="23" t="s">
        <v>14</v>
      </c>
      <c r="K204" s="24" t="s">
        <v>386</v>
      </c>
      <c r="L204" s="23" t="s">
        <v>405</v>
      </c>
      <c r="M204" s="25" t="s">
        <v>18</v>
      </c>
      <c r="N204" s="23" t="s">
        <v>40</v>
      </c>
      <c r="O204" s="23" t="s">
        <v>387</v>
      </c>
      <c r="P204" s="23" t="s">
        <v>40</v>
      </c>
      <c r="Q204" s="23" t="s">
        <v>40</v>
      </c>
      <c r="R204" s="23" t="s">
        <v>269</v>
      </c>
      <c r="S204" s="23" t="s">
        <v>10550</v>
      </c>
      <c r="T204" s="23" t="s">
        <v>40</v>
      </c>
    </row>
    <row r="205" spans="1:20" x14ac:dyDescent="0.25">
      <c r="A205" s="23" t="s">
        <v>10572</v>
      </c>
      <c r="B205" s="23" t="s">
        <v>268</v>
      </c>
      <c r="C205" s="23" t="s">
        <v>10566</v>
      </c>
      <c r="D205" s="23" t="s">
        <v>10573</v>
      </c>
      <c r="E205" s="23" t="s">
        <v>10546</v>
      </c>
      <c r="F205" s="23" t="s">
        <v>40</v>
      </c>
      <c r="G205" s="23" t="s">
        <v>10574</v>
      </c>
      <c r="H205" s="23" t="s">
        <v>10575</v>
      </c>
      <c r="I205" s="23" t="s">
        <v>10576</v>
      </c>
      <c r="J205" s="23" t="s">
        <v>15</v>
      </c>
      <c r="K205" s="27" t="s">
        <v>404</v>
      </c>
      <c r="L205" s="23" t="s">
        <v>405</v>
      </c>
      <c r="M205" s="25" t="s">
        <v>18</v>
      </c>
      <c r="N205" s="23" t="s">
        <v>40</v>
      </c>
      <c r="O205" s="23" t="s">
        <v>387</v>
      </c>
      <c r="P205" s="23" t="s">
        <v>40</v>
      </c>
      <c r="Q205" s="23" t="s">
        <v>40</v>
      </c>
      <c r="R205" s="23" t="s">
        <v>269</v>
      </c>
      <c r="S205" s="23" t="s">
        <v>10550</v>
      </c>
      <c r="T205" s="23" t="s">
        <v>40</v>
      </c>
    </row>
    <row r="206" spans="1:20" x14ac:dyDescent="0.25">
      <c r="A206" s="23" t="s">
        <v>10577</v>
      </c>
      <c r="B206" s="23" t="s">
        <v>268</v>
      </c>
      <c r="C206" s="23" t="s">
        <v>10578</v>
      </c>
      <c r="D206" s="23" t="s">
        <v>10579</v>
      </c>
      <c r="E206" s="23" t="s">
        <v>10546</v>
      </c>
      <c r="F206" s="23" t="s">
        <v>40</v>
      </c>
      <c r="G206" s="23" t="s">
        <v>10580</v>
      </c>
      <c r="H206" s="23" t="s">
        <v>10581</v>
      </c>
      <c r="I206" s="23" t="s">
        <v>10582</v>
      </c>
      <c r="J206" s="23" t="s">
        <v>14</v>
      </c>
      <c r="K206" s="27" t="s">
        <v>404</v>
      </c>
      <c r="L206" s="23" t="s">
        <v>490</v>
      </c>
      <c r="M206" s="25" t="s">
        <v>18</v>
      </c>
      <c r="N206" s="23" t="s">
        <v>40</v>
      </c>
      <c r="O206" s="23" t="s">
        <v>387</v>
      </c>
      <c r="P206" s="23" t="s">
        <v>40</v>
      </c>
      <c r="Q206" s="23" t="s">
        <v>40</v>
      </c>
      <c r="R206" s="23" t="s">
        <v>269</v>
      </c>
      <c r="S206" s="23" t="s">
        <v>10550</v>
      </c>
      <c r="T206" s="23" t="s">
        <v>40</v>
      </c>
    </row>
    <row r="207" spans="1:20" x14ac:dyDescent="0.25">
      <c r="A207" s="23" t="s">
        <v>10583</v>
      </c>
      <c r="B207" s="23" t="s">
        <v>268</v>
      </c>
      <c r="C207" s="23" t="s">
        <v>10584</v>
      </c>
      <c r="D207" s="23" t="s">
        <v>10585</v>
      </c>
      <c r="E207" s="23" t="s">
        <v>10546</v>
      </c>
      <c r="F207" s="23" t="s">
        <v>10586</v>
      </c>
      <c r="G207" s="23" t="s">
        <v>10587</v>
      </c>
      <c r="H207" s="23" t="s">
        <v>10588</v>
      </c>
      <c r="I207" s="23" t="s">
        <v>10589</v>
      </c>
      <c r="J207" s="23" t="s">
        <v>466</v>
      </c>
      <c r="K207" s="27" t="s">
        <v>404</v>
      </c>
      <c r="L207" s="23" t="s">
        <v>405</v>
      </c>
      <c r="M207" s="25" t="s">
        <v>18</v>
      </c>
      <c r="N207" s="23" t="s">
        <v>40</v>
      </c>
      <c r="O207" s="23" t="s">
        <v>387</v>
      </c>
      <c r="P207" s="23" t="s">
        <v>40</v>
      </c>
      <c r="Q207" s="23" t="s">
        <v>40</v>
      </c>
      <c r="R207" s="23" t="s">
        <v>269</v>
      </c>
      <c r="S207" s="23" t="s">
        <v>10550</v>
      </c>
      <c r="T207" s="23" t="s">
        <v>40</v>
      </c>
    </row>
    <row r="208" spans="1:20" x14ac:dyDescent="0.25">
      <c r="A208" s="23" t="s">
        <v>10590</v>
      </c>
      <c r="B208" s="23" t="s">
        <v>268</v>
      </c>
      <c r="C208" s="23" t="s">
        <v>6700</v>
      </c>
      <c r="D208" s="23" t="s">
        <v>10591</v>
      </c>
      <c r="E208" s="23" t="s">
        <v>9402</v>
      </c>
      <c r="F208" s="23" t="s">
        <v>40</v>
      </c>
      <c r="G208" s="23" t="s">
        <v>10592</v>
      </c>
      <c r="H208" s="23" t="s">
        <v>10593</v>
      </c>
      <c r="I208" s="23" t="s">
        <v>1963</v>
      </c>
      <c r="J208" s="23" t="s">
        <v>525</v>
      </c>
      <c r="K208" s="24" t="s">
        <v>386</v>
      </c>
      <c r="L208" s="23" t="s">
        <v>13</v>
      </c>
      <c r="M208" s="25" t="s">
        <v>18</v>
      </c>
      <c r="N208" s="23" t="s">
        <v>40</v>
      </c>
      <c r="O208" s="23" t="s">
        <v>387</v>
      </c>
      <c r="P208" s="23" t="s">
        <v>40</v>
      </c>
      <c r="Q208" s="23" t="s">
        <v>40</v>
      </c>
      <c r="R208" s="23" t="s">
        <v>269</v>
      </c>
      <c r="S208" s="23" t="s">
        <v>1710</v>
      </c>
      <c r="T208" s="23" t="s">
        <v>40</v>
      </c>
    </row>
    <row r="209" spans="1:20" x14ac:dyDescent="0.25">
      <c r="A209" s="23" t="s">
        <v>10594</v>
      </c>
      <c r="B209" s="23" t="s">
        <v>270</v>
      </c>
      <c r="C209" s="23" t="s">
        <v>944</v>
      </c>
      <c r="D209" s="23" t="s">
        <v>10595</v>
      </c>
      <c r="E209" s="23" t="s">
        <v>3835</v>
      </c>
      <c r="F209" s="23" t="s">
        <v>10596</v>
      </c>
      <c r="G209" s="23" t="s">
        <v>10597</v>
      </c>
      <c r="H209" s="23" t="s">
        <v>10598</v>
      </c>
      <c r="I209" s="23" t="s">
        <v>10599</v>
      </c>
      <c r="J209" s="23" t="s">
        <v>385</v>
      </c>
      <c r="K209" s="24" t="s">
        <v>386</v>
      </c>
      <c r="L209" s="23" t="s">
        <v>13</v>
      </c>
      <c r="M209" s="31" t="s">
        <v>17</v>
      </c>
      <c r="N209" s="23" t="s">
        <v>10600</v>
      </c>
      <c r="O209" s="29" t="s">
        <v>87</v>
      </c>
      <c r="P209" s="23" t="s">
        <v>40</v>
      </c>
      <c r="Q209" s="23" t="s">
        <v>40</v>
      </c>
      <c r="R209" s="23" t="s">
        <v>271</v>
      </c>
      <c r="S209" s="23" t="s">
        <v>40</v>
      </c>
      <c r="T209" s="23" t="s">
        <v>40</v>
      </c>
    </row>
    <row r="210" spans="1:20" x14ac:dyDescent="0.25">
      <c r="A210" s="23" t="s">
        <v>10601</v>
      </c>
      <c r="B210" s="23" t="s">
        <v>270</v>
      </c>
      <c r="C210" s="23" t="s">
        <v>2222</v>
      </c>
      <c r="D210" s="23" t="s">
        <v>10602</v>
      </c>
      <c r="E210" s="23" t="s">
        <v>10306</v>
      </c>
      <c r="F210" s="23" t="s">
        <v>40</v>
      </c>
      <c r="G210" s="23" t="s">
        <v>10603</v>
      </c>
      <c r="H210" s="23" t="s">
        <v>10604</v>
      </c>
      <c r="I210" s="23" t="s">
        <v>10605</v>
      </c>
      <c r="J210" s="23" t="s">
        <v>14</v>
      </c>
      <c r="K210" s="26" t="s">
        <v>396</v>
      </c>
      <c r="L210" s="23" t="s">
        <v>13</v>
      </c>
      <c r="M210" s="25" t="s">
        <v>18</v>
      </c>
      <c r="N210" s="23" t="s">
        <v>40</v>
      </c>
      <c r="O210" s="23" t="s">
        <v>387</v>
      </c>
      <c r="P210" s="23" t="s">
        <v>40</v>
      </c>
      <c r="Q210" s="23" t="s">
        <v>40</v>
      </c>
      <c r="R210" s="23" t="s">
        <v>271</v>
      </c>
      <c r="S210" s="23" t="s">
        <v>1710</v>
      </c>
      <c r="T210" s="23" t="s">
        <v>40</v>
      </c>
    </row>
    <row r="211" spans="1:20" x14ac:dyDescent="0.25">
      <c r="A211" s="23" t="s">
        <v>10606</v>
      </c>
      <c r="B211" s="23" t="s">
        <v>270</v>
      </c>
      <c r="C211" s="23" t="s">
        <v>2222</v>
      </c>
      <c r="D211" s="23" t="s">
        <v>10607</v>
      </c>
      <c r="E211" s="23" t="s">
        <v>10608</v>
      </c>
      <c r="F211" s="23" t="s">
        <v>40</v>
      </c>
      <c r="G211" s="23" t="s">
        <v>10609</v>
      </c>
      <c r="H211" s="23" t="s">
        <v>10610</v>
      </c>
      <c r="I211" s="23" t="s">
        <v>10611</v>
      </c>
      <c r="J211" s="23" t="s">
        <v>15</v>
      </c>
      <c r="K211" s="27" t="s">
        <v>404</v>
      </c>
      <c r="L211" s="23" t="s">
        <v>405</v>
      </c>
      <c r="M211" s="25" t="s">
        <v>18</v>
      </c>
      <c r="N211" s="23" t="s">
        <v>40</v>
      </c>
      <c r="O211" s="23" t="s">
        <v>387</v>
      </c>
      <c r="P211" s="23" t="s">
        <v>40</v>
      </c>
      <c r="Q211" s="23" t="s">
        <v>40</v>
      </c>
      <c r="R211" s="23" t="s">
        <v>271</v>
      </c>
      <c r="S211" s="23" t="s">
        <v>1710</v>
      </c>
      <c r="T211" s="23" t="s">
        <v>40</v>
      </c>
    </row>
    <row r="212" spans="1:20" x14ac:dyDescent="0.25">
      <c r="A212" s="23" t="s">
        <v>10612</v>
      </c>
      <c r="B212" s="23" t="s">
        <v>270</v>
      </c>
      <c r="C212" s="23" t="s">
        <v>2222</v>
      </c>
      <c r="D212" s="23" t="s">
        <v>10613</v>
      </c>
      <c r="E212" s="23" t="s">
        <v>10614</v>
      </c>
      <c r="F212" s="23" t="s">
        <v>40</v>
      </c>
      <c r="G212" s="23" t="s">
        <v>10615</v>
      </c>
      <c r="H212" s="23" t="s">
        <v>10616</v>
      </c>
      <c r="I212" s="23" t="s">
        <v>10617</v>
      </c>
      <c r="J212" s="23" t="s">
        <v>14</v>
      </c>
      <c r="K212" s="24" t="s">
        <v>386</v>
      </c>
      <c r="L212" s="23" t="s">
        <v>405</v>
      </c>
      <c r="M212" s="25" t="s">
        <v>18</v>
      </c>
      <c r="N212" s="23" t="s">
        <v>40</v>
      </c>
      <c r="O212" s="23" t="s">
        <v>387</v>
      </c>
      <c r="P212" s="23" t="s">
        <v>40</v>
      </c>
      <c r="Q212" s="23" t="s">
        <v>40</v>
      </c>
      <c r="R212" s="23" t="s">
        <v>271</v>
      </c>
      <c r="S212" s="23" t="s">
        <v>1710</v>
      </c>
      <c r="T212" s="23" t="s">
        <v>40</v>
      </c>
    </row>
    <row r="213" spans="1:20" x14ac:dyDescent="0.25">
      <c r="A213" s="23" t="s">
        <v>10618</v>
      </c>
      <c r="B213" s="23" t="s">
        <v>270</v>
      </c>
      <c r="C213" s="23" t="s">
        <v>2222</v>
      </c>
      <c r="D213" s="23" t="s">
        <v>10619</v>
      </c>
      <c r="E213" s="23" t="s">
        <v>10620</v>
      </c>
      <c r="F213" s="23" t="s">
        <v>40</v>
      </c>
      <c r="G213" s="23" t="s">
        <v>10621</v>
      </c>
      <c r="H213" s="23" t="s">
        <v>10622</v>
      </c>
      <c r="I213" s="23" t="s">
        <v>10623</v>
      </c>
      <c r="J213" s="23" t="s">
        <v>15</v>
      </c>
      <c r="K213" s="24" t="s">
        <v>386</v>
      </c>
      <c r="L213" s="23" t="s">
        <v>13</v>
      </c>
      <c r="M213" s="25" t="s">
        <v>18</v>
      </c>
      <c r="N213" s="23" t="s">
        <v>40</v>
      </c>
      <c r="O213" s="23" t="s">
        <v>387</v>
      </c>
      <c r="P213" s="23" t="s">
        <v>40</v>
      </c>
      <c r="Q213" s="23" t="s">
        <v>40</v>
      </c>
      <c r="R213" s="23" t="s">
        <v>271</v>
      </c>
      <c r="S213" s="23" t="s">
        <v>1710</v>
      </c>
      <c r="T213" s="23" t="s">
        <v>40</v>
      </c>
    </row>
    <row r="214" spans="1:20" x14ac:dyDescent="0.25">
      <c r="A214" s="23" t="s">
        <v>10624</v>
      </c>
      <c r="B214" s="23" t="s">
        <v>270</v>
      </c>
      <c r="C214" s="23" t="s">
        <v>2222</v>
      </c>
      <c r="D214" s="23" t="s">
        <v>10625</v>
      </c>
      <c r="E214" s="23" t="s">
        <v>10626</v>
      </c>
      <c r="F214" s="23" t="s">
        <v>40</v>
      </c>
      <c r="G214" s="23" t="s">
        <v>10627</v>
      </c>
      <c r="H214" s="23" t="s">
        <v>10628</v>
      </c>
      <c r="I214" s="23" t="s">
        <v>10629</v>
      </c>
      <c r="J214" s="23" t="s">
        <v>14</v>
      </c>
      <c r="K214" s="24" t="s">
        <v>386</v>
      </c>
      <c r="L214" s="23" t="s">
        <v>405</v>
      </c>
      <c r="M214" s="25" t="s">
        <v>18</v>
      </c>
      <c r="N214" s="23" t="s">
        <v>40</v>
      </c>
      <c r="O214" s="23" t="s">
        <v>387</v>
      </c>
      <c r="P214" s="23" t="s">
        <v>40</v>
      </c>
      <c r="Q214" s="23" t="s">
        <v>40</v>
      </c>
      <c r="R214" s="23" t="s">
        <v>271</v>
      </c>
      <c r="S214" s="23" t="s">
        <v>1710</v>
      </c>
      <c r="T214" s="23" t="s">
        <v>40</v>
      </c>
    </row>
    <row r="215" spans="1:20" x14ac:dyDescent="0.25">
      <c r="A215" s="23" t="s">
        <v>10630</v>
      </c>
      <c r="B215" s="23" t="s">
        <v>270</v>
      </c>
      <c r="C215" s="23" t="s">
        <v>10631</v>
      </c>
      <c r="D215" s="23" t="s">
        <v>10632</v>
      </c>
      <c r="E215" s="23" t="s">
        <v>10633</v>
      </c>
      <c r="F215" s="23" t="s">
        <v>40</v>
      </c>
      <c r="G215" s="23" t="s">
        <v>10634</v>
      </c>
      <c r="H215" s="23" t="s">
        <v>10635</v>
      </c>
      <c r="I215" s="23" t="s">
        <v>10636</v>
      </c>
      <c r="J215" s="23" t="s">
        <v>14</v>
      </c>
      <c r="K215" s="24" t="s">
        <v>386</v>
      </c>
      <c r="L215" s="23" t="s">
        <v>405</v>
      </c>
      <c r="M215" s="33" t="s">
        <v>20</v>
      </c>
      <c r="N215" s="23" t="s">
        <v>40</v>
      </c>
      <c r="O215" s="23" t="s">
        <v>387</v>
      </c>
      <c r="P215" s="23" t="s">
        <v>40</v>
      </c>
      <c r="Q215" s="23" t="s">
        <v>40</v>
      </c>
      <c r="R215" s="23" t="s">
        <v>271</v>
      </c>
      <c r="S215" s="23" t="s">
        <v>10637</v>
      </c>
      <c r="T215" s="23" t="s">
        <v>40</v>
      </c>
    </row>
    <row r="216" spans="1:20" x14ac:dyDescent="0.25">
      <c r="A216" s="23" t="s">
        <v>10638</v>
      </c>
      <c r="B216" s="23" t="s">
        <v>272</v>
      </c>
      <c r="C216" s="23" t="s">
        <v>944</v>
      </c>
      <c r="D216" s="23" t="s">
        <v>10639</v>
      </c>
      <c r="E216" s="23" t="s">
        <v>3835</v>
      </c>
      <c r="F216" s="23" t="s">
        <v>10640</v>
      </c>
      <c r="G216" s="23" t="s">
        <v>10641</v>
      </c>
      <c r="H216" s="23" t="s">
        <v>10642</v>
      </c>
      <c r="I216" s="23" t="s">
        <v>10643</v>
      </c>
      <c r="J216" s="23" t="s">
        <v>385</v>
      </c>
      <c r="K216" s="24" t="s">
        <v>386</v>
      </c>
      <c r="L216" s="23" t="s">
        <v>13</v>
      </c>
      <c r="M216" s="31" t="s">
        <v>17</v>
      </c>
      <c r="N216" s="23" t="s">
        <v>10644</v>
      </c>
      <c r="O216" s="29" t="s">
        <v>87</v>
      </c>
      <c r="P216" s="23" t="s">
        <v>40</v>
      </c>
      <c r="Q216" s="23" t="s">
        <v>40</v>
      </c>
      <c r="R216" s="23" t="s">
        <v>273</v>
      </c>
      <c r="S216" s="23" t="s">
        <v>40</v>
      </c>
      <c r="T216" s="23" t="s">
        <v>40</v>
      </c>
    </row>
    <row r="217" spans="1:20" x14ac:dyDescent="0.25">
      <c r="A217" s="23" t="s">
        <v>10645</v>
      </c>
      <c r="B217" s="23" t="s">
        <v>272</v>
      </c>
      <c r="C217" s="23" t="s">
        <v>2327</v>
      </c>
      <c r="D217" s="23" t="s">
        <v>10646</v>
      </c>
      <c r="E217" s="23" t="s">
        <v>10647</v>
      </c>
      <c r="F217" s="23" t="s">
        <v>10648</v>
      </c>
      <c r="G217" s="23" t="s">
        <v>10649</v>
      </c>
      <c r="H217" s="23" t="s">
        <v>10650</v>
      </c>
      <c r="I217" s="23" t="s">
        <v>10651</v>
      </c>
      <c r="J217" s="23" t="s">
        <v>14</v>
      </c>
      <c r="K217" s="24" t="s">
        <v>386</v>
      </c>
      <c r="L217" s="23" t="s">
        <v>405</v>
      </c>
      <c r="M217" s="33" t="s">
        <v>20</v>
      </c>
      <c r="N217" s="23" t="s">
        <v>40</v>
      </c>
      <c r="O217" s="23" t="s">
        <v>387</v>
      </c>
      <c r="P217" s="23" t="s">
        <v>40</v>
      </c>
      <c r="Q217" s="23" t="s">
        <v>40</v>
      </c>
      <c r="R217" s="23" t="s">
        <v>273</v>
      </c>
      <c r="S217" s="23" t="s">
        <v>10637</v>
      </c>
      <c r="T217" s="23" t="s">
        <v>40</v>
      </c>
    </row>
    <row r="218" spans="1:20" x14ac:dyDescent="0.25">
      <c r="A218" s="23" t="s">
        <v>10652</v>
      </c>
      <c r="B218" s="23" t="s">
        <v>272</v>
      </c>
      <c r="C218" s="23" t="s">
        <v>466</v>
      </c>
      <c r="D218" s="23" t="s">
        <v>10653</v>
      </c>
      <c r="E218" s="23" t="s">
        <v>3835</v>
      </c>
      <c r="F218" s="23" t="s">
        <v>40</v>
      </c>
      <c r="G218" s="23" t="s">
        <v>10654</v>
      </c>
      <c r="H218" s="23" t="s">
        <v>10655</v>
      </c>
      <c r="I218" s="23" t="s">
        <v>10656</v>
      </c>
      <c r="J218" s="23" t="s">
        <v>466</v>
      </c>
      <c r="K218" s="27" t="s">
        <v>404</v>
      </c>
      <c r="L218" s="23" t="s">
        <v>405</v>
      </c>
      <c r="M218" s="25" t="s">
        <v>18</v>
      </c>
      <c r="N218" s="23" t="s">
        <v>40</v>
      </c>
      <c r="O218" s="23" t="s">
        <v>387</v>
      </c>
      <c r="P218" s="23" t="s">
        <v>40</v>
      </c>
      <c r="Q218" s="23" t="s">
        <v>40</v>
      </c>
      <c r="R218" s="23" t="s">
        <v>273</v>
      </c>
      <c r="S218" s="23" t="s">
        <v>1710</v>
      </c>
      <c r="T218" s="23" t="s">
        <v>40</v>
      </c>
    </row>
    <row r="219" spans="1:20" x14ac:dyDescent="0.25">
      <c r="A219" s="23" t="s">
        <v>10657</v>
      </c>
      <c r="B219" s="23" t="s">
        <v>272</v>
      </c>
      <c r="C219" s="23" t="s">
        <v>466</v>
      </c>
      <c r="D219" s="23" t="s">
        <v>10658</v>
      </c>
      <c r="E219" s="23" t="s">
        <v>10659</v>
      </c>
      <c r="F219" s="23" t="s">
        <v>40</v>
      </c>
      <c r="G219" s="23" t="s">
        <v>10660</v>
      </c>
      <c r="H219" s="23" t="s">
        <v>10661</v>
      </c>
      <c r="I219" s="23" t="s">
        <v>10662</v>
      </c>
      <c r="J219" s="23" t="s">
        <v>15</v>
      </c>
      <c r="K219" s="27" t="s">
        <v>404</v>
      </c>
      <c r="L219" s="23" t="s">
        <v>405</v>
      </c>
      <c r="M219" s="25" t="s">
        <v>18</v>
      </c>
      <c r="N219" s="23" t="s">
        <v>40</v>
      </c>
      <c r="O219" s="23" t="s">
        <v>387</v>
      </c>
      <c r="P219" s="23" t="s">
        <v>40</v>
      </c>
      <c r="Q219" s="23" t="s">
        <v>40</v>
      </c>
      <c r="R219" s="23" t="s">
        <v>273</v>
      </c>
      <c r="S219" s="23" t="s">
        <v>1710</v>
      </c>
      <c r="T219" s="23" t="s">
        <v>40</v>
      </c>
    </row>
    <row r="220" spans="1:20" x14ac:dyDescent="0.25">
      <c r="A220" s="23" t="s">
        <v>10663</v>
      </c>
      <c r="B220" s="23" t="s">
        <v>272</v>
      </c>
      <c r="C220" s="23" t="s">
        <v>466</v>
      </c>
      <c r="D220" s="23" t="s">
        <v>10664</v>
      </c>
      <c r="E220" s="23" t="s">
        <v>10665</v>
      </c>
      <c r="F220" s="23" t="s">
        <v>40</v>
      </c>
      <c r="G220" s="23" t="s">
        <v>10666</v>
      </c>
      <c r="H220" s="23" t="s">
        <v>10667</v>
      </c>
      <c r="I220" s="23" t="s">
        <v>10668</v>
      </c>
      <c r="J220" s="23" t="s">
        <v>15</v>
      </c>
      <c r="K220" s="27" t="s">
        <v>404</v>
      </c>
      <c r="L220" s="23" t="s">
        <v>490</v>
      </c>
      <c r="M220" s="25" t="s">
        <v>18</v>
      </c>
      <c r="N220" s="23" t="s">
        <v>40</v>
      </c>
      <c r="O220" s="23" t="s">
        <v>387</v>
      </c>
      <c r="P220" s="23" t="s">
        <v>40</v>
      </c>
      <c r="Q220" s="23" t="s">
        <v>40</v>
      </c>
      <c r="R220" s="23" t="s">
        <v>273</v>
      </c>
      <c r="S220" s="23" t="s">
        <v>1710</v>
      </c>
      <c r="T220" s="23" t="s">
        <v>40</v>
      </c>
    </row>
    <row r="221" spans="1:20" x14ac:dyDescent="0.25">
      <c r="A221" s="23" t="s">
        <v>10669</v>
      </c>
      <c r="B221" s="23" t="s">
        <v>272</v>
      </c>
      <c r="C221" s="23" t="s">
        <v>466</v>
      </c>
      <c r="D221" s="23" t="s">
        <v>10670</v>
      </c>
      <c r="E221" s="23" t="s">
        <v>3835</v>
      </c>
      <c r="F221" s="23" t="s">
        <v>40</v>
      </c>
      <c r="G221" s="23" t="s">
        <v>10671</v>
      </c>
      <c r="H221" s="23" t="s">
        <v>10672</v>
      </c>
      <c r="I221" s="23" t="s">
        <v>3984</v>
      </c>
      <c r="J221" s="23" t="s">
        <v>489</v>
      </c>
      <c r="K221" s="27" t="s">
        <v>404</v>
      </c>
      <c r="L221" s="23" t="s">
        <v>490</v>
      </c>
      <c r="M221" s="25" t="s">
        <v>18</v>
      </c>
      <c r="N221" s="23" t="s">
        <v>40</v>
      </c>
      <c r="O221" s="23" t="s">
        <v>387</v>
      </c>
      <c r="P221" s="23" t="s">
        <v>40</v>
      </c>
      <c r="Q221" s="23" t="s">
        <v>40</v>
      </c>
      <c r="R221" s="23" t="s">
        <v>273</v>
      </c>
      <c r="S221" s="23" t="s">
        <v>1710</v>
      </c>
      <c r="T221" s="23" t="s">
        <v>40</v>
      </c>
    </row>
    <row r="222" spans="1:20" x14ac:dyDescent="0.25">
      <c r="A222" s="23" t="s">
        <v>10673</v>
      </c>
      <c r="B222" s="23" t="s">
        <v>274</v>
      </c>
      <c r="C222" s="23" t="s">
        <v>944</v>
      </c>
      <c r="D222" s="23" t="s">
        <v>10674</v>
      </c>
      <c r="E222" s="23" t="s">
        <v>3835</v>
      </c>
      <c r="F222" s="23" t="s">
        <v>10675</v>
      </c>
      <c r="G222" s="23" t="s">
        <v>10676</v>
      </c>
      <c r="H222" s="23" t="s">
        <v>10677</v>
      </c>
      <c r="I222" s="23" t="s">
        <v>10678</v>
      </c>
      <c r="J222" s="23" t="s">
        <v>385</v>
      </c>
      <c r="K222" s="24" t="s">
        <v>386</v>
      </c>
      <c r="L222" s="23" t="s">
        <v>13</v>
      </c>
      <c r="M222" s="31" t="s">
        <v>17</v>
      </c>
      <c r="N222" s="23" t="s">
        <v>10679</v>
      </c>
      <c r="O222" s="29" t="s">
        <v>87</v>
      </c>
      <c r="P222" s="23" t="s">
        <v>40</v>
      </c>
      <c r="Q222" s="23" t="s">
        <v>40</v>
      </c>
      <c r="R222" s="23" t="s">
        <v>275</v>
      </c>
      <c r="S222" s="23" t="s">
        <v>40</v>
      </c>
      <c r="T222" s="23" t="s">
        <v>40</v>
      </c>
    </row>
    <row r="223" spans="1:20" x14ac:dyDescent="0.25">
      <c r="A223" s="23" t="s">
        <v>10680</v>
      </c>
      <c r="B223" s="23" t="s">
        <v>274</v>
      </c>
      <c r="C223" s="23" t="s">
        <v>10681</v>
      </c>
      <c r="D223" s="23" t="s">
        <v>10682</v>
      </c>
      <c r="E223" s="23" t="s">
        <v>10683</v>
      </c>
      <c r="F223" s="23" t="s">
        <v>40</v>
      </c>
      <c r="G223" s="23" t="s">
        <v>10684</v>
      </c>
      <c r="H223" s="23" t="s">
        <v>10685</v>
      </c>
      <c r="I223" s="23" t="s">
        <v>10686</v>
      </c>
      <c r="J223" s="23" t="s">
        <v>14</v>
      </c>
      <c r="K223" s="26" t="s">
        <v>396</v>
      </c>
      <c r="L223" s="23" t="s">
        <v>13</v>
      </c>
      <c r="M223" s="25" t="s">
        <v>18</v>
      </c>
      <c r="N223" s="23" t="s">
        <v>40</v>
      </c>
      <c r="O223" s="23" t="s">
        <v>387</v>
      </c>
      <c r="P223" s="23" t="s">
        <v>40</v>
      </c>
      <c r="Q223" s="23" t="s">
        <v>40</v>
      </c>
      <c r="R223" s="23" t="s">
        <v>275</v>
      </c>
      <c r="S223" s="23" t="s">
        <v>1710</v>
      </c>
      <c r="T223" s="23" t="s">
        <v>40</v>
      </c>
    </row>
    <row r="224" spans="1:20" x14ac:dyDescent="0.25">
      <c r="A224" s="23" t="s">
        <v>10687</v>
      </c>
      <c r="B224" s="23" t="s">
        <v>274</v>
      </c>
      <c r="C224" s="23" t="s">
        <v>10688</v>
      </c>
      <c r="D224" s="23" t="s">
        <v>10689</v>
      </c>
      <c r="E224" s="23" t="s">
        <v>10690</v>
      </c>
      <c r="F224" s="23" t="s">
        <v>40</v>
      </c>
      <c r="G224" s="23" t="s">
        <v>10691</v>
      </c>
      <c r="H224" s="23" t="s">
        <v>10692</v>
      </c>
      <c r="I224" s="23" t="s">
        <v>10693</v>
      </c>
      <c r="J224" s="23" t="s">
        <v>489</v>
      </c>
      <c r="K224" s="24" t="s">
        <v>386</v>
      </c>
      <c r="L224" s="23" t="s">
        <v>13</v>
      </c>
      <c r="M224" s="25" t="s">
        <v>18</v>
      </c>
      <c r="N224" s="23" t="s">
        <v>40</v>
      </c>
      <c r="O224" s="23" t="s">
        <v>387</v>
      </c>
      <c r="P224" s="23" t="s">
        <v>40</v>
      </c>
      <c r="Q224" s="23" t="s">
        <v>40</v>
      </c>
      <c r="R224" s="23" t="s">
        <v>275</v>
      </c>
      <c r="S224" s="23" t="s">
        <v>1710</v>
      </c>
      <c r="T224" s="23" t="s">
        <v>40</v>
      </c>
    </row>
    <row r="225" spans="1:20" x14ac:dyDescent="0.25">
      <c r="A225" s="23" t="s">
        <v>10694</v>
      </c>
      <c r="B225" s="23" t="s">
        <v>274</v>
      </c>
      <c r="C225" s="23" t="s">
        <v>10688</v>
      </c>
      <c r="D225" s="23" t="s">
        <v>10695</v>
      </c>
      <c r="E225" s="23" t="s">
        <v>3835</v>
      </c>
      <c r="F225" s="23" t="s">
        <v>40</v>
      </c>
      <c r="G225" s="23" t="s">
        <v>10696</v>
      </c>
      <c r="H225" s="23" t="s">
        <v>10697</v>
      </c>
      <c r="I225" s="23" t="s">
        <v>10698</v>
      </c>
      <c r="J225" s="23" t="s">
        <v>489</v>
      </c>
      <c r="K225" s="27" t="s">
        <v>404</v>
      </c>
      <c r="L225" s="23" t="s">
        <v>405</v>
      </c>
      <c r="M225" s="25" t="s">
        <v>18</v>
      </c>
      <c r="N225" s="23" t="s">
        <v>40</v>
      </c>
      <c r="O225" s="23" t="s">
        <v>387</v>
      </c>
      <c r="P225" s="23" t="s">
        <v>40</v>
      </c>
      <c r="Q225" s="23" t="s">
        <v>40</v>
      </c>
      <c r="R225" s="23" t="s">
        <v>275</v>
      </c>
      <c r="S225" s="23" t="s">
        <v>1710</v>
      </c>
      <c r="T225" s="23" t="s">
        <v>40</v>
      </c>
    </row>
    <row r="226" spans="1:20" x14ac:dyDescent="0.25">
      <c r="A226" s="23" t="s">
        <v>10699</v>
      </c>
      <c r="B226" s="23" t="s">
        <v>274</v>
      </c>
      <c r="C226" s="23" t="s">
        <v>10700</v>
      </c>
      <c r="D226" s="23" t="s">
        <v>10701</v>
      </c>
      <c r="E226" s="23" t="s">
        <v>3835</v>
      </c>
      <c r="F226" s="23" t="s">
        <v>40</v>
      </c>
      <c r="G226" s="23" t="s">
        <v>10702</v>
      </c>
      <c r="H226" s="23" t="s">
        <v>10703</v>
      </c>
      <c r="I226" s="23" t="s">
        <v>10704</v>
      </c>
      <c r="J226" s="23" t="s">
        <v>466</v>
      </c>
      <c r="K226" s="24" t="s">
        <v>386</v>
      </c>
      <c r="L226" s="23" t="s">
        <v>13</v>
      </c>
      <c r="M226" s="25" t="s">
        <v>18</v>
      </c>
      <c r="N226" s="23" t="s">
        <v>40</v>
      </c>
      <c r="O226" s="23" t="s">
        <v>387</v>
      </c>
      <c r="P226" s="23" t="s">
        <v>40</v>
      </c>
      <c r="Q226" s="23" t="s">
        <v>40</v>
      </c>
      <c r="R226" s="23" t="s">
        <v>275</v>
      </c>
      <c r="S226" s="23" t="s">
        <v>1710</v>
      </c>
      <c r="T226" s="23" t="s">
        <v>40</v>
      </c>
    </row>
    <row r="227" spans="1:20" x14ac:dyDescent="0.25">
      <c r="A227" s="23" t="s">
        <v>10705</v>
      </c>
      <c r="B227" s="23" t="s">
        <v>274</v>
      </c>
      <c r="C227" s="23" t="s">
        <v>10700</v>
      </c>
      <c r="D227" s="23" t="s">
        <v>10706</v>
      </c>
      <c r="E227" s="23" t="s">
        <v>10707</v>
      </c>
      <c r="F227" s="23" t="s">
        <v>40</v>
      </c>
      <c r="G227" s="23" t="s">
        <v>10708</v>
      </c>
      <c r="H227" s="23" t="s">
        <v>10709</v>
      </c>
      <c r="I227" s="23" t="s">
        <v>10710</v>
      </c>
      <c r="J227" s="23" t="s">
        <v>801</v>
      </c>
      <c r="K227" s="24" t="s">
        <v>386</v>
      </c>
      <c r="L227" s="23" t="s">
        <v>405</v>
      </c>
      <c r="M227" s="25" t="s">
        <v>18</v>
      </c>
      <c r="N227" s="23" t="s">
        <v>40</v>
      </c>
      <c r="O227" s="23" t="s">
        <v>387</v>
      </c>
      <c r="P227" s="23" t="s">
        <v>40</v>
      </c>
      <c r="Q227" s="23" t="s">
        <v>40</v>
      </c>
      <c r="R227" s="23" t="s">
        <v>275</v>
      </c>
      <c r="S227" s="23" t="s">
        <v>1710</v>
      </c>
      <c r="T227" s="23" t="s">
        <v>40</v>
      </c>
    </row>
    <row r="228" spans="1:20" x14ac:dyDescent="0.25">
      <c r="A228" s="23" t="s">
        <v>10711</v>
      </c>
      <c r="B228" s="23" t="s">
        <v>274</v>
      </c>
      <c r="C228" s="23" t="s">
        <v>10712</v>
      </c>
      <c r="D228" s="23" t="s">
        <v>10713</v>
      </c>
      <c r="E228" s="23" t="s">
        <v>10714</v>
      </c>
      <c r="F228" s="23" t="s">
        <v>40</v>
      </c>
      <c r="G228" s="23" t="s">
        <v>10715</v>
      </c>
      <c r="H228" s="23" t="s">
        <v>10716</v>
      </c>
      <c r="I228" s="23" t="s">
        <v>10717</v>
      </c>
      <c r="J228" s="23" t="s">
        <v>801</v>
      </c>
      <c r="K228" s="26" t="s">
        <v>396</v>
      </c>
      <c r="L228" s="23" t="s">
        <v>13</v>
      </c>
      <c r="M228" s="25" t="s">
        <v>18</v>
      </c>
      <c r="N228" s="23" t="s">
        <v>40</v>
      </c>
      <c r="O228" s="23" t="s">
        <v>387</v>
      </c>
      <c r="P228" s="23" t="s">
        <v>40</v>
      </c>
      <c r="Q228" s="23" t="s">
        <v>40</v>
      </c>
      <c r="R228" s="23" t="s">
        <v>275</v>
      </c>
      <c r="S228" s="23" t="s">
        <v>1710</v>
      </c>
      <c r="T228" s="23" t="s">
        <v>40</v>
      </c>
    </row>
    <row r="229" spans="1:20" x14ac:dyDescent="0.25">
      <c r="A229" s="23" t="s">
        <v>10718</v>
      </c>
      <c r="B229" s="23" t="s">
        <v>274</v>
      </c>
      <c r="C229" s="23" t="s">
        <v>10712</v>
      </c>
      <c r="D229" s="23" t="s">
        <v>10719</v>
      </c>
      <c r="E229" s="23" t="s">
        <v>10720</v>
      </c>
      <c r="F229" s="23" t="s">
        <v>40</v>
      </c>
      <c r="G229" s="23" t="s">
        <v>10721</v>
      </c>
      <c r="H229" s="23" t="s">
        <v>10722</v>
      </c>
      <c r="I229" s="23" t="s">
        <v>10723</v>
      </c>
      <c r="J229" s="23" t="s">
        <v>14</v>
      </c>
      <c r="K229" s="24" t="s">
        <v>386</v>
      </c>
      <c r="L229" s="23" t="s">
        <v>405</v>
      </c>
      <c r="M229" s="25" t="s">
        <v>18</v>
      </c>
      <c r="N229" s="23" t="s">
        <v>40</v>
      </c>
      <c r="O229" s="23" t="s">
        <v>387</v>
      </c>
      <c r="P229" s="23" t="s">
        <v>40</v>
      </c>
      <c r="Q229" s="23" t="s">
        <v>40</v>
      </c>
      <c r="R229" s="23" t="s">
        <v>275</v>
      </c>
      <c r="S229" s="23" t="s">
        <v>1710</v>
      </c>
      <c r="T229" s="23" t="s">
        <v>40</v>
      </c>
    </row>
    <row r="230" spans="1:20" x14ac:dyDescent="0.25">
      <c r="A230" s="23" t="s">
        <v>10724</v>
      </c>
      <c r="B230" s="23" t="s">
        <v>274</v>
      </c>
      <c r="C230" s="23" t="s">
        <v>10725</v>
      </c>
      <c r="D230" s="23" t="s">
        <v>10726</v>
      </c>
      <c r="E230" s="23" t="s">
        <v>10727</v>
      </c>
      <c r="F230" s="23" t="s">
        <v>40</v>
      </c>
      <c r="G230" s="23" t="s">
        <v>10728</v>
      </c>
      <c r="H230" s="23" t="s">
        <v>10729</v>
      </c>
      <c r="I230" s="23" t="s">
        <v>10730</v>
      </c>
      <c r="J230" s="23" t="s">
        <v>14</v>
      </c>
      <c r="K230" s="24" t="s">
        <v>386</v>
      </c>
      <c r="L230" s="23" t="s">
        <v>405</v>
      </c>
      <c r="M230" s="25" t="s">
        <v>18</v>
      </c>
      <c r="N230" s="23" t="s">
        <v>40</v>
      </c>
      <c r="O230" s="23" t="s">
        <v>387</v>
      </c>
      <c r="P230" s="23" t="s">
        <v>40</v>
      </c>
      <c r="Q230" s="23" t="s">
        <v>40</v>
      </c>
      <c r="R230" s="23" t="s">
        <v>275</v>
      </c>
      <c r="S230" s="23" t="s">
        <v>1710</v>
      </c>
      <c r="T230" s="23" t="s">
        <v>40</v>
      </c>
    </row>
    <row r="231" spans="1:20" x14ac:dyDescent="0.25">
      <c r="A231" s="23" t="s">
        <v>10731</v>
      </c>
      <c r="B231" s="23" t="s">
        <v>274</v>
      </c>
      <c r="C231" s="23" t="s">
        <v>10725</v>
      </c>
      <c r="D231" s="23" t="s">
        <v>10732</v>
      </c>
      <c r="E231" s="23" t="s">
        <v>10733</v>
      </c>
      <c r="F231" s="23" t="s">
        <v>40</v>
      </c>
      <c r="G231" s="23" t="s">
        <v>10734</v>
      </c>
      <c r="H231" s="23" t="s">
        <v>10735</v>
      </c>
      <c r="I231" s="23" t="s">
        <v>10736</v>
      </c>
      <c r="J231" s="23" t="s">
        <v>14</v>
      </c>
      <c r="K231" s="24" t="s">
        <v>386</v>
      </c>
      <c r="L231" s="23" t="s">
        <v>405</v>
      </c>
      <c r="M231" s="25" t="s">
        <v>18</v>
      </c>
      <c r="N231" s="23" t="s">
        <v>40</v>
      </c>
      <c r="O231" s="23" t="s">
        <v>387</v>
      </c>
      <c r="P231" s="23" t="s">
        <v>40</v>
      </c>
      <c r="Q231" s="23" t="s">
        <v>40</v>
      </c>
      <c r="R231" s="23" t="s">
        <v>275</v>
      </c>
      <c r="S231" s="23" t="s">
        <v>1710</v>
      </c>
      <c r="T231" s="23" t="s">
        <v>40</v>
      </c>
    </row>
    <row r="232" spans="1:20" x14ac:dyDescent="0.25">
      <c r="A232" s="23" t="s">
        <v>10737</v>
      </c>
      <c r="B232" s="23" t="s">
        <v>274</v>
      </c>
      <c r="C232" s="23" t="s">
        <v>10725</v>
      </c>
      <c r="D232" s="23" t="s">
        <v>10738</v>
      </c>
      <c r="E232" s="23" t="s">
        <v>3835</v>
      </c>
      <c r="F232" s="23" t="s">
        <v>40</v>
      </c>
      <c r="G232" s="23" t="s">
        <v>10739</v>
      </c>
      <c r="H232" s="23" t="s">
        <v>10740</v>
      </c>
      <c r="I232" s="23" t="s">
        <v>10741</v>
      </c>
      <c r="J232" s="23" t="s">
        <v>466</v>
      </c>
      <c r="K232" s="27" t="s">
        <v>404</v>
      </c>
      <c r="L232" s="23" t="s">
        <v>490</v>
      </c>
      <c r="M232" s="25" t="s">
        <v>18</v>
      </c>
      <c r="N232" s="23" t="s">
        <v>40</v>
      </c>
      <c r="O232" s="23" t="s">
        <v>387</v>
      </c>
      <c r="P232" s="23" t="s">
        <v>40</v>
      </c>
      <c r="Q232" s="23" t="s">
        <v>40</v>
      </c>
      <c r="R232" s="23" t="s">
        <v>275</v>
      </c>
      <c r="S232" s="23" t="s">
        <v>1710</v>
      </c>
      <c r="T232" s="23" t="s">
        <v>40</v>
      </c>
    </row>
    <row r="233" spans="1:20" x14ac:dyDescent="0.25">
      <c r="A233" s="23" t="s">
        <v>10742</v>
      </c>
      <c r="B233" s="23" t="s">
        <v>274</v>
      </c>
      <c r="C233" s="23" t="s">
        <v>10743</v>
      </c>
      <c r="D233" s="23" t="s">
        <v>10744</v>
      </c>
      <c r="E233" s="23" t="s">
        <v>10745</v>
      </c>
      <c r="F233" s="23" t="s">
        <v>40</v>
      </c>
      <c r="G233" s="23" t="s">
        <v>10746</v>
      </c>
      <c r="H233" s="23" t="s">
        <v>10747</v>
      </c>
      <c r="I233" s="23" t="s">
        <v>10748</v>
      </c>
      <c r="J233" s="23" t="s">
        <v>15</v>
      </c>
      <c r="K233" s="27" t="s">
        <v>404</v>
      </c>
      <c r="L233" s="23" t="s">
        <v>405</v>
      </c>
      <c r="M233" s="25" t="s">
        <v>18</v>
      </c>
      <c r="N233" s="23" t="s">
        <v>40</v>
      </c>
      <c r="O233" s="23" t="s">
        <v>387</v>
      </c>
      <c r="P233" s="23" t="s">
        <v>40</v>
      </c>
      <c r="Q233" s="23" t="s">
        <v>40</v>
      </c>
      <c r="R233" s="23" t="s">
        <v>275</v>
      </c>
      <c r="S233" s="23" t="s">
        <v>1710</v>
      </c>
      <c r="T233" s="23" t="s">
        <v>40</v>
      </c>
    </row>
    <row r="234" spans="1:20" x14ac:dyDescent="0.25">
      <c r="A234" s="23" t="s">
        <v>10749</v>
      </c>
      <c r="B234" s="23" t="s">
        <v>274</v>
      </c>
      <c r="C234" s="23" t="s">
        <v>951</v>
      </c>
      <c r="D234" s="23" t="s">
        <v>10750</v>
      </c>
      <c r="E234" s="23" t="s">
        <v>3835</v>
      </c>
      <c r="F234" s="23" t="s">
        <v>40</v>
      </c>
      <c r="G234" s="23" t="s">
        <v>10751</v>
      </c>
      <c r="H234" s="23" t="s">
        <v>10752</v>
      </c>
      <c r="I234" s="23" t="s">
        <v>10753</v>
      </c>
      <c r="J234" s="23" t="s">
        <v>14</v>
      </c>
      <c r="K234" s="27" t="s">
        <v>404</v>
      </c>
      <c r="L234" s="23" t="s">
        <v>490</v>
      </c>
      <c r="M234" s="25" t="s">
        <v>18</v>
      </c>
      <c r="N234" s="23" t="s">
        <v>40</v>
      </c>
      <c r="O234" s="23" t="s">
        <v>387</v>
      </c>
      <c r="P234" s="23" t="s">
        <v>40</v>
      </c>
      <c r="Q234" s="23" t="s">
        <v>40</v>
      </c>
      <c r="R234" s="23" t="s">
        <v>275</v>
      </c>
      <c r="S234" s="23" t="s">
        <v>1710</v>
      </c>
      <c r="T234" s="23" t="s">
        <v>40</v>
      </c>
    </row>
    <row r="235" spans="1:20" x14ac:dyDescent="0.25">
      <c r="A235" s="23" t="s">
        <v>10754</v>
      </c>
      <c r="B235" s="23" t="s">
        <v>274</v>
      </c>
      <c r="C235" s="23" t="s">
        <v>6700</v>
      </c>
      <c r="D235" s="23" t="s">
        <v>10755</v>
      </c>
      <c r="E235" s="23" t="s">
        <v>9402</v>
      </c>
      <c r="F235" s="23" t="s">
        <v>40</v>
      </c>
      <c r="G235" s="23" t="s">
        <v>10756</v>
      </c>
      <c r="H235" s="23" t="s">
        <v>10757</v>
      </c>
      <c r="I235" s="23" t="s">
        <v>10758</v>
      </c>
      <c r="J235" s="23" t="s">
        <v>525</v>
      </c>
      <c r="K235" s="24" t="s">
        <v>386</v>
      </c>
      <c r="L235" s="23" t="s">
        <v>13</v>
      </c>
      <c r="M235" s="25" t="s">
        <v>18</v>
      </c>
      <c r="N235" s="23" t="s">
        <v>40</v>
      </c>
      <c r="O235" s="23" t="s">
        <v>387</v>
      </c>
      <c r="P235" s="23" t="s">
        <v>40</v>
      </c>
      <c r="Q235" s="23" t="s">
        <v>40</v>
      </c>
      <c r="R235" s="23" t="s">
        <v>275</v>
      </c>
      <c r="S235" s="23" t="s">
        <v>1710</v>
      </c>
      <c r="T235" s="23" t="s">
        <v>40</v>
      </c>
    </row>
    <row r="236" spans="1:20" x14ac:dyDescent="0.25">
      <c r="A236" s="23" t="s">
        <v>10759</v>
      </c>
      <c r="B236" s="23" t="s">
        <v>276</v>
      </c>
      <c r="C236" s="23" t="s">
        <v>944</v>
      </c>
      <c r="D236" s="23" t="s">
        <v>10760</v>
      </c>
      <c r="E236" s="23" t="s">
        <v>3835</v>
      </c>
      <c r="F236" s="23" t="s">
        <v>10761</v>
      </c>
      <c r="G236" s="23" t="s">
        <v>10762</v>
      </c>
      <c r="H236" s="23" t="s">
        <v>10763</v>
      </c>
      <c r="I236" s="23" t="s">
        <v>10764</v>
      </c>
      <c r="J236" s="23" t="s">
        <v>385</v>
      </c>
      <c r="K236" s="24" t="s">
        <v>386</v>
      </c>
      <c r="L236" s="23" t="s">
        <v>13</v>
      </c>
      <c r="M236" s="31" t="s">
        <v>17</v>
      </c>
      <c r="N236" s="23" t="s">
        <v>10765</v>
      </c>
      <c r="O236" s="29" t="s">
        <v>87</v>
      </c>
      <c r="P236" s="23" t="s">
        <v>40</v>
      </c>
      <c r="Q236" s="23" t="s">
        <v>40</v>
      </c>
      <c r="R236" s="23" t="s">
        <v>277</v>
      </c>
      <c r="S236" s="23" t="s">
        <v>40</v>
      </c>
      <c r="T236" s="23" t="s">
        <v>40</v>
      </c>
    </row>
    <row r="237" spans="1:20" x14ac:dyDescent="0.25">
      <c r="A237" s="23" t="s">
        <v>10766</v>
      </c>
      <c r="B237" s="23" t="s">
        <v>276</v>
      </c>
      <c r="C237" s="23" t="s">
        <v>10681</v>
      </c>
      <c r="D237" s="23" t="s">
        <v>10767</v>
      </c>
      <c r="E237" s="23" t="s">
        <v>10768</v>
      </c>
      <c r="F237" s="23" t="s">
        <v>40</v>
      </c>
      <c r="G237" s="23" t="s">
        <v>10769</v>
      </c>
      <c r="H237" s="23" t="s">
        <v>10770</v>
      </c>
      <c r="I237" s="23" t="s">
        <v>10771</v>
      </c>
      <c r="J237" s="23" t="s">
        <v>14</v>
      </c>
      <c r="K237" s="26" t="s">
        <v>396</v>
      </c>
      <c r="L237" s="23" t="s">
        <v>13</v>
      </c>
      <c r="M237" s="25" t="s">
        <v>18</v>
      </c>
      <c r="N237" s="23" t="s">
        <v>40</v>
      </c>
      <c r="O237" s="23" t="s">
        <v>387</v>
      </c>
      <c r="P237" s="23" t="s">
        <v>40</v>
      </c>
      <c r="Q237" s="23" t="s">
        <v>40</v>
      </c>
      <c r="R237" s="23" t="s">
        <v>277</v>
      </c>
      <c r="S237" s="23" t="s">
        <v>1710</v>
      </c>
      <c r="T237" s="23" t="s">
        <v>40</v>
      </c>
    </row>
    <row r="238" spans="1:20" x14ac:dyDescent="0.25">
      <c r="A238" s="23" t="s">
        <v>10772</v>
      </c>
      <c r="B238" s="23" t="s">
        <v>276</v>
      </c>
      <c r="C238" s="23" t="s">
        <v>466</v>
      </c>
      <c r="D238" s="23" t="s">
        <v>10773</v>
      </c>
      <c r="E238" s="23" t="s">
        <v>3835</v>
      </c>
      <c r="F238" s="23" t="s">
        <v>40</v>
      </c>
      <c r="G238" s="23" t="s">
        <v>10774</v>
      </c>
      <c r="H238" s="23" t="s">
        <v>10775</v>
      </c>
      <c r="I238" s="23" t="s">
        <v>10776</v>
      </c>
      <c r="J238" s="23" t="s">
        <v>466</v>
      </c>
      <c r="K238" s="27" t="s">
        <v>404</v>
      </c>
      <c r="L238" s="23" t="s">
        <v>405</v>
      </c>
      <c r="M238" s="25" t="s">
        <v>18</v>
      </c>
      <c r="N238" s="23" t="s">
        <v>40</v>
      </c>
      <c r="O238" s="23" t="s">
        <v>387</v>
      </c>
      <c r="P238" s="23" t="s">
        <v>40</v>
      </c>
      <c r="Q238" s="23" t="s">
        <v>40</v>
      </c>
      <c r="R238" s="23" t="s">
        <v>277</v>
      </c>
      <c r="S238" s="23" t="s">
        <v>1710</v>
      </c>
      <c r="T238" s="23" t="s">
        <v>40</v>
      </c>
    </row>
    <row r="239" spans="1:20" x14ac:dyDescent="0.25">
      <c r="A239" s="23" t="s">
        <v>10777</v>
      </c>
      <c r="B239" s="23" t="s">
        <v>276</v>
      </c>
      <c r="C239" s="23" t="s">
        <v>466</v>
      </c>
      <c r="D239" s="23" t="s">
        <v>10778</v>
      </c>
      <c r="E239" s="23" t="s">
        <v>3835</v>
      </c>
      <c r="F239" s="23" t="s">
        <v>40</v>
      </c>
      <c r="G239" s="23" t="s">
        <v>10779</v>
      </c>
      <c r="H239" s="23" t="s">
        <v>10780</v>
      </c>
      <c r="I239" s="23" t="s">
        <v>3984</v>
      </c>
      <c r="J239" s="23" t="s">
        <v>15</v>
      </c>
      <c r="K239" s="27" t="s">
        <v>404</v>
      </c>
      <c r="L239" s="23" t="s">
        <v>405</v>
      </c>
      <c r="M239" s="25" t="s">
        <v>18</v>
      </c>
      <c r="N239" s="23" t="s">
        <v>40</v>
      </c>
      <c r="O239" s="23" t="s">
        <v>387</v>
      </c>
      <c r="P239" s="23" t="s">
        <v>40</v>
      </c>
      <c r="Q239" s="23" t="s">
        <v>40</v>
      </c>
      <c r="R239" s="23" t="s">
        <v>277</v>
      </c>
      <c r="S239" s="23" t="s">
        <v>1710</v>
      </c>
      <c r="T239" s="23" t="s">
        <v>40</v>
      </c>
    </row>
    <row r="240" spans="1:20" x14ac:dyDescent="0.25">
      <c r="A240" s="23" t="s">
        <v>10781</v>
      </c>
      <c r="B240" s="23" t="s">
        <v>276</v>
      </c>
      <c r="C240" s="23" t="s">
        <v>9161</v>
      </c>
      <c r="D240" s="23" t="s">
        <v>10782</v>
      </c>
      <c r="E240" s="23" t="s">
        <v>10783</v>
      </c>
      <c r="F240" s="23" t="s">
        <v>40</v>
      </c>
      <c r="G240" s="23" t="s">
        <v>10784</v>
      </c>
      <c r="H240" s="23" t="s">
        <v>10785</v>
      </c>
      <c r="I240" s="23" t="s">
        <v>10786</v>
      </c>
      <c r="J240" s="23" t="s">
        <v>14</v>
      </c>
      <c r="K240" s="24" t="s">
        <v>386</v>
      </c>
      <c r="L240" s="23" t="s">
        <v>405</v>
      </c>
      <c r="M240" s="25" t="s">
        <v>18</v>
      </c>
      <c r="N240" s="23" t="s">
        <v>40</v>
      </c>
      <c r="O240" s="23" t="s">
        <v>387</v>
      </c>
      <c r="P240" s="23" t="s">
        <v>40</v>
      </c>
      <c r="Q240" s="23" t="s">
        <v>40</v>
      </c>
      <c r="R240" s="23" t="s">
        <v>277</v>
      </c>
      <c r="S240" s="23" t="s">
        <v>1710</v>
      </c>
      <c r="T240" s="23" t="s">
        <v>40</v>
      </c>
    </row>
    <row r="241" spans="1:20" x14ac:dyDescent="0.25">
      <c r="A241" s="23" t="s">
        <v>10787</v>
      </c>
      <c r="B241" s="23" t="s">
        <v>276</v>
      </c>
      <c r="C241" s="23" t="s">
        <v>801</v>
      </c>
      <c r="D241" s="23" t="s">
        <v>10788</v>
      </c>
      <c r="E241" s="23" t="s">
        <v>10789</v>
      </c>
      <c r="F241" s="23" t="s">
        <v>40</v>
      </c>
      <c r="G241" s="23" t="s">
        <v>10790</v>
      </c>
      <c r="H241" s="23" t="s">
        <v>10791</v>
      </c>
      <c r="I241" s="23" t="s">
        <v>10792</v>
      </c>
      <c r="J241" s="23" t="s">
        <v>801</v>
      </c>
      <c r="K241" s="26" t="s">
        <v>396</v>
      </c>
      <c r="L241" s="23" t="s">
        <v>13</v>
      </c>
      <c r="M241" s="25" t="s">
        <v>18</v>
      </c>
      <c r="N241" s="23" t="s">
        <v>40</v>
      </c>
      <c r="O241" s="23" t="s">
        <v>387</v>
      </c>
      <c r="P241" s="23" t="s">
        <v>40</v>
      </c>
      <c r="Q241" s="23" t="s">
        <v>40</v>
      </c>
      <c r="R241" s="23" t="s">
        <v>277</v>
      </c>
      <c r="S241" s="23" t="s">
        <v>1710</v>
      </c>
      <c r="T241" s="23" t="s">
        <v>40</v>
      </c>
    </row>
    <row r="242" spans="1:20" x14ac:dyDescent="0.25">
      <c r="A242" s="23" t="s">
        <v>10793</v>
      </c>
      <c r="B242" s="23" t="s">
        <v>276</v>
      </c>
      <c r="C242" s="23" t="s">
        <v>6700</v>
      </c>
      <c r="D242" s="23" t="s">
        <v>10794</v>
      </c>
      <c r="E242" s="23" t="s">
        <v>9402</v>
      </c>
      <c r="F242" s="23" t="s">
        <v>40</v>
      </c>
      <c r="G242" s="23" t="s">
        <v>10795</v>
      </c>
      <c r="H242" s="23" t="s">
        <v>10796</v>
      </c>
      <c r="I242" s="23" t="s">
        <v>10797</v>
      </c>
      <c r="J242" s="23" t="s">
        <v>525</v>
      </c>
      <c r="K242" s="24" t="s">
        <v>386</v>
      </c>
      <c r="L242" s="23" t="s">
        <v>405</v>
      </c>
      <c r="M242" s="25" t="s">
        <v>18</v>
      </c>
      <c r="N242" s="23" t="s">
        <v>40</v>
      </c>
      <c r="O242" s="23" t="s">
        <v>387</v>
      </c>
      <c r="P242" s="23" t="s">
        <v>40</v>
      </c>
      <c r="Q242" s="23" t="s">
        <v>40</v>
      </c>
      <c r="R242" s="23" t="s">
        <v>277</v>
      </c>
      <c r="S242" s="23" t="s">
        <v>1710</v>
      </c>
      <c r="T242" s="23" t="s">
        <v>40</v>
      </c>
    </row>
    <row r="243" spans="1:20" x14ac:dyDescent="0.25">
      <c r="A243" s="23" t="s">
        <v>10798</v>
      </c>
      <c r="B243" s="23" t="s">
        <v>278</v>
      </c>
      <c r="C243" s="23" t="s">
        <v>944</v>
      </c>
      <c r="D243" s="23" t="s">
        <v>10799</v>
      </c>
      <c r="E243" s="23" t="s">
        <v>3835</v>
      </c>
      <c r="F243" s="23" t="s">
        <v>10800</v>
      </c>
      <c r="G243" s="23" t="s">
        <v>10801</v>
      </c>
      <c r="H243" s="23" t="s">
        <v>10802</v>
      </c>
      <c r="I243" s="23" t="s">
        <v>10803</v>
      </c>
      <c r="J243" s="23" t="s">
        <v>385</v>
      </c>
      <c r="K243" s="24" t="s">
        <v>386</v>
      </c>
      <c r="L243" s="23" t="s">
        <v>13</v>
      </c>
      <c r="M243" s="31" t="s">
        <v>17</v>
      </c>
      <c r="N243" s="23" t="s">
        <v>10804</v>
      </c>
      <c r="O243" s="29" t="s">
        <v>87</v>
      </c>
      <c r="P243" s="23" t="s">
        <v>40</v>
      </c>
      <c r="Q243" s="23" t="s">
        <v>40</v>
      </c>
      <c r="R243" s="23" t="s">
        <v>279</v>
      </c>
      <c r="S243" s="23" t="s">
        <v>40</v>
      </c>
      <c r="T243" s="23" t="s">
        <v>40</v>
      </c>
    </row>
    <row r="244" spans="1:20" x14ac:dyDescent="0.25">
      <c r="A244" s="23" t="s">
        <v>10805</v>
      </c>
      <c r="B244" s="23" t="s">
        <v>278</v>
      </c>
      <c r="C244" s="23" t="s">
        <v>10806</v>
      </c>
      <c r="D244" s="23" t="s">
        <v>10807</v>
      </c>
      <c r="E244" s="23" t="s">
        <v>10808</v>
      </c>
      <c r="F244" s="23" t="s">
        <v>10809</v>
      </c>
      <c r="G244" s="23" t="s">
        <v>10810</v>
      </c>
      <c r="H244" s="23" t="s">
        <v>10811</v>
      </c>
      <c r="I244" s="23" t="s">
        <v>10812</v>
      </c>
      <c r="J244" s="23" t="s">
        <v>14</v>
      </c>
      <c r="K244" s="26" t="s">
        <v>396</v>
      </c>
      <c r="L244" s="23" t="s">
        <v>13</v>
      </c>
      <c r="M244" s="25" t="s">
        <v>18</v>
      </c>
      <c r="N244" s="23" t="s">
        <v>40</v>
      </c>
      <c r="O244" s="23" t="s">
        <v>387</v>
      </c>
      <c r="P244" s="23" t="s">
        <v>40</v>
      </c>
      <c r="Q244" s="23" t="s">
        <v>40</v>
      </c>
      <c r="R244" s="23" t="s">
        <v>279</v>
      </c>
      <c r="S244" s="23" t="s">
        <v>1710</v>
      </c>
      <c r="T244" s="23" t="s">
        <v>40</v>
      </c>
    </row>
    <row r="245" spans="1:20" x14ac:dyDescent="0.25">
      <c r="A245" s="23" t="s">
        <v>10813</v>
      </c>
      <c r="B245" s="23" t="s">
        <v>278</v>
      </c>
      <c r="C245" s="23" t="s">
        <v>10806</v>
      </c>
      <c r="D245" s="23" t="s">
        <v>10814</v>
      </c>
      <c r="E245" s="23" t="s">
        <v>3835</v>
      </c>
      <c r="F245" s="23" t="s">
        <v>40</v>
      </c>
      <c r="G245" s="23" t="s">
        <v>10815</v>
      </c>
      <c r="H245" s="23" t="s">
        <v>10816</v>
      </c>
      <c r="I245" s="23" t="s">
        <v>10817</v>
      </c>
      <c r="J245" s="23" t="s">
        <v>489</v>
      </c>
      <c r="K245" s="24" t="s">
        <v>386</v>
      </c>
      <c r="L245" s="23" t="s">
        <v>13</v>
      </c>
      <c r="M245" s="25" t="s">
        <v>18</v>
      </c>
      <c r="N245" s="23" t="s">
        <v>40</v>
      </c>
      <c r="O245" s="23" t="s">
        <v>387</v>
      </c>
      <c r="P245" s="23" t="s">
        <v>40</v>
      </c>
      <c r="Q245" s="23" t="s">
        <v>40</v>
      </c>
      <c r="R245" s="23" t="s">
        <v>279</v>
      </c>
      <c r="S245" s="23" t="s">
        <v>1710</v>
      </c>
      <c r="T245" s="23" t="s">
        <v>40</v>
      </c>
    </row>
    <row r="246" spans="1:20" x14ac:dyDescent="0.25">
      <c r="A246" s="23" t="s">
        <v>10818</v>
      </c>
      <c r="B246" s="23" t="s">
        <v>278</v>
      </c>
      <c r="C246" s="23" t="s">
        <v>10806</v>
      </c>
      <c r="D246" s="23" t="s">
        <v>10819</v>
      </c>
      <c r="E246" s="23" t="s">
        <v>3835</v>
      </c>
      <c r="F246" s="23" t="s">
        <v>40</v>
      </c>
      <c r="G246" s="23" t="s">
        <v>10820</v>
      </c>
      <c r="H246" s="23" t="s">
        <v>10821</v>
      </c>
      <c r="I246" s="23" t="s">
        <v>10822</v>
      </c>
      <c r="J246" s="23" t="s">
        <v>489</v>
      </c>
      <c r="K246" s="27" t="s">
        <v>404</v>
      </c>
      <c r="L246" s="23" t="s">
        <v>405</v>
      </c>
      <c r="M246" s="25" t="s">
        <v>18</v>
      </c>
      <c r="N246" s="23" t="s">
        <v>40</v>
      </c>
      <c r="O246" s="23" t="s">
        <v>387</v>
      </c>
      <c r="P246" s="23" t="s">
        <v>40</v>
      </c>
      <c r="Q246" s="23" t="s">
        <v>40</v>
      </c>
      <c r="R246" s="23" t="s">
        <v>279</v>
      </c>
      <c r="S246" s="23" t="s">
        <v>1710</v>
      </c>
      <c r="T246" s="23" t="s">
        <v>40</v>
      </c>
    </row>
    <row r="247" spans="1:20" x14ac:dyDescent="0.25">
      <c r="A247" s="23" t="s">
        <v>10823</v>
      </c>
      <c r="B247" s="23" t="s">
        <v>278</v>
      </c>
      <c r="C247" s="23" t="s">
        <v>10806</v>
      </c>
      <c r="D247" s="23" t="s">
        <v>10824</v>
      </c>
      <c r="E247" s="23" t="s">
        <v>3835</v>
      </c>
      <c r="F247" s="23" t="s">
        <v>40</v>
      </c>
      <c r="G247" s="23" t="s">
        <v>10825</v>
      </c>
      <c r="H247" s="23" t="s">
        <v>10826</v>
      </c>
      <c r="I247" s="23" t="s">
        <v>10827</v>
      </c>
      <c r="J247" s="23" t="s">
        <v>15</v>
      </c>
      <c r="K247" s="27" t="s">
        <v>404</v>
      </c>
      <c r="L247" s="23" t="s">
        <v>490</v>
      </c>
      <c r="M247" s="25" t="s">
        <v>18</v>
      </c>
      <c r="N247" s="23" t="s">
        <v>40</v>
      </c>
      <c r="O247" s="23" t="s">
        <v>387</v>
      </c>
      <c r="P247" s="23" t="s">
        <v>40</v>
      </c>
      <c r="Q247" s="23" t="s">
        <v>40</v>
      </c>
      <c r="R247" s="23" t="s">
        <v>279</v>
      </c>
      <c r="S247" s="23" t="s">
        <v>1710</v>
      </c>
      <c r="T247" s="23" t="s">
        <v>40</v>
      </c>
    </row>
    <row r="248" spans="1:20" x14ac:dyDescent="0.25">
      <c r="A248" s="23" t="s">
        <v>10828</v>
      </c>
      <c r="B248" s="23" t="s">
        <v>278</v>
      </c>
      <c r="C248" s="23" t="s">
        <v>6381</v>
      </c>
      <c r="D248" s="23" t="s">
        <v>10829</v>
      </c>
      <c r="E248" s="23" t="s">
        <v>9402</v>
      </c>
      <c r="F248" s="23" t="s">
        <v>40</v>
      </c>
      <c r="G248" s="23" t="s">
        <v>10830</v>
      </c>
      <c r="H248" s="23" t="s">
        <v>10831</v>
      </c>
      <c r="I248" s="23" t="s">
        <v>10832</v>
      </c>
      <c r="J248" s="23" t="s">
        <v>14</v>
      </c>
      <c r="K248" s="24" t="s">
        <v>386</v>
      </c>
      <c r="L248" s="23" t="s">
        <v>405</v>
      </c>
      <c r="M248" s="25" t="s">
        <v>18</v>
      </c>
      <c r="N248" s="23" t="s">
        <v>40</v>
      </c>
      <c r="O248" s="23" t="s">
        <v>387</v>
      </c>
      <c r="P248" s="23" t="s">
        <v>40</v>
      </c>
      <c r="Q248" s="23" t="s">
        <v>40</v>
      </c>
      <c r="R248" s="23" t="s">
        <v>279</v>
      </c>
      <c r="S248" s="23" t="s">
        <v>1710</v>
      </c>
      <c r="T248" s="23" t="s">
        <v>40</v>
      </c>
    </row>
    <row r="249" spans="1:20" x14ac:dyDescent="0.25">
      <c r="A249" s="23" t="s">
        <v>10833</v>
      </c>
      <c r="B249" s="23" t="s">
        <v>280</v>
      </c>
      <c r="C249" s="23" t="s">
        <v>944</v>
      </c>
      <c r="D249" s="23" t="s">
        <v>10834</v>
      </c>
      <c r="E249" s="23" t="s">
        <v>3835</v>
      </c>
      <c r="F249" s="23" t="s">
        <v>10835</v>
      </c>
      <c r="G249" s="23" t="s">
        <v>10836</v>
      </c>
      <c r="H249" s="23" t="s">
        <v>10837</v>
      </c>
      <c r="I249" s="23" t="s">
        <v>10838</v>
      </c>
      <c r="J249" s="23" t="s">
        <v>385</v>
      </c>
      <c r="K249" s="24" t="s">
        <v>386</v>
      </c>
      <c r="L249" s="23" t="s">
        <v>13</v>
      </c>
      <c r="M249" s="31" t="s">
        <v>17</v>
      </c>
      <c r="N249" s="23" t="s">
        <v>10839</v>
      </c>
      <c r="O249" s="29" t="s">
        <v>87</v>
      </c>
      <c r="P249" s="23" t="s">
        <v>40</v>
      </c>
      <c r="Q249" s="23" t="s">
        <v>40</v>
      </c>
      <c r="R249" s="23" t="s">
        <v>281</v>
      </c>
      <c r="S249" s="23" t="s">
        <v>40</v>
      </c>
      <c r="T249" s="23" t="s">
        <v>40</v>
      </c>
    </row>
    <row r="250" spans="1:20" x14ac:dyDescent="0.25">
      <c r="A250" s="23" t="s">
        <v>10840</v>
      </c>
      <c r="B250" s="23" t="s">
        <v>280</v>
      </c>
      <c r="C250" s="23" t="s">
        <v>10841</v>
      </c>
      <c r="D250" s="23" t="s">
        <v>10842</v>
      </c>
      <c r="E250" s="23" t="s">
        <v>10348</v>
      </c>
      <c r="F250" s="23" t="s">
        <v>40</v>
      </c>
      <c r="G250" s="23" t="s">
        <v>10843</v>
      </c>
      <c r="H250" s="23" t="s">
        <v>10844</v>
      </c>
      <c r="I250" s="23" t="s">
        <v>10845</v>
      </c>
      <c r="J250" s="23" t="s">
        <v>801</v>
      </c>
      <c r="K250" s="26" t="s">
        <v>396</v>
      </c>
      <c r="L250" s="23" t="s">
        <v>13</v>
      </c>
      <c r="M250" s="25" t="s">
        <v>18</v>
      </c>
      <c r="N250" s="23" t="s">
        <v>40</v>
      </c>
      <c r="O250" s="23" t="s">
        <v>387</v>
      </c>
      <c r="P250" s="23" t="s">
        <v>40</v>
      </c>
      <c r="Q250" s="23" t="s">
        <v>40</v>
      </c>
      <c r="R250" s="23" t="s">
        <v>281</v>
      </c>
      <c r="S250" s="23" t="s">
        <v>1710</v>
      </c>
      <c r="T250" s="23" t="s">
        <v>40</v>
      </c>
    </row>
    <row r="251" spans="1:20" x14ac:dyDescent="0.25">
      <c r="A251" s="23" t="s">
        <v>10846</v>
      </c>
      <c r="B251" s="23" t="s">
        <v>280</v>
      </c>
      <c r="C251" s="23" t="s">
        <v>10841</v>
      </c>
      <c r="D251" s="23" t="s">
        <v>10847</v>
      </c>
      <c r="E251" s="23" t="s">
        <v>10848</v>
      </c>
      <c r="F251" s="23" t="s">
        <v>40</v>
      </c>
      <c r="G251" s="23" t="s">
        <v>10849</v>
      </c>
      <c r="H251" s="23" t="s">
        <v>10850</v>
      </c>
      <c r="I251" s="23" t="s">
        <v>10851</v>
      </c>
      <c r="J251" s="23" t="s">
        <v>385</v>
      </c>
      <c r="K251" s="32" t="s">
        <v>747</v>
      </c>
      <c r="L251" s="23" t="s">
        <v>490</v>
      </c>
      <c r="M251" s="25" t="s">
        <v>18</v>
      </c>
      <c r="N251" s="23" t="s">
        <v>40</v>
      </c>
      <c r="O251" s="23" t="s">
        <v>387</v>
      </c>
      <c r="P251" s="23" t="s">
        <v>40</v>
      </c>
      <c r="Q251" s="23" t="s">
        <v>40</v>
      </c>
      <c r="R251" s="23" t="s">
        <v>281</v>
      </c>
      <c r="S251" s="23" t="s">
        <v>1710</v>
      </c>
      <c r="T251" s="23" t="s">
        <v>40</v>
      </c>
    </row>
    <row r="252" spans="1:20" x14ac:dyDescent="0.25">
      <c r="A252" s="23" t="s">
        <v>10852</v>
      </c>
      <c r="B252" s="23" t="s">
        <v>280</v>
      </c>
      <c r="C252" s="23" t="s">
        <v>1788</v>
      </c>
      <c r="D252" s="23" t="s">
        <v>10853</v>
      </c>
      <c r="E252" s="23" t="s">
        <v>3835</v>
      </c>
      <c r="F252" s="23" t="s">
        <v>40</v>
      </c>
      <c r="G252" s="23" t="s">
        <v>10854</v>
      </c>
      <c r="H252" s="23" t="s">
        <v>10855</v>
      </c>
      <c r="I252" s="23" t="s">
        <v>10856</v>
      </c>
      <c r="J252" s="23" t="s">
        <v>403</v>
      </c>
      <c r="K252" s="27" t="s">
        <v>404</v>
      </c>
      <c r="L252" s="23" t="s">
        <v>405</v>
      </c>
      <c r="M252" s="25" t="s">
        <v>18</v>
      </c>
      <c r="N252" s="23" t="s">
        <v>40</v>
      </c>
      <c r="O252" s="23" t="s">
        <v>387</v>
      </c>
      <c r="P252" s="23" t="s">
        <v>40</v>
      </c>
      <c r="Q252" s="23" t="s">
        <v>40</v>
      </c>
      <c r="R252" s="23" t="s">
        <v>281</v>
      </c>
      <c r="S252" s="23" t="s">
        <v>1710</v>
      </c>
      <c r="T252" s="23" t="s">
        <v>40</v>
      </c>
    </row>
    <row r="253" spans="1:20" x14ac:dyDescent="0.25">
      <c r="A253" s="23" t="s">
        <v>10857</v>
      </c>
      <c r="B253" s="23" t="s">
        <v>280</v>
      </c>
      <c r="C253" s="23" t="s">
        <v>10858</v>
      </c>
      <c r="D253" s="23" t="s">
        <v>10859</v>
      </c>
      <c r="E253" s="23" t="s">
        <v>3835</v>
      </c>
      <c r="F253" s="23" t="s">
        <v>40</v>
      </c>
      <c r="G253" s="23" t="s">
        <v>10860</v>
      </c>
      <c r="H253" s="23" t="s">
        <v>10861</v>
      </c>
      <c r="I253" s="23" t="s">
        <v>10862</v>
      </c>
      <c r="J253" s="23" t="s">
        <v>14</v>
      </c>
      <c r="K253" s="27" t="s">
        <v>404</v>
      </c>
      <c r="L253" s="23" t="s">
        <v>490</v>
      </c>
      <c r="M253" s="25" t="s">
        <v>18</v>
      </c>
      <c r="N253" s="23" t="s">
        <v>40</v>
      </c>
      <c r="O253" s="23" t="s">
        <v>387</v>
      </c>
      <c r="P253" s="23" t="s">
        <v>40</v>
      </c>
      <c r="Q253" s="23" t="s">
        <v>40</v>
      </c>
      <c r="R253" s="23" t="s">
        <v>281</v>
      </c>
      <c r="S253" s="23" t="s">
        <v>1710</v>
      </c>
      <c r="T253" s="23" t="s">
        <v>40</v>
      </c>
    </row>
    <row r="254" spans="1:20" x14ac:dyDescent="0.25">
      <c r="A254" s="23" t="s">
        <v>10863</v>
      </c>
      <c r="B254" s="23" t="s">
        <v>280</v>
      </c>
      <c r="C254" s="23" t="s">
        <v>6700</v>
      </c>
      <c r="D254" s="23" t="s">
        <v>10864</v>
      </c>
      <c r="E254" s="23" t="s">
        <v>9402</v>
      </c>
      <c r="F254" s="23" t="s">
        <v>40</v>
      </c>
      <c r="G254" s="23" t="s">
        <v>10865</v>
      </c>
      <c r="H254" s="23" t="s">
        <v>10866</v>
      </c>
      <c r="I254" s="23" t="s">
        <v>9540</v>
      </c>
      <c r="J254" s="23" t="s">
        <v>525</v>
      </c>
      <c r="K254" s="24" t="s">
        <v>386</v>
      </c>
      <c r="L254" s="23" t="s">
        <v>13</v>
      </c>
      <c r="M254" s="25" t="s">
        <v>18</v>
      </c>
      <c r="N254" s="23" t="s">
        <v>40</v>
      </c>
      <c r="O254" s="23" t="s">
        <v>387</v>
      </c>
      <c r="P254" s="23" t="s">
        <v>40</v>
      </c>
      <c r="Q254" s="23" t="s">
        <v>40</v>
      </c>
      <c r="R254" s="23" t="s">
        <v>281</v>
      </c>
      <c r="S254" s="23" t="s">
        <v>1710</v>
      </c>
      <c r="T254" s="23" t="s">
        <v>40</v>
      </c>
    </row>
    <row r="255" spans="1:20" x14ac:dyDescent="0.25">
      <c r="A255" s="23" t="s">
        <v>10867</v>
      </c>
      <c r="B255" s="23" t="s">
        <v>282</v>
      </c>
      <c r="C255" s="23" t="s">
        <v>944</v>
      </c>
      <c r="D255" s="23" t="s">
        <v>10868</v>
      </c>
      <c r="E255" s="23" t="s">
        <v>3835</v>
      </c>
      <c r="F255" s="23" t="s">
        <v>10869</v>
      </c>
      <c r="G255" s="23" t="s">
        <v>10870</v>
      </c>
      <c r="H255" s="23" t="s">
        <v>10871</v>
      </c>
      <c r="I255" s="23" t="s">
        <v>10872</v>
      </c>
      <c r="J255" s="23" t="s">
        <v>385</v>
      </c>
      <c r="K255" s="24" t="s">
        <v>386</v>
      </c>
      <c r="L255" s="23" t="s">
        <v>13</v>
      </c>
      <c r="M255" s="31" t="s">
        <v>17</v>
      </c>
      <c r="N255" s="23" t="s">
        <v>10873</v>
      </c>
      <c r="O255" s="29" t="s">
        <v>87</v>
      </c>
      <c r="P255" s="23" t="s">
        <v>40</v>
      </c>
      <c r="Q255" s="23" t="s">
        <v>40</v>
      </c>
      <c r="R255" s="23" t="s">
        <v>283</v>
      </c>
      <c r="S255" s="23" t="s">
        <v>40</v>
      </c>
      <c r="T255" s="23" t="s">
        <v>40</v>
      </c>
    </row>
    <row r="256" spans="1:20" x14ac:dyDescent="0.25">
      <c r="A256" s="23" t="s">
        <v>10874</v>
      </c>
      <c r="B256" s="23" t="s">
        <v>282</v>
      </c>
      <c r="C256" s="23" t="s">
        <v>10875</v>
      </c>
      <c r="D256" s="23" t="s">
        <v>10876</v>
      </c>
      <c r="E256" s="23" t="s">
        <v>10348</v>
      </c>
      <c r="F256" s="23" t="s">
        <v>40</v>
      </c>
      <c r="G256" s="23" t="s">
        <v>10877</v>
      </c>
      <c r="H256" s="23" t="s">
        <v>10878</v>
      </c>
      <c r="I256" s="23" t="s">
        <v>10879</v>
      </c>
      <c r="J256" s="23" t="s">
        <v>14</v>
      </c>
      <c r="K256" s="26" t="s">
        <v>396</v>
      </c>
      <c r="L256" s="23" t="s">
        <v>13</v>
      </c>
      <c r="M256" s="25" t="s">
        <v>18</v>
      </c>
      <c r="N256" s="23" t="s">
        <v>40</v>
      </c>
      <c r="O256" s="23" t="s">
        <v>387</v>
      </c>
      <c r="P256" s="23" t="s">
        <v>40</v>
      </c>
      <c r="Q256" s="23" t="s">
        <v>40</v>
      </c>
      <c r="R256" s="23" t="s">
        <v>283</v>
      </c>
      <c r="S256" s="23" t="s">
        <v>1710</v>
      </c>
      <c r="T256" s="23" t="s">
        <v>40</v>
      </c>
    </row>
    <row r="257" spans="1:20" x14ac:dyDescent="0.25">
      <c r="A257" s="23" t="s">
        <v>10880</v>
      </c>
      <c r="B257" s="23" t="s">
        <v>282</v>
      </c>
      <c r="C257" s="23" t="s">
        <v>10875</v>
      </c>
      <c r="D257" s="23" t="s">
        <v>10881</v>
      </c>
      <c r="E257" s="23" t="s">
        <v>10348</v>
      </c>
      <c r="F257" s="23" t="s">
        <v>40</v>
      </c>
      <c r="G257" s="23" t="s">
        <v>10882</v>
      </c>
      <c r="H257" s="23" t="s">
        <v>10883</v>
      </c>
      <c r="I257" s="23" t="s">
        <v>10884</v>
      </c>
      <c r="J257" s="23" t="s">
        <v>14</v>
      </c>
      <c r="K257" s="24" t="s">
        <v>386</v>
      </c>
      <c r="L257" s="23" t="s">
        <v>405</v>
      </c>
      <c r="M257" s="25" t="s">
        <v>18</v>
      </c>
      <c r="N257" s="23" t="s">
        <v>40</v>
      </c>
      <c r="O257" s="23" t="s">
        <v>387</v>
      </c>
      <c r="P257" s="23" t="s">
        <v>40</v>
      </c>
      <c r="Q257" s="23" t="s">
        <v>40</v>
      </c>
      <c r="R257" s="23" t="s">
        <v>283</v>
      </c>
      <c r="S257" s="23" t="s">
        <v>1710</v>
      </c>
      <c r="T257" s="23" t="s">
        <v>40</v>
      </c>
    </row>
    <row r="258" spans="1:20" x14ac:dyDescent="0.25">
      <c r="A258" s="23" t="s">
        <v>10885</v>
      </c>
      <c r="B258" s="23" t="s">
        <v>282</v>
      </c>
      <c r="C258" s="23" t="s">
        <v>10875</v>
      </c>
      <c r="D258" s="23" t="s">
        <v>10886</v>
      </c>
      <c r="E258" s="23" t="s">
        <v>3835</v>
      </c>
      <c r="F258" s="23" t="s">
        <v>40</v>
      </c>
      <c r="G258" s="23" t="s">
        <v>10887</v>
      </c>
      <c r="H258" s="23" t="s">
        <v>10888</v>
      </c>
      <c r="I258" s="23" t="s">
        <v>10889</v>
      </c>
      <c r="J258" s="23" t="s">
        <v>14</v>
      </c>
      <c r="K258" s="24" t="s">
        <v>386</v>
      </c>
      <c r="L258" s="23" t="s">
        <v>405</v>
      </c>
      <c r="M258" s="25" t="s">
        <v>18</v>
      </c>
      <c r="N258" s="23" t="s">
        <v>40</v>
      </c>
      <c r="O258" s="23" t="s">
        <v>387</v>
      </c>
      <c r="P258" s="23" t="s">
        <v>40</v>
      </c>
      <c r="Q258" s="23" t="s">
        <v>40</v>
      </c>
      <c r="R258" s="23" t="s">
        <v>283</v>
      </c>
      <c r="S258" s="23" t="s">
        <v>1710</v>
      </c>
      <c r="T258" s="23" t="s">
        <v>40</v>
      </c>
    </row>
    <row r="259" spans="1:20" x14ac:dyDescent="0.25">
      <c r="A259" s="23" t="s">
        <v>10890</v>
      </c>
      <c r="B259" s="23" t="s">
        <v>282</v>
      </c>
      <c r="C259" s="23" t="s">
        <v>10875</v>
      </c>
      <c r="D259" s="23" t="s">
        <v>10891</v>
      </c>
      <c r="E259" s="23" t="s">
        <v>3835</v>
      </c>
      <c r="F259" s="23" t="s">
        <v>40</v>
      </c>
      <c r="G259" s="23" t="s">
        <v>10892</v>
      </c>
      <c r="H259" s="23" t="s">
        <v>10893</v>
      </c>
      <c r="I259" s="23" t="s">
        <v>10894</v>
      </c>
      <c r="J259" s="23" t="s">
        <v>14</v>
      </c>
      <c r="K259" s="24" t="s">
        <v>386</v>
      </c>
      <c r="L259" s="23" t="s">
        <v>405</v>
      </c>
      <c r="M259" s="25" t="s">
        <v>18</v>
      </c>
      <c r="N259" s="23" t="s">
        <v>40</v>
      </c>
      <c r="O259" s="23" t="s">
        <v>387</v>
      </c>
      <c r="P259" s="23" t="s">
        <v>40</v>
      </c>
      <c r="Q259" s="23" t="s">
        <v>40</v>
      </c>
      <c r="R259" s="23" t="s">
        <v>283</v>
      </c>
      <c r="S259" s="23" t="s">
        <v>1710</v>
      </c>
      <c r="T259" s="23" t="s">
        <v>40</v>
      </c>
    </row>
    <row r="260" spans="1:20" x14ac:dyDescent="0.25">
      <c r="A260" s="23" t="s">
        <v>10895</v>
      </c>
      <c r="B260" s="23" t="s">
        <v>282</v>
      </c>
      <c r="C260" s="23" t="s">
        <v>10875</v>
      </c>
      <c r="D260" s="23" t="s">
        <v>10896</v>
      </c>
      <c r="E260" s="23" t="s">
        <v>10897</v>
      </c>
      <c r="F260" s="23" t="s">
        <v>40</v>
      </c>
      <c r="G260" s="23" t="s">
        <v>10898</v>
      </c>
      <c r="H260" s="23" t="s">
        <v>10899</v>
      </c>
      <c r="I260" s="23" t="s">
        <v>10900</v>
      </c>
      <c r="J260" s="23" t="s">
        <v>14</v>
      </c>
      <c r="K260" s="27" t="s">
        <v>404</v>
      </c>
      <c r="L260" s="23" t="s">
        <v>490</v>
      </c>
      <c r="M260" s="25" t="s">
        <v>18</v>
      </c>
      <c r="N260" s="23" t="s">
        <v>40</v>
      </c>
      <c r="O260" s="23" t="s">
        <v>387</v>
      </c>
      <c r="P260" s="23" t="s">
        <v>40</v>
      </c>
      <c r="Q260" s="23" t="s">
        <v>40</v>
      </c>
      <c r="R260" s="23" t="s">
        <v>283</v>
      </c>
      <c r="S260" s="23" t="s">
        <v>1710</v>
      </c>
      <c r="T260" s="23" t="s">
        <v>40</v>
      </c>
    </row>
    <row r="261" spans="1:20" x14ac:dyDescent="0.25">
      <c r="A261" s="23" t="s">
        <v>10901</v>
      </c>
      <c r="B261" s="23" t="s">
        <v>282</v>
      </c>
      <c r="C261" s="23" t="s">
        <v>7178</v>
      </c>
      <c r="D261" s="23" t="s">
        <v>10902</v>
      </c>
      <c r="E261" s="23" t="s">
        <v>3835</v>
      </c>
      <c r="F261" s="23" t="s">
        <v>40</v>
      </c>
      <c r="G261" s="23" t="s">
        <v>10903</v>
      </c>
      <c r="H261" s="23" t="s">
        <v>10904</v>
      </c>
      <c r="I261" s="23" t="s">
        <v>10905</v>
      </c>
      <c r="J261" s="23" t="s">
        <v>14</v>
      </c>
      <c r="K261" s="24" t="s">
        <v>386</v>
      </c>
      <c r="L261" s="23" t="s">
        <v>405</v>
      </c>
      <c r="M261" s="25" t="s">
        <v>18</v>
      </c>
      <c r="N261" s="23" t="s">
        <v>40</v>
      </c>
      <c r="O261" s="23" t="s">
        <v>387</v>
      </c>
      <c r="P261" s="23" t="s">
        <v>40</v>
      </c>
      <c r="Q261" s="23" t="s">
        <v>40</v>
      </c>
      <c r="R261" s="23" t="s">
        <v>283</v>
      </c>
      <c r="S261" s="23" t="s">
        <v>1710</v>
      </c>
      <c r="T261" s="23" t="s">
        <v>40</v>
      </c>
    </row>
    <row r="262" spans="1:20" x14ac:dyDescent="0.25">
      <c r="A262" s="23" t="s">
        <v>10906</v>
      </c>
      <c r="B262" s="23" t="s">
        <v>282</v>
      </c>
      <c r="C262" s="23" t="s">
        <v>1741</v>
      </c>
      <c r="D262" s="23" t="s">
        <v>10907</v>
      </c>
      <c r="E262" s="23" t="s">
        <v>3835</v>
      </c>
      <c r="F262" s="23" t="s">
        <v>40</v>
      </c>
      <c r="G262" s="23" t="s">
        <v>10908</v>
      </c>
      <c r="H262" s="23" t="s">
        <v>10909</v>
      </c>
      <c r="I262" s="23" t="s">
        <v>10910</v>
      </c>
      <c r="J262" s="23" t="s">
        <v>15</v>
      </c>
      <c r="K262" s="27" t="s">
        <v>404</v>
      </c>
      <c r="L262" s="23" t="s">
        <v>490</v>
      </c>
      <c r="M262" s="25" t="s">
        <v>18</v>
      </c>
      <c r="N262" s="23" t="s">
        <v>40</v>
      </c>
      <c r="O262" s="23" t="s">
        <v>387</v>
      </c>
      <c r="P262" s="23" t="s">
        <v>40</v>
      </c>
      <c r="Q262" s="23" t="s">
        <v>40</v>
      </c>
      <c r="R262" s="23" t="s">
        <v>283</v>
      </c>
      <c r="S262" s="23" t="s">
        <v>1710</v>
      </c>
      <c r="T262" s="23" t="s">
        <v>40</v>
      </c>
    </row>
    <row r="263" spans="1:20" x14ac:dyDescent="0.25">
      <c r="A263" s="23" t="s">
        <v>10911</v>
      </c>
      <c r="B263" s="23" t="s">
        <v>284</v>
      </c>
      <c r="C263" s="23" t="s">
        <v>944</v>
      </c>
      <c r="D263" s="23" t="s">
        <v>10912</v>
      </c>
      <c r="E263" s="23" t="s">
        <v>3835</v>
      </c>
      <c r="F263" s="23" t="s">
        <v>10913</v>
      </c>
      <c r="G263" s="23" t="s">
        <v>10914</v>
      </c>
      <c r="H263" s="23" t="s">
        <v>10915</v>
      </c>
      <c r="I263" s="23" t="s">
        <v>10916</v>
      </c>
      <c r="J263" s="23" t="s">
        <v>385</v>
      </c>
      <c r="K263" s="24" t="s">
        <v>386</v>
      </c>
      <c r="L263" s="23" t="s">
        <v>13</v>
      </c>
      <c r="M263" s="31" t="s">
        <v>17</v>
      </c>
      <c r="N263" s="23" t="s">
        <v>10917</v>
      </c>
      <c r="O263" s="29" t="s">
        <v>87</v>
      </c>
      <c r="P263" s="23" t="s">
        <v>40</v>
      </c>
      <c r="Q263" s="23" t="s">
        <v>40</v>
      </c>
      <c r="R263" s="23" t="s">
        <v>285</v>
      </c>
      <c r="S263" s="23" t="s">
        <v>40</v>
      </c>
      <c r="T263" s="23" t="s">
        <v>40</v>
      </c>
    </row>
    <row r="264" spans="1:20" x14ac:dyDescent="0.25">
      <c r="A264" s="23" t="s">
        <v>10918</v>
      </c>
      <c r="B264" s="23" t="s">
        <v>284</v>
      </c>
      <c r="C264" s="23" t="s">
        <v>10919</v>
      </c>
      <c r="D264" s="23" t="s">
        <v>10920</v>
      </c>
      <c r="E264" s="23" t="s">
        <v>10921</v>
      </c>
      <c r="F264" s="23" t="s">
        <v>40</v>
      </c>
      <c r="G264" s="23" t="s">
        <v>10922</v>
      </c>
      <c r="H264" s="23" t="s">
        <v>10923</v>
      </c>
      <c r="I264" s="23" t="s">
        <v>10924</v>
      </c>
      <c r="J264" s="23" t="s">
        <v>14</v>
      </c>
      <c r="K264" s="26" t="s">
        <v>396</v>
      </c>
      <c r="L264" s="23" t="s">
        <v>13</v>
      </c>
      <c r="M264" s="25" t="s">
        <v>18</v>
      </c>
      <c r="N264" s="23" t="s">
        <v>40</v>
      </c>
      <c r="O264" s="23" t="s">
        <v>387</v>
      </c>
      <c r="P264" s="23" t="s">
        <v>40</v>
      </c>
      <c r="Q264" s="23" t="s">
        <v>40</v>
      </c>
      <c r="R264" s="23" t="s">
        <v>285</v>
      </c>
      <c r="S264" s="23" t="s">
        <v>1710</v>
      </c>
      <c r="T264" s="23" t="s">
        <v>40</v>
      </c>
    </row>
    <row r="265" spans="1:20" x14ac:dyDescent="0.25">
      <c r="A265" s="23" t="s">
        <v>10925</v>
      </c>
      <c r="B265" s="23" t="s">
        <v>284</v>
      </c>
      <c r="C265" s="23" t="s">
        <v>10919</v>
      </c>
      <c r="D265" s="23" t="s">
        <v>10926</v>
      </c>
      <c r="E265" s="23" t="s">
        <v>10927</v>
      </c>
      <c r="F265" s="23" t="s">
        <v>40</v>
      </c>
      <c r="G265" s="23" t="s">
        <v>10928</v>
      </c>
      <c r="H265" s="23" t="s">
        <v>10929</v>
      </c>
      <c r="I265" s="23" t="s">
        <v>10930</v>
      </c>
      <c r="J265" s="23" t="s">
        <v>14</v>
      </c>
      <c r="K265" s="24" t="s">
        <v>386</v>
      </c>
      <c r="L265" s="23" t="s">
        <v>405</v>
      </c>
      <c r="M265" s="25" t="s">
        <v>18</v>
      </c>
      <c r="N265" s="23" t="s">
        <v>40</v>
      </c>
      <c r="O265" s="23" t="s">
        <v>387</v>
      </c>
      <c r="P265" s="23" t="s">
        <v>40</v>
      </c>
      <c r="Q265" s="23" t="s">
        <v>40</v>
      </c>
      <c r="R265" s="23" t="s">
        <v>285</v>
      </c>
      <c r="S265" s="23" t="s">
        <v>1710</v>
      </c>
      <c r="T265" s="23" t="s">
        <v>40</v>
      </c>
    </row>
    <row r="266" spans="1:20" x14ac:dyDescent="0.25">
      <c r="A266" s="23" t="s">
        <v>10931</v>
      </c>
      <c r="B266" s="23" t="s">
        <v>284</v>
      </c>
      <c r="C266" s="23" t="s">
        <v>1741</v>
      </c>
      <c r="D266" s="23" t="s">
        <v>10932</v>
      </c>
      <c r="E266" s="23" t="s">
        <v>3835</v>
      </c>
      <c r="F266" s="23" t="s">
        <v>40</v>
      </c>
      <c r="G266" s="23" t="s">
        <v>10933</v>
      </c>
      <c r="H266" s="23" t="s">
        <v>10934</v>
      </c>
      <c r="I266" s="23" t="s">
        <v>10935</v>
      </c>
      <c r="J266" s="23" t="s">
        <v>14</v>
      </c>
      <c r="K266" s="27" t="s">
        <v>404</v>
      </c>
      <c r="L266" s="23" t="s">
        <v>490</v>
      </c>
      <c r="M266" s="25" t="s">
        <v>18</v>
      </c>
      <c r="N266" s="23" t="s">
        <v>40</v>
      </c>
      <c r="O266" s="23" t="s">
        <v>387</v>
      </c>
      <c r="P266" s="23" t="s">
        <v>40</v>
      </c>
      <c r="Q266" s="23" t="s">
        <v>40</v>
      </c>
      <c r="R266" s="23" t="s">
        <v>285</v>
      </c>
      <c r="S266" s="23" t="s">
        <v>1710</v>
      </c>
      <c r="T266" s="23" t="s">
        <v>40</v>
      </c>
    </row>
    <row r="267" spans="1:20" x14ac:dyDescent="0.25">
      <c r="A267" s="23" t="s">
        <v>10936</v>
      </c>
      <c r="B267" s="23" t="s">
        <v>284</v>
      </c>
      <c r="C267" s="23" t="s">
        <v>10937</v>
      </c>
      <c r="D267" s="23" t="s">
        <v>10938</v>
      </c>
      <c r="E267" s="23" t="s">
        <v>3835</v>
      </c>
      <c r="F267" s="23" t="s">
        <v>40</v>
      </c>
      <c r="G267" s="23" t="s">
        <v>10939</v>
      </c>
      <c r="H267" s="23" t="s">
        <v>10940</v>
      </c>
      <c r="I267" s="23" t="s">
        <v>10941</v>
      </c>
      <c r="J267" s="23" t="s">
        <v>395</v>
      </c>
      <c r="K267" s="24" t="s">
        <v>386</v>
      </c>
      <c r="L267" s="23" t="s">
        <v>405</v>
      </c>
      <c r="M267" s="25" t="s">
        <v>18</v>
      </c>
      <c r="N267" s="23" t="s">
        <v>40</v>
      </c>
      <c r="O267" s="23" t="s">
        <v>387</v>
      </c>
      <c r="P267" s="23" t="s">
        <v>40</v>
      </c>
      <c r="Q267" s="23" t="s">
        <v>40</v>
      </c>
      <c r="R267" s="23" t="s">
        <v>285</v>
      </c>
      <c r="S267" s="23" t="s">
        <v>1710</v>
      </c>
      <c r="T267" s="23" t="s">
        <v>40</v>
      </c>
    </row>
    <row r="268" spans="1:20" x14ac:dyDescent="0.25">
      <c r="A268" s="23" t="s">
        <v>10942</v>
      </c>
      <c r="B268" s="23" t="s">
        <v>284</v>
      </c>
      <c r="C268" s="23" t="s">
        <v>6700</v>
      </c>
      <c r="D268" s="23" t="s">
        <v>10943</v>
      </c>
      <c r="E268" s="23" t="s">
        <v>9402</v>
      </c>
      <c r="F268" s="23" t="s">
        <v>40</v>
      </c>
      <c r="G268" s="23" t="s">
        <v>10944</v>
      </c>
      <c r="H268" s="23" t="s">
        <v>10945</v>
      </c>
      <c r="I268" s="23" t="s">
        <v>9540</v>
      </c>
      <c r="J268" s="23" t="s">
        <v>525</v>
      </c>
      <c r="K268" s="24" t="s">
        <v>386</v>
      </c>
      <c r="L268" s="23" t="s">
        <v>13</v>
      </c>
      <c r="M268" s="25" t="s">
        <v>18</v>
      </c>
      <c r="N268" s="23" t="s">
        <v>40</v>
      </c>
      <c r="O268" s="23" t="s">
        <v>387</v>
      </c>
      <c r="P268" s="23" t="s">
        <v>40</v>
      </c>
      <c r="Q268" s="23" t="s">
        <v>40</v>
      </c>
      <c r="R268" s="23" t="s">
        <v>285</v>
      </c>
      <c r="S268" s="23" t="s">
        <v>1710</v>
      </c>
      <c r="T268" s="23" t="s">
        <v>40</v>
      </c>
    </row>
    <row r="269" spans="1:20" x14ac:dyDescent="0.25">
      <c r="A269" s="23" t="s">
        <v>10946</v>
      </c>
      <c r="B269" s="23" t="s">
        <v>286</v>
      </c>
      <c r="C269" s="23" t="s">
        <v>944</v>
      </c>
      <c r="D269" s="23" t="s">
        <v>10947</v>
      </c>
      <c r="E269" s="23" t="s">
        <v>3835</v>
      </c>
      <c r="F269" s="23" t="s">
        <v>10948</v>
      </c>
      <c r="G269" s="23" t="s">
        <v>10949</v>
      </c>
      <c r="H269" s="23" t="s">
        <v>10950</v>
      </c>
      <c r="I269" s="23" t="s">
        <v>10951</v>
      </c>
      <c r="J269" s="23" t="s">
        <v>385</v>
      </c>
      <c r="K269" s="24" t="s">
        <v>386</v>
      </c>
      <c r="L269" s="23" t="s">
        <v>13</v>
      </c>
      <c r="M269" s="31" t="s">
        <v>17</v>
      </c>
      <c r="N269" s="23" t="s">
        <v>10952</v>
      </c>
      <c r="O269" s="29" t="s">
        <v>87</v>
      </c>
      <c r="P269" s="23" t="s">
        <v>40</v>
      </c>
      <c r="Q269" s="23" t="s">
        <v>40</v>
      </c>
      <c r="R269" s="23" t="s">
        <v>287</v>
      </c>
      <c r="S269" s="23" t="s">
        <v>40</v>
      </c>
      <c r="T269" s="23" t="s">
        <v>40</v>
      </c>
    </row>
    <row r="270" spans="1:20" x14ac:dyDescent="0.25">
      <c r="A270" s="23" t="s">
        <v>10953</v>
      </c>
      <c r="B270" s="23" t="s">
        <v>286</v>
      </c>
      <c r="C270" s="23" t="s">
        <v>6692</v>
      </c>
      <c r="D270" s="23" t="s">
        <v>10954</v>
      </c>
      <c r="E270" s="23" t="s">
        <v>10955</v>
      </c>
      <c r="F270" s="23" t="s">
        <v>40</v>
      </c>
      <c r="G270" s="23" t="s">
        <v>10956</v>
      </c>
      <c r="H270" s="23" t="s">
        <v>10957</v>
      </c>
      <c r="I270" s="23" t="s">
        <v>10958</v>
      </c>
      <c r="J270" s="23" t="s">
        <v>801</v>
      </c>
      <c r="K270" s="26" t="s">
        <v>396</v>
      </c>
      <c r="L270" s="23" t="s">
        <v>13</v>
      </c>
      <c r="M270" s="25" t="s">
        <v>18</v>
      </c>
      <c r="N270" s="23" t="s">
        <v>40</v>
      </c>
      <c r="O270" s="23" t="s">
        <v>387</v>
      </c>
      <c r="P270" s="23" t="s">
        <v>40</v>
      </c>
      <c r="Q270" s="23" t="s">
        <v>40</v>
      </c>
      <c r="R270" s="23" t="s">
        <v>287</v>
      </c>
      <c r="S270" s="23" t="s">
        <v>1710</v>
      </c>
      <c r="T270" s="23" t="s">
        <v>40</v>
      </c>
    </row>
    <row r="271" spans="1:20" x14ac:dyDescent="0.25">
      <c r="A271" s="23" t="s">
        <v>10959</v>
      </c>
      <c r="B271" s="23" t="s">
        <v>286</v>
      </c>
      <c r="C271" s="23" t="s">
        <v>6692</v>
      </c>
      <c r="D271" s="23" t="s">
        <v>10960</v>
      </c>
      <c r="E271" s="23" t="s">
        <v>10961</v>
      </c>
      <c r="F271" s="23" t="s">
        <v>40</v>
      </c>
      <c r="G271" s="23" t="s">
        <v>10962</v>
      </c>
      <c r="H271" s="23" t="s">
        <v>10963</v>
      </c>
      <c r="I271" s="23" t="s">
        <v>10964</v>
      </c>
      <c r="J271" s="23" t="s">
        <v>15</v>
      </c>
      <c r="K271" s="24" t="s">
        <v>386</v>
      </c>
      <c r="L271" s="23" t="s">
        <v>13</v>
      </c>
      <c r="M271" s="25" t="s">
        <v>18</v>
      </c>
      <c r="N271" s="23" t="s">
        <v>40</v>
      </c>
      <c r="O271" s="23" t="s">
        <v>387</v>
      </c>
      <c r="P271" s="23" t="s">
        <v>40</v>
      </c>
      <c r="Q271" s="23" t="s">
        <v>40</v>
      </c>
      <c r="R271" s="23" t="s">
        <v>287</v>
      </c>
      <c r="S271" s="23" t="s">
        <v>1710</v>
      </c>
      <c r="T271" s="23" t="s">
        <v>40</v>
      </c>
    </row>
    <row r="272" spans="1:20" x14ac:dyDescent="0.25">
      <c r="A272" s="23" t="s">
        <v>10965</v>
      </c>
      <c r="B272" s="23" t="s">
        <v>286</v>
      </c>
      <c r="C272" s="23" t="s">
        <v>6692</v>
      </c>
      <c r="D272" s="23" t="s">
        <v>10966</v>
      </c>
      <c r="E272" s="23" t="s">
        <v>10967</v>
      </c>
      <c r="F272" s="23" t="s">
        <v>40</v>
      </c>
      <c r="G272" s="23" t="s">
        <v>10968</v>
      </c>
      <c r="H272" s="23" t="s">
        <v>10969</v>
      </c>
      <c r="I272" s="23" t="s">
        <v>10970</v>
      </c>
      <c r="J272" s="23" t="s">
        <v>14</v>
      </c>
      <c r="K272" s="24" t="s">
        <v>386</v>
      </c>
      <c r="L272" s="23" t="s">
        <v>405</v>
      </c>
      <c r="M272" s="25" t="s">
        <v>18</v>
      </c>
      <c r="N272" s="23" t="s">
        <v>40</v>
      </c>
      <c r="O272" s="23" t="s">
        <v>387</v>
      </c>
      <c r="P272" s="23" t="s">
        <v>40</v>
      </c>
      <c r="Q272" s="23" t="s">
        <v>40</v>
      </c>
      <c r="R272" s="23" t="s">
        <v>287</v>
      </c>
      <c r="S272" s="23" t="s">
        <v>1710</v>
      </c>
      <c r="T272" s="23" t="s">
        <v>40</v>
      </c>
    </row>
    <row r="273" spans="1:20" x14ac:dyDescent="0.25">
      <c r="A273" s="23" t="s">
        <v>10971</v>
      </c>
      <c r="B273" s="23" t="s">
        <v>286</v>
      </c>
      <c r="C273" s="23" t="s">
        <v>6692</v>
      </c>
      <c r="D273" s="23" t="s">
        <v>10972</v>
      </c>
      <c r="E273" s="23" t="s">
        <v>3835</v>
      </c>
      <c r="F273" s="23" t="s">
        <v>40</v>
      </c>
      <c r="G273" s="23" t="s">
        <v>10973</v>
      </c>
      <c r="H273" s="23" t="s">
        <v>10974</v>
      </c>
      <c r="I273" s="23" t="s">
        <v>10975</v>
      </c>
      <c r="J273" s="23" t="s">
        <v>385</v>
      </c>
      <c r="K273" s="32" t="s">
        <v>747</v>
      </c>
      <c r="L273" s="23" t="s">
        <v>490</v>
      </c>
      <c r="M273" s="25" t="s">
        <v>18</v>
      </c>
      <c r="N273" s="23" t="s">
        <v>40</v>
      </c>
      <c r="O273" s="23" t="s">
        <v>387</v>
      </c>
      <c r="P273" s="23" t="s">
        <v>40</v>
      </c>
      <c r="Q273" s="23" t="s">
        <v>40</v>
      </c>
      <c r="R273" s="23" t="s">
        <v>287</v>
      </c>
      <c r="S273" s="23" t="s">
        <v>1710</v>
      </c>
      <c r="T273" s="23" t="s">
        <v>40</v>
      </c>
    </row>
    <row r="274" spans="1:20" x14ac:dyDescent="0.25">
      <c r="A274" s="23" t="s">
        <v>10976</v>
      </c>
      <c r="B274" s="23" t="s">
        <v>288</v>
      </c>
      <c r="C274" s="23" t="s">
        <v>944</v>
      </c>
      <c r="D274" s="23" t="s">
        <v>10977</v>
      </c>
      <c r="E274" s="23" t="s">
        <v>3835</v>
      </c>
      <c r="F274" s="23" t="s">
        <v>10978</v>
      </c>
      <c r="G274" s="23" t="s">
        <v>10979</v>
      </c>
      <c r="H274" s="23" t="s">
        <v>10980</v>
      </c>
      <c r="I274" s="23" t="s">
        <v>10981</v>
      </c>
      <c r="J274" s="23" t="s">
        <v>385</v>
      </c>
      <c r="K274" s="24" t="s">
        <v>386</v>
      </c>
      <c r="L274" s="23" t="s">
        <v>13</v>
      </c>
      <c r="M274" s="31" t="s">
        <v>17</v>
      </c>
      <c r="N274" s="23" t="s">
        <v>10982</v>
      </c>
      <c r="O274" s="29" t="s">
        <v>87</v>
      </c>
      <c r="P274" s="23" t="s">
        <v>40</v>
      </c>
      <c r="Q274" s="23" t="s">
        <v>40</v>
      </c>
      <c r="R274" s="23" t="s">
        <v>289</v>
      </c>
      <c r="S274" s="23" t="s">
        <v>40</v>
      </c>
      <c r="T274" s="23" t="s">
        <v>40</v>
      </c>
    </row>
    <row r="275" spans="1:20" x14ac:dyDescent="0.25">
      <c r="A275" s="23" t="s">
        <v>10983</v>
      </c>
      <c r="B275" s="23" t="s">
        <v>288</v>
      </c>
      <c r="C275" s="23" t="s">
        <v>10984</v>
      </c>
      <c r="D275" s="23" t="s">
        <v>10985</v>
      </c>
      <c r="E275" s="23" t="s">
        <v>10986</v>
      </c>
      <c r="F275" s="23" t="s">
        <v>40</v>
      </c>
      <c r="G275" s="23" t="s">
        <v>10987</v>
      </c>
      <c r="H275" s="23" t="s">
        <v>10988</v>
      </c>
      <c r="I275" s="23" t="s">
        <v>10989</v>
      </c>
      <c r="J275" s="23" t="s">
        <v>14</v>
      </c>
      <c r="K275" s="26" t="s">
        <v>396</v>
      </c>
      <c r="L275" s="23" t="s">
        <v>13</v>
      </c>
      <c r="M275" s="25" t="s">
        <v>18</v>
      </c>
      <c r="N275" s="23" t="s">
        <v>40</v>
      </c>
      <c r="O275" s="23" t="s">
        <v>387</v>
      </c>
      <c r="P275" s="23" t="s">
        <v>40</v>
      </c>
      <c r="Q275" s="23" t="s">
        <v>40</v>
      </c>
      <c r="R275" s="23" t="s">
        <v>289</v>
      </c>
      <c r="S275" s="23" t="s">
        <v>1710</v>
      </c>
      <c r="T275" s="23" t="s">
        <v>40</v>
      </c>
    </row>
    <row r="276" spans="1:20" x14ac:dyDescent="0.25">
      <c r="A276" s="23" t="s">
        <v>10990</v>
      </c>
      <c r="B276" s="23" t="s">
        <v>288</v>
      </c>
      <c r="C276" s="23" t="s">
        <v>10984</v>
      </c>
      <c r="D276" s="23" t="s">
        <v>10991</v>
      </c>
      <c r="E276" s="23" t="s">
        <v>10992</v>
      </c>
      <c r="F276" s="23" t="s">
        <v>40</v>
      </c>
      <c r="G276" s="23" t="s">
        <v>10993</v>
      </c>
      <c r="H276" s="23" t="s">
        <v>10994</v>
      </c>
      <c r="I276" s="23" t="s">
        <v>10995</v>
      </c>
      <c r="J276" s="23" t="s">
        <v>14</v>
      </c>
      <c r="K276" s="24" t="s">
        <v>386</v>
      </c>
      <c r="L276" s="23" t="s">
        <v>405</v>
      </c>
      <c r="M276" s="25" t="s">
        <v>18</v>
      </c>
      <c r="N276" s="23" t="s">
        <v>40</v>
      </c>
      <c r="O276" s="23" t="s">
        <v>387</v>
      </c>
      <c r="P276" s="23" t="s">
        <v>40</v>
      </c>
      <c r="Q276" s="23" t="s">
        <v>40</v>
      </c>
      <c r="R276" s="23" t="s">
        <v>289</v>
      </c>
      <c r="S276" s="23" t="s">
        <v>1710</v>
      </c>
      <c r="T276" s="23" t="s">
        <v>40</v>
      </c>
    </row>
    <row r="277" spans="1:20" x14ac:dyDescent="0.25">
      <c r="A277" s="23" t="s">
        <v>10996</v>
      </c>
      <c r="B277" s="23" t="s">
        <v>288</v>
      </c>
      <c r="C277" s="23" t="s">
        <v>10984</v>
      </c>
      <c r="D277" s="23" t="s">
        <v>10997</v>
      </c>
      <c r="E277" s="23" t="s">
        <v>10998</v>
      </c>
      <c r="F277" s="23" t="s">
        <v>40</v>
      </c>
      <c r="G277" s="23" t="s">
        <v>10999</v>
      </c>
      <c r="H277" s="23" t="s">
        <v>11000</v>
      </c>
      <c r="I277" s="23" t="s">
        <v>11001</v>
      </c>
      <c r="J277" s="23" t="s">
        <v>15</v>
      </c>
      <c r="K277" s="27" t="s">
        <v>404</v>
      </c>
      <c r="L277" s="23" t="s">
        <v>405</v>
      </c>
      <c r="M277" s="25" t="s">
        <v>18</v>
      </c>
      <c r="N277" s="23" t="s">
        <v>40</v>
      </c>
      <c r="O277" s="23" t="s">
        <v>387</v>
      </c>
      <c r="P277" s="23" t="s">
        <v>40</v>
      </c>
      <c r="Q277" s="23" t="s">
        <v>40</v>
      </c>
      <c r="R277" s="23" t="s">
        <v>289</v>
      </c>
      <c r="S277" s="23" t="s">
        <v>1710</v>
      </c>
      <c r="T277" s="23" t="s">
        <v>40</v>
      </c>
    </row>
    <row r="278" spans="1:20" x14ac:dyDescent="0.25">
      <c r="A278" s="23" t="s">
        <v>11002</v>
      </c>
      <c r="B278" s="23" t="s">
        <v>288</v>
      </c>
      <c r="C278" s="23" t="s">
        <v>11003</v>
      </c>
      <c r="D278" s="23" t="s">
        <v>11004</v>
      </c>
      <c r="E278" s="23" t="s">
        <v>3835</v>
      </c>
      <c r="F278" s="23" t="s">
        <v>40</v>
      </c>
      <c r="G278" s="23" t="s">
        <v>11005</v>
      </c>
      <c r="H278" s="23" t="s">
        <v>11006</v>
      </c>
      <c r="I278" s="23" t="s">
        <v>11007</v>
      </c>
      <c r="J278" s="23" t="s">
        <v>14</v>
      </c>
      <c r="K278" s="27" t="s">
        <v>404</v>
      </c>
      <c r="L278" s="23" t="s">
        <v>490</v>
      </c>
      <c r="M278" s="25" t="s">
        <v>18</v>
      </c>
      <c r="N278" s="23" t="s">
        <v>40</v>
      </c>
      <c r="O278" s="23" t="s">
        <v>387</v>
      </c>
      <c r="P278" s="23" t="s">
        <v>40</v>
      </c>
      <c r="Q278" s="23" t="s">
        <v>40</v>
      </c>
      <c r="R278" s="23" t="s">
        <v>289</v>
      </c>
      <c r="S278" s="23" t="s">
        <v>1710</v>
      </c>
      <c r="T278" s="23" t="s">
        <v>40</v>
      </c>
    </row>
    <row r="279" spans="1:20" x14ac:dyDescent="0.25">
      <c r="A279" s="23" t="s">
        <v>11008</v>
      </c>
      <c r="B279" s="23" t="s">
        <v>288</v>
      </c>
      <c r="C279" s="23" t="s">
        <v>6381</v>
      </c>
      <c r="D279" s="23" t="s">
        <v>11009</v>
      </c>
      <c r="E279" s="23" t="s">
        <v>9402</v>
      </c>
      <c r="F279" s="23" t="s">
        <v>40</v>
      </c>
      <c r="G279" s="23" t="s">
        <v>10830</v>
      </c>
      <c r="H279" s="23" t="s">
        <v>10831</v>
      </c>
      <c r="I279" s="23" t="s">
        <v>11010</v>
      </c>
      <c r="J279" s="23" t="s">
        <v>525</v>
      </c>
      <c r="K279" s="24" t="s">
        <v>386</v>
      </c>
      <c r="L279" s="23" t="s">
        <v>13</v>
      </c>
      <c r="M279" s="25" t="s">
        <v>18</v>
      </c>
      <c r="N279" s="23" t="s">
        <v>40</v>
      </c>
      <c r="O279" s="23" t="s">
        <v>387</v>
      </c>
      <c r="P279" s="23" t="s">
        <v>40</v>
      </c>
      <c r="Q279" s="23" t="s">
        <v>40</v>
      </c>
      <c r="R279" s="23" t="s">
        <v>289</v>
      </c>
      <c r="S279" s="23" t="s">
        <v>1710</v>
      </c>
      <c r="T279" s="23" t="s">
        <v>40</v>
      </c>
    </row>
    <row r="280" spans="1:20" x14ac:dyDescent="0.25">
      <c r="A280" s="23" t="s">
        <v>11011</v>
      </c>
      <c r="B280" s="23" t="s">
        <v>288</v>
      </c>
      <c r="C280" s="23" t="s">
        <v>7505</v>
      </c>
      <c r="D280" s="23" t="s">
        <v>11012</v>
      </c>
      <c r="E280" s="23" t="s">
        <v>3835</v>
      </c>
      <c r="F280" s="23" t="s">
        <v>40</v>
      </c>
      <c r="G280" s="23" t="s">
        <v>11013</v>
      </c>
      <c r="H280" s="23" t="s">
        <v>11014</v>
      </c>
      <c r="I280" s="23" t="s">
        <v>11015</v>
      </c>
      <c r="J280" s="23" t="s">
        <v>14</v>
      </c>
      <c r="K280" s="24" t="s">
        <v>386</v>
      </c>
      <c r="L280" s="23" t="s">
        <v>405</v>
      </c>
      <c r="M280" s="33" t="s">
        <v>20</v>
      </c>
      <c r="N280" s="23" t="s">
        <v>40</v>
      </c>
      <c r="O280" s="23" t="s">
        <v>387</v>
      </c>
      <c r="P280" s="23" t="s">
        <v>40</v>
      </c>
      <c r="Q280" s="23" t="s">
        <v>40</v>
      </c>
      <c r="R280" s="23" t="s">
        <v>289</v>
      </c>
      <c r="S280" s="23" t="s">
        <v>10637</v>
      </c>
      <c r="T280" s="23" t="s">
        <v>40</v>
      </c>
    </row>
    <row r="281" spans="1:20" x14ac:dyDescent="0.25">
      <c r="A281" s="23" t="s">
        <v>11016</v>
      </c>
      <c r="B281" s="23" t="s">
        <v>11017</v>
      </c>
      <c r="C281" s="23" t="s">
        <v>563</v>
      </c>
      <c r="D281" s="23" t="s">
        <v>11018</v>
      </c>
      <c r="E281" s="23" t="s">
        <v>11019</v>
      </c>
      <c r="F281" s="23" t="s">
        <v>40</v>
      </c>
      <c r="G281" s="23" t="s">
        <v>11020</v>
      </c>
      <c r="H281" s="23" t="s">
        <v>11021</v>
      </c>
      <c r="I281" s="23" t="s">
        <v>11022</v>
      </c>
      <c r="J281" s="23" t="s">
        <v>563</v>
      </c>
      <c r="K281" s="26" t="s">
        <v>396</v>
      </c>
      <c r="L281" s="23" t="s">
        <v>13</v>
      </c>
      <c r="M281" s="25" t="s">
        <v>18</v>
      </c>
      <c r="N281" s="23" t="s">
        <v>40</v>
      </c>
      <c r="O281" s="23" t="s">
        <v>387</v>
      </c>
      <c r="P281" s="23" t="s">
        <v>40</v>
      </c>
      <c r="Q281" s="23" t="s">
        <v>40</v>
      </c>
      <c r="R281" s="23" t="s">
        <v>40</v>
      </c>
      <c r="S281" s="23" t="s">
        <v>1710</v>
      </c>
      <c r="T281" s="23" t="s">
        <v>40</v>
      </c>
    </row>
    <row r="282" spans="1:20" x14ac:dyDescent="0.25">
      <c r="A282" s="23" t="s">
        <v>11023</v>
      </c>
      <c r="B282" s="23" t="s">
        <v>11017</v>
      </c>
      <c r="C282" s="23" t="s">
        <v>563</v>
      </c>
      <c r="D282" s="23" t="s">
        <v>11024</v>
      </c>
      <c r="E282" s="23" t="s">
        <v>11025</v>
      </c>
      <c r="F282" s="23" t="s">
        <v>40</v>
      </c>
      <c r="G282" s="23" t="s">
        <v>11026</v>
      </c>
      <c r="H282" s="23" t="s">
        <v>11027</v>
      </c>
      <c r="I282" s="23" t="s">
        <v>11028</v>
      </c>
      <c r="J282" s="23" t="s">
        <v>563</v>
      </c>
      <c r="K282" s="26" t="s">
        <v>396</v>
      </c>
      <c r="L282" s="23" t="s">
        <v>13</v>
      </c>
      <c r="M282" s="25" t="s">
        <v>18</v>
      </c>
      <c r="N282" s="23" t="s">
        <v>40</v>
      </c>
      <c r="O282" s="23" t="s">
        <v>387</v>
      </c>
      <c r="P282" s="23" t="s">
        <v>40</v>
      </c>
      <c r="Q282" s="23" t="s">
        <v>40</v>
      </c>
      <c r="R282" s="23" t="s">
        <v>40</v>
      </c>
      <c r="S282" s="23" t="s">
        <v>1710</v>
      </c>
      <c r="T282" s="23" t="s">
        <v>40</v>
      </c>
    </row>
    <row r="283" spans="1:20" x14ac:dyDescent="0.25">
      <c r="A283" s="23" t="s">
        <v>11029</v>
      </c>
      <c r="B283" s="23" t="s">
        <v>11017</v>
      </c>
      <c r="C283" s="23" t="s">
        <v>563</v>
      </c>
      <c r="D283" s="23" t="s">
        <v>11030</v>
      </c>
      <c r="E283" s="23" t="s">
        <v>11031</v>
      </c>
      <c r="F283" s="23" t="s">
        <v>40</v>
      </c>
      <c r="G283" s="23" t="s">
        <v>11032</v>
      </c>
      <c r="H283" s="23" t="s">
        <v>11033</v>
      </c>
      <c r="I283" s="23" t="s">
        <v>11034</v>
      </c>
      <c r="J283" s="23" t="s">
        <v>563</v>
      </c>
      <c r="K283" s="26" t="s">
        <v>396</v>
      </c>
      <c r="L283" s="23" t="s">
        <v>13</v>
      </c>
      <c r="M283" s="25" t="s">
        <v>18</v>
      </c>
      <c r="N283" s="23" t="s">
        <v>40</v>
      </c>
      <c r="O283" s="23" t="s">
        <v>387</v>
      </c>
      <c r="P283" s="23" t="s">
        <v>40</v>
      </c>
      <c r="Q283" s="23" t="s">
        <v>40</v>
      </c>
      <c r="R283" s="23" t="s">
        <v>40</v>
      </c>
      <c r="S283" s="23" t="s">
        <v>1710</v>
      </c>
      <c r="T283" s="23" t="s">
        <v>40</v>
      </c>
    </row>
    <row r="284" spans="1:20" x14ac:dyDescent="0.25">
      <c r="A284" s="23" t="s">
        <v>11035</v>
      </c>
      <c r="B284" s="23" t="s">
        <v>11017</v>
      </c>
      <c r="C284" s="23" t="s">
        <v>563</v>
      </c>
      <c r="D284" s="23" t="s">
        <v>11036</v>
      </c>
      <c r="E284" s="23" t="s">
        <v>11037</v>
      </c>
      <c r="F284" s="23" t="s">
        <v>40</v>
      </c>
      <c r="G284" s="23" t="s">
        <v>11038</v>
      </c>
      <c r="H284" s="23" t="s">
        <v>11039</v>
      </c>
      <c r="I284" s="23" t="s">
        <v>11040</v>
      </c>
      <c r="J284" s="23" t="s">
        <v>563</v>
      </c>
      <c r="K284" s="26" t="s">
        <v>396</v>
      </c>
      <c r="L284" s="23" t="s">
        <v>13</v>
      </c>
      <c r="M284" s="33" t="s">
        <v>20</v>
      </c>
      <c r="N284" s="23" t="s">
        <v>40</v>
      </c>
      <c r="O284" s="23" t="s">
        <v>387</v>
      </c>
      <c r="P284" s="23" t="s">
        <v>40</v>
      </c>
      <c r="Q284" s="23" t="s">
        <v>40</v>
      </c>
      <c r="R284" s="23" t="s">
        <v>40</v>
      </c>
      <c r="S284" s="23" t="s">
        <v>10169</v>
      </c>
      <c r="T284" s="23" t="s">
        <v>40</v>
      </c>
    </row>
    <row r="285" spans="1:20" x14ac:dyDescent="0.25">
      <c r="A285" s="23" t="s">
        <v>11041</v>
      </c>
      <c r="B285" s="23" t="s">
        <v>11017</v>
      </c>
      <c r="C285" s="23" t="s">
        <v>563</v>
      </c>
      <c r="D285" s="23" t="s">
        <v>11042</v>
      </c>
      <c r="E285" s="23" t="s">
        <v>11043</v>
      </c>
      <c r="F285" s="23" t="s">
        <v>40</v>
      </c>
      <c r="G285" s="23" t="s">
        <v>11044</v>
      </c>
      <c r="H285" s="23" t="s">
        <v>11045</v>
      </c>
      <c r="I285" s="23" t="s">
        <v>11046</v>
      </c>
      <c r="J285" s="23" t="s">
        <v>563</v>
      </c>
      <c r="K285" s="24" t="s">
        <v>386</v>
      </c>
      <c r="L285" s="23" t="s">
        <v>405</v>
      </c>
      <c r="M285" s="25" t="s">
        <v>18</v>
      </c>
      <c r="N285" s="23" t="s">
        <v>40</v>
      </c>
      <c r="O285" s="23" t="s">
        <v>387</v>
      </c>
      <c r="P285" s="23" t="s">
        <v>40</v>
      </c>
      <c r="Q285" s="23" t="s">
        <v>40</v>
      </c>
      <c r="R285" s="23" t="s">
        <v>40</v>
      </c>
      <c r="S285" s="23" t="s">
        <v>1710</v>
      </c>
      <c r="T285" s="23" t="s">
        <v>40</v>
      </c>
    </row>
    <row r="286" spans="1:20" x14ac:dyDescent="0.25">
      <c r="A286" s="23" t="s">
        <v>11047</v>
      </c>
      <c r="B286" s="23" t="s">
        <v>11017</v>
      </c>
      <c r="C286" s="23" t="s">
        <v>563</v>
      </c>
      <c r="D286" s="23" t="s">
        <v>11048</v>
      </c>
      <c r="E286" s="23" t="s">
        <v>11049</v>
      </c>
      <c r="F286" s="23" t="s">
        <v>40</v>
      </c>
      <c r="G286" s="23" t="s">
        <v>11050</v>
      </c>
      <c r="H286" s="23" t="s">
        <v>11051</v>
      </c>
      <c r="I286" s="23" t="s">
        <v>11052</v>
      </c>
      <c r="J286" s="23" t="s">
        <v>563</v>
      </c>
      <c r="K286" s="26" t="s">
        <v>396</v>
      </c>
      <c r="L286" s="23" t="s">
        <v>13</v>
      </c>
      <c r="M286" s="33" t="s">
        <v>20</v>
      </c>
      <c r="N286" s="23" t="s">
        <v>40</v>
      </c>
      <c r="O286" s="23" t="s">
        <v>387</v>
      </c>
      <c r="P286" s="23" t="s">
        <v>40</v>
      </c>
      <c r="Q286" s="23" t="s">
        <v>40</v>
      </c>
      <c r="R286" s="23" t="s">
        <v>40</v>
      </c>
      <c r="S286" s="23" t="s">
        <v>10169</v>
      </c>
      <c r="T286" s="23" t="s">
        <v>40</v>
      </c>
    </row>
  </sheetData>
  <autoFilter ref="A1:T286"/>
  <dataValidations count="2">
    <dataValidation type="list" allowBlank="1" sqref="O10:O286">
      <formula1>"Passed,Failed,Blocked,Not Executed,Passed (19 Oct 2026)"</formula1>
    </dataValidation>
    <dataValidation type="list" allowBlank="1" sqref="O2:O286">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2"/>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11053</v>
      </c>
      <c r="B2" s="23" t="s">
        <v>290</v>
      </c>
      <c r="C2" s="23" t="s">
        <v>944</v>
      </c>
      <c r="D2" s="23" t="s">
        <v>11054</v>
      </c>
      <c r="E2" s="23" t="s">
        <v>3835</v>
      </c>
      <c r="F2" s="23" t="s">
        <v>11055</v>
      </c>
      <c r="G2" s="23" t="s">
        <v>11056</v>
      </c>
      <c r="H2" s="23" t="s">
        <v>11057</v>
      </c>
      <c r="I2" s="23" t="s">
        <v>11058</v>
      </c>
      <c r="J2" s="23" t="s">
        <v>385</v>
      </c>
      <c r="K2" s="24" t="s">
        <v>386</v>
      </c>
      <c r="L2" s="23" t="s">
        <v>13</v>
      </c>
      <c r="M2" s="31" t="s">
        <v>17</v>
      </c>
      <c r="N2" s="23" t="s">
        <v>11059</v>
      </c>
      <c r="O2" s="29" t="s">
        <v>87</v>
      </c>
      <c r="P2" s="23" t="s">
        <v>40</v>
      </c>
      <c r="Q2" s="23" t="s">
        <v>40</v>
      </c>
      <c r="R2" s="23" t="s">
        <v>291</v>
      </c>
      <c r="S2" s="23" t="s">
        <v>40</v>
      </c>
      <c r="T2" s="23" t="s">
        <v>40</v>
      </c>
    </row>
    <row r="3" spans="1:20" x14ac:dyDescent="0.25">
      <c r="A3" s="23" t="s">
        <v>11060</v>
      </c>
      <c r="B3" s="23" t="s">
        <v>290</v>
      </c>
      <c r="C3" s="23" t="s">
        <v>11061</v>
      </c>
      <c r="D3" s="23" t="s">
        <v>11062</v>
      </c>
      <c r="E3" s="23" t="s">
        <v>11063</v>
      </c>
      <c r="F3" s="23" t="s">
        <v>40</v>
      </c>
      <c r="G3" s="23" t="s">
        <v>11064</v>
      </c>
      <c r="H3" s="23" t="s">
        <v>11065</v>
      </c>
      <c r="I3" s="23" t="s">
        <v>11066</v>
      </c>
      <c r="J3" s="23" t="s">
        <v>801</v>
      </c>
      <c r="K3" s="26" t="s">
        <v>396</v>
      </c>
      <c r="L3" s="23" t="s">
        <v>13</v>
      </c>
      <c r="M3" s="25" t="s">
        <v>18</v>
      </c>
      <c r="N3" s="23" t="s">
        <v>40</v>
      </c>
      <c r="O3" s="23" t="s">
        <v>387</v>
      </c>
      <c r="P3" s="23" t="s">
        <v>40</v>
      </c>
      <c r="Q3" s="23" t="s">
        <v>40</v>
      </c>
      <c r="R3" s="23" t="s">
        <v>291</v>
      </c>
      <c r="S3" s="23" t="s">
        <v>11067</v>
      </c>
      <c r="T3" s="23" t="s">
        <v>40</v>
      </c>
    </row>
    <row r="4" spans="1:20" x14ac:dyDescent="0.25">
      <c r="A4" s="23" t="s">
        <v>11068</v>
      </c>
      <c r="B4" s="23" t="s">
        <v>290</v>
      </c>
      <c r="C4" s="23" t="s">
        <v>11061</v>
      </c>
      <c r="D4" s="23" t="s">
        <v>11069</v>
      </c>
      <c r="E4" s="23" t="s">
        <v>3835</v>
      </c>
      <c r="F4" s="23" t="s">
        <v>40</v>
      </c>
      <c r="G4" s="23" t="s">
        <v>11070</v>
      </c>
      <c r="H4" s="23" t="s">
        <v>11071</v>
      </c>
      <c r="I4" s="23" t="s">
        <v>11072</v>
      </c>
      <c r="J4" s="23" t="s">
        <v>403</v>
      </c>
      <c r="K4" s="27" t="s">
        <v>404</v>
      </c>
      <c r="L4" s="23" t="s">
        <v>405</v>
      </c>
      <c r="M4" s="25" t="s">
        <v>18</v>
      </c>
      <c r="N4" s="23" t="s">
        <v>40</v>
      </c>
      <c r="O4" s="23" t="s">
        <v>387</v>
      </c>
      <c r="P4" s="23" t="s">
        <v>40</v>
      </c>
      <c r="Q4" s="23" t="s">
        <v>40</v>
      </c>
      <c r="R4" s="23" t="s">
        <v>291</v>
      </c>
      <c r="S4" s="23" t="s">
        <v>11073</v>
      </c>
      <c r="T4" s="23" t="s">
        <v>40</v>
      </c>
    </row>
    <row r="5" spans="1:20" x14ac:dyDescent="0.25">
      <c r="A5" s="23" t="s">
        <v>11074</v>
      </c>
      <c r="B5" s="23" t="s">
        <v>290</v>
      </c>
      <c r="C5" s="23" t="s">
        <v>11061</v>
      </c>
      <c r="D5" s="23" t="s">
        <v>11075</v>
      </c>
      <c r="E5" s="23" t="s">
        <v>11076</v>
      </c>
      <c r="F5" s="23" t="s">
        <v>40</v>
      </c>
      <c r="G5" s="23" t="s">
        <v>11077</v>
      </c>
      <c r="H5" s="23" t="s">
        <v>11078</v>
      </c>
      <c r="I5" s="23" t="s">
        <v>11079</v>
      </c>
      <c r="J5" s="23" t="s">
        <v>801</v>
      </c>
      <c r="K5" s="24" t="s">
        <v>386</v>
      </c>
      <c r="L5" s="23" t="s">
        <v>405</v>
      </c>
      <c r="M5" s="25" t="s">
        <v>18</v>
      </c>
      <c r="N5" s="23" t="s">
        <v>40</v>
      </c>
      <c r="O5" s="23" t="s">
        <v>387</v>
      </c>
      <c r="P5" s="23" t="s">
        <v>40</v>
      </c>
      <c r="Q5" s="23" t="s">
        <v>40</v>
      </c>
      <c r="R5" s="23" t="s">
        <v>291</v>
      </c>
      <c r="S5" s="23" t="s">
        <v>11080</v>
      </c>
      <c r="T5" s="23" t="s">
        <v>40</v>
      </c>
    </row>
    <row r="6" spans="1:20" x14ac:dyDescent="0.25">
      <c r="A6" s="23" t="s">
        <v>11081</v>
      </c>
      <c r="B6" s="23" t="s">
        <v>290</v>
      </c>
      <c r="C6" s="23" t="s">
        <v>11061</v>
      </c>
      <c r="D6" s="23" t="s">
        <v>11082</v>
      </c>
      <c r="E6" s="23" t="s">
        <v>11083</v>
      </c>
      <c r="F6" s="23" t="s">
        <v>40</v>
      </c>
      <c r="G6" s="23" t="s">
        <v>11084</v>
      </c>
      <c r="H6" s="23" t="s">
        <v>11085</v>
      </c>
      <c r="I6" s="23" t="s">
        <v>11086</v>
      </c>
      <c r="J6" s="23" t="s">
        <v>801</v>
      </c>
      <c r="K6" s="27" t="s">
        <v>404</v>
      </c>
      <c r="L6" s="23" t="s">
        <v>490</v>
      </c>
      <c r="M6" s="25" t="s">
        <v>18</v>
      </c>
      <c r="N6" s="23" t="s">
        <v>40</v>
      </c>
      <c r="O6" s="23" t="s">
        <v>387</v>
      </c>
      <c r="P6" s="23" t="s">
        <v>40</v>
      </c>
      <c r="Q6" s="23" t="s">
        <v>40</v>
      </c>
      <c r="R6" s="23" t="s">
        <v>291</v>
      </c>
      <c r="S6" s="23" t="s">
        <v>11087</v>
      </c>
      <c r="T6" s="23" t="s">
        <v>40</v>
      </c>
    </row>
    <row r="7" spans="1:20" x14ac:dyDescent="0.25">
      <c r="A7" s="23" t="s">
        <v>11088</v>
      </c>
      <c r="B7" s="23" t="s">
        <v>290</v>
      </c>
      <c r="C7" s="23" t="s">
        <v>11089</v>
      </c>
      <c r="D7" s="23" t="s">
        <v>11090</v>
      </c>
      <c r="E7" s="23" t="s">
        <v>3835</v>
      </c>
      <c r="F7" s="23" t="s">
        <v>40</v>
      </c>
      <c r="G7" s="23" t="s">
        <v>11091</v>
      </c>
      <c r="H7" s="23" t="s">
        <v>11092</v>
      </c>
      <c r="I7" s="23" t="s">
        <v>11093</v>
      </c>
      <c r="J7" s="23" t="s">
        <v>385</v>
      </c>
      <c r="K7" s="32" t="s">
        <v>747</v>
      </c>
      <c r="L7" s="23" t="s">
        <v>490</v>
      </c>
      <c r="M7" s="25" t="s">
        <v>18</v>
      </c>
      <c r="N7" s="23" t="s">
        <v>40</v>
      </c>
      <c r="O7" s="23" t="s">
        <v>387</v>
      </c>
      <c r="P7" s="23" t="s">
        <v>40</v>
      </c>
      <c r="Q7" s="23" t="s">
        <v>40</v>
      </c>
      <c r="R7" s="23" t="s">
        <v>291</v>
      </c>
      <c r="S7" s="23" t="s">
        <v>1710</v>
      </c>
      <c r="T7" s="23" t="s">
        <v>40</v>
      </c>
    </row>
    <row r="8" spans="1:20" x14ac:dyDescent="0.25">
      <c r="A8" s="23" t="s">
        <v>11094</v>
      </c>
      <c r="B8" s="23" t="s">
        <v>290</v>
      </c>
      <c r="C8" s="23" t="s">
        <v>11095</v>
      </c>
      <c r="D8" s="23" t="s">
        <v>11096</v>
      </c>
      <c r="E8" s="23" t="s">
        <v>3835</v>
      </c>
      <c r="F8" s="23" t="s">
        <v>40</v>
      </c>
      <c r="G8" s="23" t="s">
        <v>11097</v>
      </c>
      <c r="H8" s="23" t="s">
        <v>11098</v>
      </c>
      <c r="I8" s="23" t="s">
        <v>11099</v>
      </c>
      <c r="J8" s="23" t="s">
        <v>385</v>
      </c>
      <c r="K8" s="32" t="s">
        <v>747</v>
      </c>
      <c r="L8" s="23" t="s">
        <v>490</v>
      </c>
      <c r="M8" s="25" t="s">
        <v>18</v>
      </c>
      <c r="N8" s="23" t="s">
        <v>40</v>
      </c>
      <c r="O8" s="23" t="s">
        <v>387</v>
      </c>
      <c r="P8" s="23" t="s">
        <v>40</v>
      </c>
      <c r="Q8" s="23" t="s">
        <v>40</v>
      </c>
      <c r="R8" s="23" t="s">
        <v>291</v>
      </c>
      <c r="S8" s="23" t="s">
        <v>1710</v>
      </c>
      <c r="T8" s="23" t="s">
        <v>40</v>
      </c>
    </row>
    <row r="9" spans="1:20" x14ac:dyDescent="0.25">
      <c r="A9" s="23" t="s">
        <v>11100</v>
      </c>
      <c r="B9" s="23" t="s">
        <v>290</v>
      </c>
      <c r="C9" s="23" t="s">
        <v>11101</v>
      </c>
      <c r="D9" s="23" t="s">
        <v>11102</v>
      </c>
      <c r="E9" s="23" t="s">
        <v>11103</v>
      </c>
      <c r="F9" s="23" t="s">
        <v>40</v>
      </c>
      <c r="G9" s="23" t="s">
        <v>11104</v>
      </c>
      <c r="H9" s="23" t="s">
        <v>11105</v>
      </c>
      <c r="I9" s="23" t="s">
        <v>11106</v>
      </c>
      <c r="J9" s="23" t="s">
        <v>385</v>
      </c>
      <c r="K9" s="32" t="s">
        <v>747</v>
      </c>
      <c r="L9" s="23" t="s">
        <v>490</v>
      </c>
      <c r="M9" s="25" t="s">
        <v>18</v>
      </c>
      <c r="N9" s="23" t="s">
        <v>40</v>
      </c>
      <c r="O9" s="23" t="s">
        <v>387</v>
      </c>
      <c r="P9" s="23" t="s">
        <v>40</v>
      </c>
      <c r="Q9" s="23" t="s">
        <v>40</v>
      </c>
      <c r="R9" s="23" t="s">
        <v>291</v>
      </c>
      <c r="S9" s="23" t="s">
        <v>1710</v>
      </c>
      <c r="T9" s="23" t="s">
        <v>40</v>
      </c>
    </row>
    <row r="10" spans="1:20" x14ac:dyDescent="0.25">
      <c r="A10" s="23" t="s">
        <v>11107</v>
      </c>
      <c r="B10" s="23" t="s">
        <v>290</v>
      </c>
      <c r="C10" s="23" t="s">
        <v>6700</v>
      </c>
      <c r="D10" s="23" t="s">
        <v>11108</v>
      </c>
      <c r="E10" s="23" t="s">
        <v>9402</v>
      </c>
      <c r="F10" s="23" t="s">
        <v>40</v>
      </c>
      <c r="G10" s="23" t="s">
        <v>11109</v>
      </c>
      <c r="H10" s="23" t="s">
        <v>11110</v>
      </c>
      <c r="I10" s="23" t="s">
        <v>11111</v>
      </c>
      <c r="J10" s="23" t="s">
        <v>525</v>
      </c>
      <c r="K10" s="24" t="s">
        <v>386</v>
      </c>
      <c r="L10" s="23" t="s">
        <v>13</v>
      </c>
      <c r="M10" s="25" t="s">
        <v>18</v>
      </c>
      <c r="N10" s="23" t="s">
        <v>40</v>
      </c>
      <c r="O10" s="23" t="s">
        <v>387</v>
      </c>
      <c r="P10" s="23" t="s">
        <v>40</v>
      </c>
      <c r="Q10" s="23" t="s">
        <v>40</v>
      </c>
      <c r="R10" s="23" t="s">
        <v>291</v>
      </c>
      <c r="S10" s="23" t="s">
        <v>1710</v>
      </c>
      <c r="T10" s="23" t="s">
        <v>40</v>
      </c>
    </row>
    <row r="11" spans="1:20" x14ac:dyDescent="0.25">
      <c r="A11" s="23" t="s">
        <v>11112</v>
      </c>
      <c r="B11" s="23" t="s">
        <v>290</v>
      </c>
      <c r="C11" s="23" t="s">
        <v>6700</v>
      </c>
      <c r="D11" s="23" t="s">
        <v>4749</v>
      </c>
      <c r="E11" s="23" t="s">
        <v>2951</v>
      </c>
      <c r="F11" s="23" t="s">
        <v>40</v>
      </c>
      <c r="G11" s="23" t="s">
        <v>11113</v>
      </c>
      <c r="H11" s="23" t="s">
        <v>11114</v>
      </c>
      <c r="I11" s="23" t="s">
        <v>3428</v>
      </c>
      <c r="J11" s="23" t="s">
        <v>395</v>
      </c>
      <c r="K11" s="24" t="s">
        <v>386</v>
      </c>
      <c r="L11" s="23" t="s">
        <v>405</v>
      </c>
      <c r="M11" s="25" t="s">
        <v>18</v>
      </c>
      <c r="N11" s="23" t="s">
        <v>40</v>
      </c>
      <c r="O11" s="23" t="s">
        <v>387</v>
      </c>
      <c r="P11" s="23" t="s">
        <v>40</v>
      </c>
      <c r="Q11" s="23" t="s">
        <v>40</v>
      </c>
      <c r="R11" s="23" t="s">
        <v>291</v>
      </c>
      <c r="S11" s="23" t="s">
        <v>1710</v>
      </c>
      <c r="T11" s="23" t="s">
        <v>40</v>
      </c>
    </row>
    <row r="12" spans="1:20" x14ac:dyDescent="0.25">
      <c r="A12" s="23" t="s">
        <v>11115</v>
      </c>
      <c r="B12" s="23" t="s">
        <v>292</v>
      </c>
      <c r="C12" s="23" t="s">
        <v>944</v>
      </c>
      <c r="D12" s="23" t="s">
        <v>11116</v>
      </c>
      <c r="E12" s="23" t="s">
        <v>3835</v>
      </c>
      <c r="F12" s="23" t="s">
        <v>11117</v>
      </c>
      <c r="G12" s="23" t="s">
        <v>11118</v>
      </c>
      <c r="H12" s="23" t="s">
        <v>11119</v>
      </c>
      <c r="I12" s="23" t="s">
        <v>11120</v>
      </c>
      <c r="J12" s="23" t="s">
        <v>385</v>
      </c>
      <c r="K12" s="24" t="s">
        <v>386</v>
      </c>
      <c r="L12" s="23" t="s">
        <v>13</v>
      </c>
      <c r="M12" s="31" t="s">
        <v>17</v>
      </c>
      <c r="N12" s="23" t="s">
        <v>11121</v>
      </c>
      <c r="O12" s="29" t="s">
        <v>87</v>
      </c>
      <c r="P12" s="23" t="s">
        <v>40</v>
      </c>
      <c r="Q12" s="23" t="s">
        <v>40</v>
      </c>
      <c r="R12" s="23" t="s">
        <v>293</v>
      </c>
      <c r="S12" s="23" t="s">
        <v>40</v>
      </c>
      <c r="T12" s="23" t="s">
        <v>40</v>
      </c>
    </row>
    <row r="13" spans="1:20" x14ac:dyDescent="0.25">
      <c r="A13" s="23" t="s">
        <v>11122</v>
      </c>
      <c r="B13" s="23" t="s">
        <v>292</v>
      </c>
      <c r="C13" s="23" t="s">
        <v>10875</v>
      </c>
      <c r="D13" s="23" t="s">
        <v>11123</v>
      </c>
      <c r="E13" s="23" t="s">
        <v>11124</v>
      </c>
      <c r="F13" s="23" t="s">
        <v>40</v>
      </c>
      <c r="G13" s="23" t="s">
        <v>11125</v>
      </c>
      <c r="H13" s="23" t="s">
        <v>11126</v>
      </c>
      <c r="I13" s="23" t="s">
        <v>11127</v>
      </c>
      <c r="J13" s="23" t="s">
        <v>801</v>
      </c>
      <c r="K13" s="26" t="s">
        <v>396</v>
      </c>
      <c r="L13" s="23" t="s">
        <v>13</v>
      </c>
      <c r="M13" s="25" t="s">
        <v>18</v>
      </c>
      <c r="N13" s="23" t="s">
        <v>40</v>
      </c>
      <c r="O13" s="23" t="s">
        <v>387</v>
      </c>
      <c r="P13" s="23" t="s">
        <v>40</v>
      </c>
      <c r="Q13" s="23" t="s">
        <v>40</v>
      </c>
      <c r="R13" s="23" t="s">
        <v>293</v>
      </c>
      <c r="S13" s="23" t="s">
        <v>1710</v>
      </c>
      <c r="T13" s="23" t="s">
        <v>40</v>
      </c>
    </row>
    <row r="14" spans="1:20" x14ac:dyDescent="0.25">
      <c r="A14" s="23" t="s">
        <v>11128</v>
      </c>
      <c r="B14" s="23" t="s">
        <v>292</v>
      </c>
      <c r="C14" s="23" t="s">
        <v>10875</v>
      </c>
      <c r="D14" s="23" t="s">
        <v>11129</v>
      </c>
      <c r="E14" s="23" t="s">
        <v>3835</v>
      </c>
      <c r="F14" s="23" t="s">
        <v>40</v>
      </c>
      <c r="G14" s="23" t="s">
        <v>11130</v>
      </c>
      <c r="H14" s="23" t="s">
        <v>11131</v>
      </c>
      <c r="I14" s="23" t="s">
        <v>11132</v>
      </c>
      <c r="J14" s="23" t="s">
        <v>14</v>
      </c>
      <c r="K14" s="24" t="s">
        <v>386</v>
      </c>
      <c r="L14" s="23" t="s">
        <v>405</v>
      </c>
      <c r="M14" s="25" t="s">
        <v>18</v>
      </c>
      <c r="N14" s="23" t="s">
        <v>40</v>
      </c>
      <c r="O14" s="23" t="s">
        <v>387</v>
      </c>
      <c r="P14" s="23" t="s">
        <v>40</v>
      </c>
      <c r="Q14" s="23" t="s">
        <v>40</v>
      </c>
      <c r="R14" s="23" t="s">
        <v>293</v>
      </c>
      <c r="S14" s="23" t="s">
        <v>1710</v>
      </c>
      <c r="T14" s="23" t="s">
        <v>40</v>
      </c>
    </row>
    <row r="15" spans="1:20" x14ac:dyDescent="0.25">
      <c r="A15" s="23" t="s">
        <v>11133</v>
      </c>
      <c r="B15" s="23" t="s">
        <v>292</v>
      </c>
      <c r="C15" s="23" t="s">
        <v>10875</v>
      </c>
      <c r="D15" s="23" t="s">
        <v>11134</v>
      </c>
      <c r="E15" s="23" t="s">
        <v>3835</v>
      </c>
      <c r="F15" s="23" t="s">
        <v>40</v>
      </c>
      <c r="G15" s="23" t="s">
        <v>11135</v>
      </c>
      <c r="H15" s="23" t="s">
        <v>11136</v>
      </c>
      <c r="I15" s="23" t="s">
        <v>11137</v>
      </c>
      <c r="J15" s="23" t="s">
        <v>14</v>
      </c>
      <c r="K15" s="24" t="s">
        <v>386</v>
      </c>
      <c r="L15" s="23" t="s">
        <v>405</v>
      </c>
      <c r="M15" s="25" t="s">
        <v>18</v>
      </c>
      <c r="N15" s="23" t="s">
        <v>40</v>
      </c>
      <c r="O15" s="23" t="s">
        <v>387</v>
      </c>
      <c r="P15" s="23" t="s">
        <v>40</v>
      </c>
      <c r="Q15" s="23" t="s">
        <v>40</v>
      </c>
      <c r="R15" s="23" t="s">
        <v>293</v>
      </c>
      <c r="S15" s="23" t="s">
        <v>1710</v>
      </c>
      <c r="T15" s="23" t="s">
        <v>40</v>
      </c>
    </row>
    <row r="16" spans="1:20" x14ac:dyDescent="0.25">
      <c r="A16" s="23" t="s">
        <v>11138</v>
      </c>
      <c r="B16" s="23" t="s">
        <v>292</v>
      </c>
      <c r="C16" s="23" t="s">
        <v>1741</v>
      </c>
      <c r="D16" s="23" t="s">
        <v>11139</v>
      </c>
      <c r="E16" s="23" t="s">
        <v>3835</v>
      </c>
      <c r="F16" s="23" t="s">
        <v>40</v>
      </c>
      <c r="G16" s="23" t="s">
        <v>11140</v>
      </c>
      <c r="H16" s="23" t="s">
        <v>11141</v>
      </c>
      <c r="I16" s="23" t="s">
        <v>11142</v>
      </c>
      <c r="J16" s="23" t="s">
        <v>466</v>
      </c>
      <c r="K16" s="27" t="s">
        <v>404</v>
      </c>
      <c r="L16" s="23" t="s">
        <v>490</v>
      </c>
      <c r="M16" s="25" t="s">
        <v>18</v>
      </c>
      <c r="N16" s="23" t="s">
        <v>40</v>
      </c>
      <c r="O16" s="23" t="s">
        <v>387</v>
      </c>
      <c r="P16" s="23" t="s">
        <v>40</v>
      </c>
      <c r="Q16" s="23" t="s">
        <v>40</v>
      </c>
      <c r="R16" s="23" t="s">
        <v>293</v>
      </c>
      <c r="S16" s="23" t="s">
        <v>1710</v>
      </c>
      <c r="T16" s="23" t="s">
        <v>40</v>
      </c>
    </row>
    <row r="17" spans="1:20" x14ac:dyDescent="0.25">
      <c r="A17" s="23" t="s">
        <v>11143</v>
      </c>
      <c r="B17" s="23" t="s">
        <v>292</v>
      </c>
      <c r="C17" s="23" t="s">
        <v>1741</v>
      </c>
      <c r="D17" s="23" t="s">
        <v>11144</v>
      </c>
      <c r="E17" s="23" t="s">
        <v>3835</v>
      </c>
      <c r="F17" s="23" t="s">
        <v>40</v>
      </c>
      <c r="G17" s="23" t="s">
        <v>11145</v>
      </c>
      <c r="H17" s="23" t="s">
        <v>11146</v>
      </c>
      <c r="I17" s="23" t="s">
        <v>11147</v>
      </c>
      <c r="J17" s="23" t="s">
        <v>14</v>
      </c>
      <c r="K17" s="27" t="s">
        <v>404</v>
      </c>
      <c r="L17" s="23" t="s">
        <v>490</v>
      </c>
      <c r="M17" s="25" t="s">
        <v>18</v>
      </c>
      <c r="N17" s="23" t="s">
        <v>40</v>
      </c>
      <c r="O17" s="23" t="s">
        <v>387</v>
      </c>
      <c r="P17" s="23" t="s">
        <v>40</v>
      </c>
      <c r="Q17" s="23" t="s">
        <v>40</v>
      </c>
      <c r="R17" s="23" t="s">
        <v>293</v>
      </c>
      <c r="S17" s="23" t="s">
        <v>1710</v>
      </c>
      <c r="T17" s="23" t="s">
        <v>40</v>
      </c>
    </row>
    <row r="18" spans="1:20" x14ac:dyDescent="0.25">
      <c r="A18" s="23" t="s">
        <v>11148</v>
      </c>
      <c r="B18" s="23" t="s">
        <v>292</v>
      </c>
      <c r="C18" s="23" t="s">
        <v>7178</v>
      </c>
      <c r="D18" s="23" t="s">
        <v>11149</v>
      </c>
      <c r="E18" s="23" t="s">
        <v>3835</v>
      </c>
      <c r="F18" s="23" t="s">
        <v>40</v>
      </c>
      <c r="G18" s="23" t="s">
        <v>11150</v>
      </c>
      <c r="H18" s="23" t="s">
        <v>11151</v>
      </c>
      <c r="I18" s="23" t="s">
        <v>10905</v>
      </c>
      <c r="J18" s="23" t="s">
        <v>14</v>
      </c>
      <c r="K18" s="27" t="s">
        <v>404</v>
      </c>
      <c r="L18" s="23" t="s">
        <v>490</v>
      </c>
      <c r="M18" s="25" t="s">
        <v>18</v>
      </c>
      <c r="N18" s="23" t="s">
        <v>40</v>
      </c>
      <c r="O18" s="23" t="s">
        <v>387</v>
      </c>
      <c r="P18" s="23" t="s">
        <v>40</v>
      </c>
      <c r="Q18" s="23" t="s">
        <v>40</v>
      </c>
      <c r="R18" s="23" t="s">
        <v>293</v>
      </c>
      <c r="S18" s="23" t="s">
        <v>1710</v>
      </c>
      <c r="T18" s="23" t="s">
        <v>40</v>
      </c>
    </row>
    <row r="19" spans="1:20" x14ac:dyDescent="0.25">
      <c r="A19" s="23" t="s">
        <v>11152</v>
      </c>
      <c r="B19" s="23" t="s">
        <v>292</v>
      </c>
      <c r="C19" s="23" t="s">
        <v>6700</v>
      </c>
      <c r="D19" s="23" t="s">
        <v>11153</v>
      </c>
      <c r="E19" s="23" t="s">
        <v>9402</v>
      </c>
      <c r="F19" s="23" t="s">
        <v>40</v>
      </c>
      <c r="G19" s="23" t="s">
        <v>11154</v>
      </c>
      <c r="H19" s="23" t="s">
        <v>11155</v>
      </c>
      <c r="I19" s="23" t="s">
        <v>11111</v>
      </c>
      <c r="J19" s="23" t="s">
        <v>525</v>
      </c>
      <c r="K19" s="24" t="s">
        <v>386</v>
      </c>
      <c r="L19" s="23" t="s">
        <v>13</v>
      </c>
      <c r="M19" s="25" t="s">
        <v>18</v>
      </c>
      <c r="N19" s="23" t="s">
        <v>40</v>
      </c>
      <c r="O19" s="23" t="s">
        <v>387</v>
      </c>
      <c r="P19" s="23" t="s">
        <v>40</v>
      </c>
      <c r="Q19" s="23" t="s">
        <v>40</v>
      </c>
      <c r="R19" s="23" t="s">
        <v>293</v>
      </c>
      <c r="S19" s="23" t="s">
        <v>1710</v>
      </c>
      <c r="T19" s="23" t="s">
        <v>40</v>
      </c>
    </row>
    <row r="20" spans="1:20" x14ac:dyDescent="0.25">
      <c r="A20" s="23" t="s">
        <v>11156</v>
      </c>
      <c r="B20" s="23" t="s">
        <v>294</v>
      </c>
      <c r="C20" s="23" t="s">
        <v>944</v>
      </c>
      <c r="D20" s="23" t="s">
        <v>11157</v>
      </c>
      <c r="E20" s="23" t="s">
        <v>3835</v>
      </c>
      <c r="F20" s="23" t="s">
        <v>11158</v>
      </c>
      <c r="G20" s="23" t="s">
        <v>11159</v>
      </c>
      <c r="H20" s="23" t="s">
        <v>11160</v>
      </c>
      <c r="I20" s="23" t="s">
        <v>11161</v>
      </c>
      <c r="J20" s="23" t="s">
        <v>385</v>
      </c>
      <c r="K20" s="24" t="s">
        <v>386</v>
      </c>
      <c r="L20" s="23" t="s">
        <v>13</v>
      </c>
      <c r="M20" s="31" t="s">
        <v>17</v>
      </c>
      <c r="N20" s="23" t="s">
        <v>11162</v>
      </c>
      <c r="O20" s="29" t="s">
        <v>87</v>
      </c>
      <c r="P20" s="23" t="s">
        <v>40</v>
      </c>
      <c r="Q20" s="23" t="s">
        <v>40</v>
      </c>
      <c r="R20" s="23" t="s">
        <v>295</v>
      </c>
      <c r="S20" s="23" t="s">
        <v>40</v>
      </c>
      <c r="T20" s="23" t="s">
        <v>40</v>
      </c>
    </row>
    <row r="21" spans="1:20" x14ac:dyDescent="0.25">
      <c r="A21" s="23" t="s">
        <v>11163</v>
      </c>
      <c r="B21" s="23" t="s">
        <v>294</v>
      </c>
      <c r="C21" s="23" t="s">
        <v>951</v>
      </c>
      <c r="D21" s="23" t="s">
        <v>11164</v>
      </c>
      <c r="E21" s="23" t="s">
        <v>11124</v>
      </c>
      <c r="F21" s="23" t="s">
        <v>40</v>
      </c>
      <c r="G21" s="23" t="s">
        <v>11165</v>
      </c>
      <c r="H21" s="23" t="s">
        <v>11166</v>
      </c>
      <c r="I21" s="23" t="s">
        <v>11167</v>
      </c>
      <c r="J21" s="23" t="s">
        <v>14</v>
      </c>
      <c r="K21" s="24" t="s">
        <v>386</v>
      </c>
      <c r="L21" s="23" t="s">
        <v>405</v>
      </c>
      <c r="M21" s="25" t="s">
        <v>18</v>
      </c>
      <c r="N21" s="23" t="s">
        <v>40</v>
      </c>
      <c r="O21" s="23" t="s">
        <v>387</v>
      </c>
      <c r="P21" s="23" t="s">
        <v>40</v>
      </c>
      <c r="Q21" s="23" t="s">
        <v>40</v>
      </c>
      <c r="R21" s="23" t="s">
        <v>295</v>
      </c>
      <c r="S21" s="23" t="s">
        <v>1710</v>
      </c>
      <c r="T21" s="23" t="s">
        <v>40</v>
      </c>
    </row>
    <row r="22" spans="1:20" x14ac:dyDescent="0.25">
      <c r="A22" s="23" t="s">
        <v>11168</v>
      </c>
      <c r="B22" s="23" t="s">
        <v>294</v>
      </c>
      <c r="C22" s="23" t="s">
        <v>951</v>
      </c>
      <c r="D22" s="23" t="s">
        <v>5889</v>
      </c>
      <c r="E22" s="23" t="s">
        <v>11169</v>
      </c>
      <c r="F22" s="23" t="s">
        <v>40</v>
      </c>
      <c r="G22" s="23" t="s">
        <v>11170</v>
      </c>
      <c r="H22" s="23" t="s">
        <v>11171</v>
      </c>
      <c r="I22" s="23" t="s">
        <v>11172</v>
      </c>
      <c r="J22" s="23" t="s">
        <v>385</v>
      </c>
      <c r="K22" s="32" t="s">
        <v>747</v>
      </c>
      <c r="L22" s="23" t="s">
        <v>490</v>
      </c>
      <c r="M22" s="25" t="s">
        <v>18</v>
      </c>
      <c r="N22" s="23" t="s">
        <v>40</v>
      </c>
      <c r="O22" s="23" t="s">
        <v>387</v>
      </c>
      <c r="P22" s="23" t="s">
        <v>40</v>
      </c>
      <c r="Q22" s="23" t="s">
        <v>40</v>
      </c>
      <c r="R22" s="23" t="s">
        <v>295</v>
      </c>
      <c r="S22" s="23" t="s">
        <v>1710</v>
      </c>
      <c r="T22" s="23" t="s">
        <v>40</v>
      </c>
    </row>
    <row r="23" spans="1:20" x14ac:dyDescent="0.25">
      <c r="A23" s="23" t="s">
        <v>11173</v>
      </c>
      <c r="B23" s="23" t="s">
        <v>294</v>
      </c>
      <c r="C23" s="23" t="s">
        <v>951</v>
      </c>
      <c r="D23" s="23" t="s">
        <v>11174</v>
      </c>
      <c r="E23" s="23" t="s">
        <v>11175</v>
      </c>
      <c r="F23" s="23" t="s">
        <v>40</v>
      </c>
      <c r="G23" s="23" t="s">
        <v>11176</v>
      </c>
      <c r="H23" s="23" t="s">
        <v>11177</v>
      </c>
      <c r="I23" s="23" t="s">
        <v>11178</v>
      </c>
      <c r="J23" s="23" t="s">
        <v>14</v>
      </c>
      <c r="K23" s="26" t="s">
        <v>396</v>
      </c>
      <c r="L23" s="23" t="s">
        <v>13</v>
      </c>
      <c r="M23" s="25" t="s">
        <v>18</v>
      </c>
      <c r="N23" s="23" t="s">
        <v>40</v>
      </c>
      <c r="O23" s="23" t="s">
        <v>387</v>
      </c>
      <c r="P23" s="23" t="s">
        <v>40</v>
      </c>
      <c r="Q23" s="23" t="s">
        <v>40</v>
      </c>
      <c r="R23" s="23" t="s">
        <v>295</v>
      </c>
      <c r="S23" s="23" t="s">
        <v>1710</v>
      </c>
      <c r="T23" s="23" t="s">
        <v>40</v>
      </c>
    </row>
    <row r="24" spans="1:20" x14ac:dyDescent="0.25">
      <c r="A24" s="23" t="s">
        <v>11179</v>
      </c>
      <c r="B24" s="23" t="s">
        <v>294</v>
      </c>
      <c r="C24" s="23" t="s">
        <v>951</v>
      </c>
      <c r="D24" s="23" t="s">
        <v>11180</v>
      </c>
      <c r="E24" s="23" t="s">
        <v>3835</v>
      </c>
      <c r="F24" s="23" t="s">
        <v>40</v>
      </c>
      <c r="G24" s="23" t="s">
        <v>11181</v>
      </c>
      <c r="H24" s="23" t="s">
        <v>11182</v>
      </c>
      <c r="I24" s="23" t="s">
        <v>11183</v>
      </c>
      <c r="J24" s="23" t="s">
        <v>385</v>
      </c>
      <c r="K24" s="32" t="s">
        <v>747</v>
      </c>
      <c r="L24" s="23" t="s">
        <v>490</v>
      </c>
      <c r="M24" s="25" t="s">
        <v>18</v>
      </c>
      <c r="N24" s="23" t="s">
        <v>40</v>
      </c>
      <c r="O24" s="23" t="s">
        <v>387</v>
      </c>
      <c r="P24" s="23" t="s">
        <v>40</v>
      </c>
      <c r="Q24" s="23" t="s">
        <v>40</v>
      </c>
      <c r="R24" s="23" t="s">
        <v>295</v>
      </c>
      <c r="S24" s="23" t="s">
        <v>11184</v>
      </c>
      <c r="T24" s="23" t="s">
        <v>40</v>
      </c>
    </row>
    <row r="25" spans="1:20" x14ac:dyDescent="0.25">
      <c r="A25" s="23" t="s">
        <v>11185</v>
      </c>
      <c r="B25" s="23" t="s">
        <v>294</v>
      </c>
      <c r="C25" s="23" t="s">
        <v>951</v>
      </c>
      <c r="D25" s="23" t="s">
        <v>11186</v>
      </c>
      <c r="E25" s="23" t="s">
        <v>3835</v>
      </c>
      <c r="F25" s="23" t="s">
        <v>40</v>
      </c>
      <c r="G25" s="23" t="s">
        <v>11187</v>
      </c>
      <c r="H25" s="23" t="s">
        <v>11188</v>
      </c>
      <c r="I25" s="23" t="s">
        <v>11189</v>
      </c>
      <c r="J25" s="23" t="s">
        <v>385</v>
      </c>
      <c r="K25" s="32" t="s">
        <v>747</v>
      </c>
      <c r="L25" s="23" t="s">
        <v>490</v>
      </c>
      <c r="M25" s="25" t="s">
        <v>18</v>
      </c>
      <c r="N25" s="23" t="s">
        <v>40</v>
      </c>
      <c r="O25" s="23" t="s">
        <v>387</v>
      </c>
      <c r="P25" s="23" t="s">
        <v>40</v>
      </c>
      <c r="Q25" s="23" t="s">
        <v>40</v>
      </c>
      <c r="R25" s="23" t="s">
        <v>295</v>
      </c>
      <c r="S25" s="23" t="s">
        <v>1710</v>
      </c>
      <c r="T25" s="23" t="s">
        <v>40</v>
      </c>
    </row>
    <row r="26" spans="1:20" x14ac:dyDescent="0.25">
      <c r="A26" s="23" t="s">
        <v>11190</v>
      </c>
      <c r="B26" s="23" t="s">
        <v>294</v>
      </c>
      <c r="C26" s="23" t="s">
        <v>11191</v>
      </c>
      <c r="D26" s="23" t="s">
        <v>11192</v>
      </c>
      <c r="E26" s="23" t="s">
        <v>11193</v>
      </c>
      <c r="F26" s="23" t="s">
        <v>11194</v>
      </c>
      <c r="G26" s="23" t="s">
        <v>11195</v>
      </c>
      <c r="H26" s="23" t="s">
        <v>11196</v>
      </c>
      <c r="I26" s="23" t="s">
        <v>11197</v>
      </c>
      <c r="J26" s="23" t="s">
        <v>14</v>
      </c>
      <c r="K26" s="26" t="s">
        <v>396</v>
      </c>
      <c r="L26" s="23" t="s">
        <v>13</v>
      </c>
      <c r="M26" s="25" t="s">
        <v>18</v>
      </c>
      <c r="N26" s="23" t="s">
        <v>40</v>
      </c>
      <c r="O26" s="23" t="s">
        <v>387</v>
      </c>
      <c r="P26" s="23" t="s">
        <v>40</v>
      </c>
      <c r="Q26" s="23" t="s">
        <v>40</v>
      </c>
      <c r="R26" s="23" t="s">
        <v>295</v>
      </c>
      <c r="S26" s="23" t="s">
        <v>11198</v>
      </c>
      <c r="T26" s="23" t="s">
        <v>40</v>
      </c>
    </row>
    <row r="27" spans="1:20" x14ac:dyDescent="0.25">
      <c r="A27" s="23" t="s">
        <v>11199</v>
      </c>
      <c r="B27" s="23" t="s">
        <v>294</v>
      </c>
      <c r="C27" s="23" t="s">
        <v>11191</v>
      </c>
      <c r="D27" s="23" t="s">
        <v>11200</v>
      </c>
      <c r="E27" s="23" t="s">
        <v>3835</v>
      </c>
      <c r="F27" s="23" t="s">
        <v>40</v>
      </c>
      <c r="G27" s="23" t="s">
        <v>11201</v>
      </c>
      <c r="H27" s="23" t="s">
        <v>11202</v>
      </c>
      <c r="I27" s="23" t="s">
        <v>10193</v>
      </c>
      <c r="J27" s="23" t="s">
        <v>466</v>
      </c>
      <c r="K27" s="24" t="s">
        <v>386</v>
      </c>
      <c r="L27" s="23" t="s">
        <v>13</v>
      </c>
      <c r="M27" s="25" t="s">
        <v>18</v>
      </c>
      <c r="N27" s="23" t="s">
        <v>40</v>
      </c>
      <c r="O27" s="23" t="s">
        <v>387</v>
      </c>
      <c r="P27" s="23" t="s">
        <v>40</v>
      </c>
      <c r="Q27" s="23" t="s">
        <v>40</v>
      </c>
      <c r="R27" s="23" t="s">
        <v>295</v>
      </c>
      <c r="S27" s="23" t="s">
        <v>1710</v>
      </c>
      <c r="T27" s="23" t="s">
        <v>40</v>
      </c>
    </row>
    <row r="28" spans="1:20" x14ac:dyDescent="0.25">
      <c r="A28" s="23" t="s">
        <v>11203</v>
      </c>
      <c r="B28" s="23" t="s">
        <v>294</v>
      </c>
      <c r="C28" s="23" t="s">
        <v>11191</v>
      </c>
      <c r="D28" s="23" t="s">
        <v>11204</v>
      </c>
      <c r="E28" s="23" t="s">
        <v>11193</v>
      </c>
      <c r="F28" s="23" t="s">
        <v>40</v>
      </c>
      <c r="G28" s="23" t="s">
        <v>11205</v>
      </c>
      <c r="H28" s="23" t="s">
        <v>11206</v>
      </c>
      <c r="I28" s="23" t="s">
        <v>11207</v>
      </c>
      <c r="J28" s="23" t="s">
        <v>466</v>
      </c>
      <c r="K28" s="24" t="s">
        <v>386</v>
      </c>
      <c r="L28" s="23" t="s">
        <v>13</v>
      </c>
      <c r="M28" s="25" t="s">
        <v>18</v>
      </c>
      <c r="N28" s="23" t="s">
        <v>40</v>
      </c>
      <c r="O28" s="23" t="s">
        <v>387</v>
      </c>
      <c r="P28" s="23" t="s">
        <v>40</v>
      </c>
      <c r="Q28" s="23" t="s">
        <v>40</v>
      </c>
      <c r="R28" s="23" t="s">
        <v>295</v>
      </c>
      <c r="S28" s="23" t="s">
        <v>1710</v>
      </c>
      <c r="T28" s="23" t="s">
        <v>40</v>
      </c>
    </row>
    <row r="29" spans="1:20" x14ac:dyDescent="0.25">
      <c r="A29" s="23" t="s">
        <v>11208</v>
      </c>
      <c r="B29" s="23" t="s">
        <v>294</v>
      </c>
      <c r="C29" s="23" t="s">
        <v>11191</v>
      </c>
      <c r="D29" s="23" t="s">
        <v>11209</v>
      </c>
      <c r="E29" s="23" t="s">
        <v>11193</v>
      </c>
      <c r="F29" s="23" t="s">
        <v>40</v>
      </c>
      <c r="G29" s="23" t="s">
        <v>11210</v>
      </c>
      <c r="H29" s="23" t="s">
        <v>11211</v>
      </c>
      <c r="I29" s="23" t="s">
        <v>11212</v>
      </c>
      <c r="J29" s="23" t="s">
        <v>466</v>
      </c>
      <c r="K29" s="27" t="s">
        <v>404</v>
      </c>
      <c r="L29" s="23" t="s">
        <v>405</v>
      </c>
      <c r="M29" s="25" t="s">
        <v>18</v>
      </c>
      <c r="N29" s="23" t="s">
        <v>40</v>
      </c>
      <c r="O29" s="23" t="s">
        <v>387</v>
      </c>
      <c r="P29" s="23" t="s">
        <v>40</v>
      </c>
      <c r="Q29" s="23" t="s">
        <v>40</v>
      </c>
      <c r="R29" s="23" t="s">
        <v>295</v>
      </c>
      <c r="S29" s="23" t="s">
        <v>11213</v>
      </c>
      <c r="T29" s="23" t="s">
        <v>40</v>
      </c>
    </row>
    <row r="30" spans="1:20" x14ac:dyDescent="0.25">
      <c r="A30" s="23" t="s">
        <v>11214</v>
      </c>
      <c r="B30" s="23" t="s">
        <v>294</v>
      </c>
      <c r="C30" s="23" t="s">
        <v>11191</v>
      </c>
      <c r="D30" s="23" t="s">
        <v>11215</v>
      </c>
      <c r="E30" s="23" t="s">
        <v>11193</v>
      </c>
      <c r="F30" s="23" t="s">
        <v>11216</v>
      </c>
      <c r="G30" s="23" t="s">
        <v>11217</v>
      </c>
      <c r="H30" s="23" t="s">
        <v>11218</v>
      </c>
      <c r="I30" s="23" t="s">
        <v>11219</v>
      </c>
      <c r="J30" s="23" t="s">
        <v>15</v>
      </c>
      <c r="K30" s="24" t="s">
        <v>386</v>
      </c>
      <c r="L30" s="23" t="s">
        <v>13</v>
      </c>
      <c r="M30" s="25" t="s">
        <v>18</v>
      </c>
      <c r="N30" s="23" t="s">
        <v>40</v>
      </c>
      <c r="O30" s="23" t="s">
        <v>387</v>
      </c>
      <c r="P30" s="23" t="s">
        <v>40</v>
      </c>
      <c r="Q30" s="23" t="s">
        <v>40</v>
      </c>
      <c r="R30" s="23" t="s">
        <v>295</v>
      </c>
      <c r="S30" s="23" t="s">
        <v>11220</v>
      </c>
      <c r="T30" s="23" t="s">
        <v>40</v>
      </c>
    </row>
    <row r="31" spans="1:20" x14ac:dyDescent="0.25">
      <c r="A31" s="23" t="s">
        <v>11221</v>
      </c>
      <c r="B31" s="23" t="s">
        <v>294</v>
      </c>
      <c r="C31" s="23" t="s">
        <v>11191</v>
      </c>
      <c r="D31" s="23" t="s">
        <v>11222</v>
      </c>
      <c r="E31" s="23" t="s">
        <v>11193</v>
      </c>
      <c r="F31" s="23" t="s">
        <v>11223</v>
      </c>
      <c r="G31" s="23" t="s">
        <v>11224</v>
      </c>
      <c r="H31" s="23" t="s">
        <v>11225</v>
      </c>
      <c r="I31" s="23" t="s">
        <v>11226</v>
      </c>
      <c r="J31" s="23" t="s">
        <v>489</v>
      </c>
      <c r="K31" s="27" t="s">
        <v>404</v>
      </c>
      <c r="L31" s="23" t="s">
        <v>405</v>
      </c>
      <c r="M31" s="25" t="s">
        <v>18</v>
      </c>
      <c r="N31" s="23" t="s">
        <v>40</v>
      </c>
      <c r="O31" s="23" t="s">
        <v>387</v>
      </c>
      <c r="P31" s="23" t="s">
        <v>40</v>
      </c>
      <c r="Q31" s="23" t="s">
        <v>40</v>
      </c>
      <c r="R31" s="23" t="s">
        <v>295</v>
      </c>
      <c r="S31" s="23" t="s">
        <v>11227</v>
      </c>
      <c r="T31" s="23" t="s">
        <v>40</v>
      </c>
    </row>
    <row r="32" spans="1:20" x14ac:dyDescent="0.25">
      <c r="A32" s="23" t="s">
        <v>11228</v>
      </c>
      <c r="B32" s="23" t="s">
        <v>294</v>
      </c>
      <c r="C32" s="23" t="s">
        <v>11191</v>
      </c>
      <c r="D32" s="23" t="s">
        <v>11229</v>
      </c>
      <c r="E32" s="23" t="s">
        <v>11230</v>
      </c>
      <c r="F32" s="23" t="s">
        <v>40</v>
      </c>
      <c r="G32" s="23" t="s">
        <v>11231</v>
      </c>
      <c r="H32" s="23" t="s">
        <v>11232</v>
      </c>
      <c r="I32" s="23" t="s">
        <v>11233</v>
      </c>
      <c r="J32" s="23" t="s">
        <v>801</v>
      </c>
      <c r="K32" s="26" t="s">
        <v>396</v>
      </c>
      <c r="L32" s="23" t="s">
        <v>13</v>
      </c>
      <c r="M32" s="25" t="s">
        <v>18</v>
      </c>
      <c r="N32" s="23" t="s">
        <v>40</v>
      </c>
      <c r="O32" s="23" t="s">
        <v>387</v>
      </c>
      <c r="P32" s="23" t="s">
        <v>40</v>
      </c>
      <c r="Q32" s="23" t="s">
        <v>40</v>
      </c>
      <c r="R32" s="23" t="s">
        <v>295</v>
      </c>
      <c r="S32" s="23" t="s">
        <v>11234</v>
      </c>
      <c r="T32" s="23" t="s">
        <v>40</v>
      </c>
    </row>
    <row r="33" spans="1:20" x14ac:dyDescent="0.25">
      <c r="A33" s="23" t="s">
        <v>11235</v>
      </c>
      <c r="B33" s="23" t="s">
        <v>294</v>
      </c>
      <c r="C33" s="23" t="s">
        <v>11191</v>
      </c>
      <c r="D33" s="23" t="s">
        <v>11236</v>
      </c>
      <c r="E33" s="23" t="s">
        <v>11237</v>
      </c>
      <c r="F33" s="23" t="s">
        <v>40</v>
      </c>
      <c r="G33" s="23" t="s">
        <v>11238</v>
      </c>
      <c r="H33" s="23" t="s">
        <v>11239</v>
      </c>
      <c r="I33" s="23" t="s">
        <v>11240</v>
      </c>
      <c r="J33" s="23" t="s">
        <v>15</v>
      </c>
      <c r="K33" s="24" t="s">
        <v>386</v>
      </c>
      <c r="L33" s="23" t="s">
        <v>13</v>
      </c>
      <c r="M33" s="25" t="s">
        <v>18</v>
      </c>
      <c r="N33" s="23" t="s">
        <v>40</v>
      </c>
      <c r="O33" s="23" t="s">
        <v>387</v>
      </c>
      <c r="P33" s="23" t="s">
        <v>40</v>
      </c>
      <c r="Q33" s="23" t="s">
        <v>40</v>
      </c>
      <c r="R33" s="23" t="s">
        <v>295</v>
      </c>
      <c r="S33" s="23" t="s">
        <v>11241</v>
      </c>
      <c r="T33" s="23" t="s">
        <v>40</v>
      </c>
    </row>
    <row r="34" spans="1:20" x14ac:dyDescent="0.25">
      <c r="A34" s="23" t="s">
        <v>11242</v>
      </c>
      <c r="B34" s="23" t="s">
        <v>294</v>
      </c>
      <c r="C34" s="23" t="s">
        <v>11191</v>
      </c>
      <c r="D34" s="23" t="s">
        <v>11243</v>
      </c>
      <c r="E34" s="23" t="s">
        <v>11193</v>
      </c>
      <c r="F34" s="23" t="s">
        <v>40</v>
      </c>
      <c r="G34" s="23" t="s">
        <v>11244</v>
      </c>
      <c r="H34" s="23" t="s">
        <v>11245</v>
      </c>
      <c r="I34" s="23" t="s">
        <v>11246</v>
      </c>
      <c r="J34" s="23" t="s">
        <v>14</v>
      </c>
      <c r="K34" s="26" t="s">
        <v>396</v>
      </c>
      <c r="L34" s="23" t="s">
        <v>13</v>
      </c>
      <c r="M34" s="25" t="s">
        <v>18</v>
      </c>
      <c r="N34" s="23" t="s">
        <v>40</v>
      </c>
      <c r="O34" s="23" t="s">
        <v>387</v>
      </c>
      <c r="P34" s="23" t="s">
        <v>40</v>
      </c>
      <c r="Q34" s="23" t="s">
        <v>40</v>
      </c>
      <c r="R34" s="23" t="s">
        <v>295</v>
      </c>
      <c r="S34" s="23" t="s">
        <v>1710</v>
      </c>
      <c r="T34" s="23" t="s">
        <v>40</v>
      </c>
    </row>
    <row r="35" spans="1:20" x14ac:dyDescent="0.25">
      <c r="A35" s="23" t="s">
        <v>11247</v>
      </c>
      <c r="B35" s="23" t="s">
        <v>294</v>
      </c>
      <c r="C35" s="23" t="s">
        <v>11191</v>
      </c>
      <c r="D35" s="23" t="s">
        <v>11248</v>
      </c>
      <c r="E35" s="23" t="s">
        <v>11193</v>
      </c>
      <c r="F35" s="23" t="s">
        <v>40</v>
      </c>
      <c r="G35" s="23" t="s">
        <v>11249</v>
      </c>
      <c r="H35" s="23" t="s">
        <v>11250</v>
      </c>
      <c r="I35" s="23" t="s">
        <v>11251</v>
      </c>
      <c r="J35" s="23" t="s">
        <v>14</v>
      </c>
      <c r="K35" s="24" t="s">
        <v>386</v>
      </c>
      <c r="L35" s="23" t="s">
        <v>405</v>
      </c>
      <c r="M35" s="25" t="s">
        <v>18</v>
      </c>
      <c r="N35" s="23" t="s">
        <v>40</v>
      </c>
      <c r="O35" s="23" t="s">
        <v>387</v>
      </c>
      <c r="P35" s="23" t="s">
        <v>40</v>
      </c>
      <c r="Q35" s="23" t="s">
        <v>40</v>
      </c>
      <c r="R35" s="23" t="s">
        <v>295</v>
      </c>
      <c r="S35" s="23" t="s">
        <v>1710</v>
      </c>
      <c r="T35" s="23" t="s">
        <v>40</v>
      </c>
    </row>
    <row r="36" spans="1:20" x14ac:dyDescent="0.25">
      <c r="A36" s="23" t="s">
        <v>11252</v>
      </c>
      <c r="B36" s="23" t="s">
        <v>294</v>
      </c>
      <c r="C36" s="23" t="s">
        <v>11191</v>
      </c>
      <c r="D36" s="23" t="s">
        <v>11253</v>
      </c>
      <c r="E36" s="23" t="s">
        <v>11193</v>
      </c>
      <c r="F36" s="23" t="s">
        <v>40</v>
      </c>
      <c r="G36" s="23" t="s">
        <v>11254</v>
      </c>
      <c r="H36" s="23" t="s">
        <v>11255</v>
      </c>
      <c r="I36" s="23" t="s">
        <v>11256</v>
      </c>
      <c r="J36" s="23" t="s">
        <v>489</v>
      </c>
      <c r="K36" s="24" t="s">
        <v>386</v>
      </c>
      <c r="L36" s="23" t="s">
        <v>13</v>
      </c>
      <c r="M36" s="25" t="s">
        <v>18</v>
      </c>
      <c r="N36" s="23" t="s">
        <v>40</v>
      </c>
      <c r="O36" s="23" t="s">
        <v>387</v>
      </c>
      <c r="P36" s="23" t="s">
        <v>40</v>
      </c>
      <c r="Q36" s="23" t="s">
        <v>40</v>
      </c>
      <c r="R36" s="23" t="s">
        <v>295</v>
      </c>
      <c r="S36" s="23" t="s">
        <v>1710</v>
      </c>
      <c r="T36" s="23" t="s">
        <v>40</v>
      </c>
    </row>
    <row r="37" spans="1:20" x14ac:dyDescent="0.25">
      <c r="A37" s="23" t="s">
        <v>11257</v>
      </c>
      <c r="B37" s="23" t="s">
        <v>294</v>
      </c>
      <c r="C37" s="23" t="s">
        <v>11191</v>
      </c>
      <c r="D37" s="23" t="s">
        <v>11258</v>
      </c>
      <c r="E37" s="23" t="s">
        <v>11193</v>
      </c>
      <c r="F37" s="23" t="s">
        <v>40</v>
      </c>
      <c r="G37" s="23" t="s">
        <v>11259</v>
      </c>
      <c r="H37" s="23" t="s">
        <v>11260</v>
      </c>
      <c r="I37" s="23" t="s">
        <v>11261</v>
      </c>
      <c r="J37" s="23" t="s">
        <v>489</v>
      </c>
      <c r="K37" s="24" t="s">
        <v>386</v>
      </c>
      <c r="L37" s="23" t="s">
        <v>13</v>
      </c>
      <c r="M37" s="25" t="s">
        <v>18</v>
      </c>
      <c r="N37" s="23" t="s">
        <v>40</v>
      </c>
      <c r="O37" s="23" t="s">
        <v>387</v>
      </c>
      <c r="P37" s="23" t="s">
        <v>40</v>
      </c>
      <c r="Q37" s="23" t="s">
        <v>40</v>
      </c>
      <c r="R37" s="23" t="s">
        <v>295</v>
      </c>
      <c r="S37" s="23" t="s">
        <v>1710</v>
      </c>
      <c r="T37" s="23" t="s">
        <v>40</v>
      </c>
    </row>
    <row r="38" spans="1:20" x14ac:dyDescent="0.25">
      <c r="A38" s="23" t="s">
        <v>11262</v>
      </c>
      <c r="B38" s="23" t="s">
        <v>294</v>
      </c>
      <c r="C38" s="23" t="s">
        <v>11191</v>
      </c>
      <c r="D38" s="23" t="s">
        <v>11263</v>
      </c>
      <c r="E38" s="23" t="s">
        <v>11193</v>
      </c>
      <c r="F38" s="23" t="s">
        <v>40</v>
      </c>
      <c r="G38" s="23" t="s">
        <v>11264</v>
      </c>
      <c r="H38" s="23" t="s">
        <v>11265</v>
      </c>
      <c r="I38" s="23" t="s">
        <v>11266</v>
      </c>
      <c r="J38" s="23" t="s">
        <v>14</v>
      </c>
      <c r="K38" s="24" t="s">
        <v>386</v>
      </c>
      <c r="L38" s="23" t="s">
        <v>405</v>
      </c>
      <c r="M38" s="25" t="s">
        <v>18</v>
      </c>
      <c r="N38" s="23" t="s">
        <v>40</v>
      </c>
      <c r="O38" s="23" t="s">
        <v>387</v>
      </c>
      <c r="P38" s="23" t="s">
        <v>40</v>
      </c>
      <c r="Q38" s="23" t="s">
        <v>40</v>
      </c>
      <c r="R38" s="23" t="s">
        <v>295</v>
      </c>
      <c r="S38" s="23" t="s">
        <v>1710</v>
      </c>
      <c r="T38" s="23" t="s">
        <v>40</v>
      </c>
    </row>
    <row r="39" spans="1:20" x14ac:dyDescent="0.25">
      <c r="A39" s="23" t="s">
        <v>11267</v>
      </c>
      <c r="B39" s="23" t="s">
        <v>294</v>
      </c>
      <c r="C39" s="23" t="s">
        <v>11191</v>
      </c>
      <c r="D39" s="23" t="s">
        <v>11268</v>
      </c>
      <c r="E39" s="23" t="s">
        <v>11193</v>
      </c>
      <c r="F39" s="23" t="s">
        <v>40</v>
      </c>
      <c r="G39" s="23" t="s">
        <v>11269</v>
      </c>
      <c r="H39" s="23" t="s">
        <v>11270</v>
      </c>
      <c r="I39" s="23" t="s">
        <v>11271</v>
      </c>
      <c r="J39" s="23" t="s">
        <v>14</v>
      </c>
      <c r="K39" s="24" t="s">
        <v>386</v>
      </c>
      <c r="L39" s="23" t="s">
        <v>405</v>
      </c>
      <c r="M39" s="25" t="s">
        <v>18</v>
      </c>
      <c r="N39" s="23" t="s">
        <v>40</v>
      </c>
      <c r="O39" s="23" t="s">
        <v>387</v>
      </c>
      <c r="P39" s="23" t="s">
        <v>40</v>
      </c>
      <c r="Q39" s="23" t="s">
        <v>40</v>
      </c>
      <c r="R39" s="23" t="s">
        <v>295</v>
      </c>
      <c r="S39" s="23" t="s">
        <v>1710</v>
      </c>
      <c r="T39" s="23" t="s">
        <v>40</v>
      </c>
    </row>
    <row r="40" spans="1:20" x14ac:dyDescent="0.25">
      <c r="A40" s="23" t="s">
        <v>11272</v>
      </c>
      <c r="B40" s="23" t="s">
        <v>294</v>
      </c>
      <c r="C40" s="23" t="s">
        <v>11191</v>
      </c>
      <c r="D40" s="23" t="s">
        <v>11273</v>
      </c>
      <c r="E40" s="23" t="s">
        <v>11274</v>
      </c>
      <c r="F40" s="23" t="s">
        <v>40</v>
      </c>
      <c r="G40" s="23" t="s">
        <v>11275</v>
      </c>
      <c r="H40" s="23" t="s">
        <v>11276</v>
      </c>
      <c r="I40" s="23" t="s">
        <v>11277</v>
      </c>
      <c r="J40" s="23" t="s">
        <v>14</v>
      </c>
      <c r="K40" s="24" t="s">
        <v>386</v>
      </c>
      <c r="L40" s="23" t="s">
        <v>405</v>
      </c>
      <c r="M40" s="25" t="s">
        <v>18</v>
      </c>
      <c r="N40" s="23" t="s">
        <v>40</v>
      </c>
      <c r="O40" s="23" t="s">
        <v>387</v>
      </c>
      <c r="P40" s="23" t="s">
        <v>40</v>
      </c>
      <c r="Q40" s="23" t="s">
        <v>40</v>
      </c>
      <c r="R40" s="23" t="s">
        <v>295</v>
      </c>
      <c r="S40" s="23" t="s">
        <v>11278</v>
      </c>
      <c r="T40" s="23" t="s">
        <v>40</v>
      </c>
    </row>
    <row r="41" spans="1:20" x14ac:dyDescent="0.25">
      <c r="A41" s="23" t="s">
        <v>11279</v>
      </c>
      <c r="B41" s="23" t="s">
        <v>294</v>
      </c>
      <c r="C41" s="23" t="s">
        <v>11191</v>
      </c>
      <c r="D41" s="23" t="s">
        <v>11280</v>
      </c>
      <c r="E41" s="23" t="s">
        <v>11193</v>
      </c>
      <c r="F41" s="23" t="s">
        <v>40</v>
      </c>
      <c r="G41" s="23" t="s">
        <v>11281</v>
      </c>
      <c r="H41" s="23" t="s">
        <v>11282</v>
      </c>
      <c r="I41" s="23" t="s">
        <v>11283</v>
      </c>
      <c r="J41" s="23" t="s">
        <v>14</v>
      </c>
      <c r="K41" s="27" t="s">
        <v>404</v>
      </c>
      <c r="L41" s="23" t="s">
        <v>490</v>
      </c>
      <c r="M41" s="25" t="s">
        <v>18</v>
      </c>
      <c r="N41" s="23" t="s">
        <v>40</v>
      </c>
      <c r="O41" s="23" t="s">
        <v>387</v>
      </c>
      <c r="P41" s="23" t="s">
        <v>40</v>
      </c>
      <c r="Q41" s="23" t="s">
        <v>40</v>
      </c>
      <c r="R41" s="23" t="s">
        <v>295</v>
      </c>
      <c r="S41" s="23" t="s">
        <v>1710</v>
      </c>
      <c r="T41" s="23" t="s">
        <v>40</v>
      </c>
    </row>
    <row r="42" spans="1:20" x14ac:dyDescent="0.25">
      <c r="A42" s="23" t="s">
        <v>11284</v>
      </c>
      <c r="B42" s="23" t="s">
        <v>294</v>
      </c>
      <c r="C42" s="23" t="s">
        <v>11191</v>
      </c>
      <c r="D42" s="23" t="s">
        <v>11285</v>
      </c>
      <c r="E42" s="23" t="s">
        <v>3835</v>
      </c>
      <c r="F42" s="23" t="s">
        <v>40</v>
      </c>
      <c r="G42" s="23" t="s">
        <v>11286</v>
      </c>
      <c r="H42" s="23" t="s">
        <v>11287</v>
      </c>
      <c r="I42" s="23" t="s">
        <v>11288</v>
      </c>
      <c r="J42" s="23" t="s">
        <v>385</v>
      </c>
      <c r="K42" s="27" t="s">
        <v>404</v>
      </c>
      <c r="L42" s="23" t="s">
        <v>405</v>
      </c>
      <c r="M42" s="25" t="s">
        <v>18</v>
      </c>
      <c r="N42" s="23" t="s">
        <v>40</v>
      </c>
      <c r="O42" s="23" t="s">
        <v>387</v>
      </c>
      <c r="P42" s="23" t="s">
        <v>40</v>
      </c>
      <c r="Q42" s="23" t="s">
        <v>40</v>
      </c>
      <c r="R42" s="23" t="s">
        <v>295</v>
      </c>
      <c r="S42" s="23" t="s">
        <v>11289</v>
      </c>
      <c r="T42" s="23" t="s">
        <v>40</v>
      </c>
    </row>
    <row r="43" spans="1:20" x14ac:dyDescent="0.25">
      <c r="A43" s="23" t="s">
        <v>11290</v>
      </c>
      <c r="B43" s="23" t="s">
        <v>294</v>
      </c>
      <c r="C43" s="23" t="s">
        <v>11191</v>
      </c>
      <c r="D43" s="23" t="s">
        <v>11291</v>
      </c>
      <c r="E43" s="23" t="s">
        <v>11193</v>
      </c>
      <c r="F43" s="23" t="s">
        <v>40</v>
      </c>
      <c r="G43" s="23" t="s">
        <v>11292</v>
      </c>
      <c r="H43" s="23" t="s">
        <v>11293</v>
      </c>
      <c r="I43" s="23" t="s">
        <v>11294</v>
      </c>
      <c r="J43" s="23" t="s">
        <v>466</v>
      </c>
      <c r="K43" s="27" t="s">
        <v>404</v>
      </c>
      <c r="L43" s="23" t="s">
        <v>490</v>
      </c>
      <c r="M43" s="25" t="s">
        <v>18</v>
      </c>
      <c r="N43" s="23" t="s">
        <v>40</v>
      </c>
      <c r="O43" s="23" t="s">
        <v>387</v>
      </c>
      <c r="P43" s="23" t="s">
        <v>40</v>
      </c>
      <c r="Q43" s="23" t="s">
        <v>40</v>
      </c>
      <c r="R43" s="23" t="s">
        <v>295</v>
      </c>
      <c r="S43" s="23" t="s">
        <v>11295</v>
      </c>
      <c r="T43" s="23" t="s">
        <v>40</v>
      </c>
    </row>
    <row r="44" spans="1:20" x14ac:dyDescent="0.25">
      <c r="A44" s="23" t="s">
        <v>11296</v>
      </c>
      <c r="B44" s="23" t="s">
        <v>294</v>
      </c>
      <c r="C44" s="23" t="s">
        <v>11191</v>
      </c>
      <c r="D44" s="23" t="s">
        <v>11297</v>
      </c>
      <c r="E44" s="23" t="s">
        <v>11193</v>
      </c>
      <c r="F44" s="23" t="s">
        <v>40</v>
      </c>
      <c r="G44" s="23" t="s">
        <v>11298</v>
      </c>
      <c r="H44" s="23" t="s">
        <v>11299</v>
      </c>
      <c r="I44" s="23" t="s">
        <v>11300</v>
      </c>
      <c r="J44" s="23" t="s">
        <v>489</v>
      </c>
      <c r="K44" s="27" t="s">
        <v>404</v>
      </c>
      <c r="L44" s="23" t="s">
        <v>490</v>
      </c>
      <c r="M44" s="25" t="s">
        <v>18</v>
      </c>
      <c r="N44" s="23" t="s">
        <v>40</v>
      </c>
      <c r="O44" s="23" t="s">
        <v>387</v>
      </c>
      <c r="P44" s="23" t="s">
        <v>40</v>
      </c>
      <c r="Q44" s="23" t="s">
        <v>40</v>
      </c>
      <c r="R44" s="23" t="s">
        <v>295</v>
      </c>
      <c r="S44" s="23" t="s">
        <v>1710</v>
      </c>
      <c r="T44" s="23" t="s">
        <v>40</v>
      </c>
    </row>
    <row r="45" spans="1:20" x14ac:dyDescent="0.25">
      <c r="A45" s="23" t="s">
        <v>11301</v>
      </c>
      <c r="B45" s="23" t="s">
        <v>294</v>
      </c>
      <c r="C45" s="23" t="s">
        <v>11302</v>
      </c>
      <c r="D45" s="23" t="s">
        <v>11303</v>
      </c>
      <c r="E45" s="23" t="s">
        <v>11304</v>
      </c>
      <c r="F45" s="23" t="s">
        <v>40</v>
      </c>
      <c r="G45" s="23" t="s">
        <v>11305</v>
      </c>
      <c r="H45" s="23" t="s">
        <v>11306</v>
      </c>
      <c r="I45" s="23" t="s">
        <v>11307</v>
      </c>
      <c r="J45" s="23" t="s">
        <v>14</v>
      </c>
      <c r="K45" s="26" t="s">
        <v>396</v>
      </c>
      <c r="L45" s="23" t="s">
        <v>13</v>
      </c>
      <c r="M45" s="25" t="s">
        <v>18</v>
      </c>
      <c r="N45" s="23" t="s">
        <v>40</v>
      </c>
      <c r="O45" s="23" t="s">
        <v>387</v>
      </c>
      <c r="P45" s="23" t="s">
        <v>40</v>
      </c>
      <c r="Q45" s="23" t="s">
        <v>40</v>
      </c>
      <c r="R45" s="23" t="s">
        <v>295</v>
      </c>
      <c r="S45" s="23" t="s">
        <v>1710</v>
      </c>
      <c r="T45" s="23" t="s">
        <v>40</v>
      </c>
    </row>
    <row r="46" spans="1:20" x14ac:dyDescent="0.25">
      <c r="A46" s="23" t="s">
        <v>11308</v>
      </c>
      <c r="B46" s="23" t="s">
        <v>294</v>
      </c>
      <c r="C46" s="23" t="s">
        <v>11302</v>
      </c>
      <c r="D46" s="23" t="s">
        <v>11309</v>
      </c>
      <c r="E46" s="23" t="s">
        <v>11310</v>
      </c>
      <c r="F46" s="23" t="s">
        <v>40</v>
      </c>
      <c r="G46" s="23" t="s">
        <v>11311</v>
      </c>
      <c r="H46" s="23" t="s">
        <v>11312</v>
      </c>
      <c r="I46" s="23" t="s">
        <v>11313</v>
      </c>
      <c r="J46" s="23" t="s">
        <v>385</v>
      </c>
      <c r="K46" s="27" t="s">
        <v>404</v>
      </c>
      <c r="L46" s="23" t="s">
        <v>405</v>
      </c>
      <c r="M46" s="25" t="s">
        <v>18</v>
      </c>
      <c r="N46" s="23" t="s">
        <v>40</v>
      </c>
      <c r="O46" s="23" t="s">
        <v>387</v>
      </c>
      <c r="P46" s="23" t="s">
        <v>40</v>
      </c>
      <c r="Q46" s="23" t="s">
        <v>40</v>
      </c>
      <c r="R46" s="23" t="s">
        <v>295</v>
      </c>
      <c r="S46" s="23" t="s">
        <v>1710</v>
      </c>
      <c r="T46" s="23" t="s">
        <v>40</v>
      </c>
    </row>
    <row r="47" spans="1:20" x14ac:dyDescent="0.25">
      <c r="A47" s="23" t="s">
        <v>11314</v>
      </c>
      <c r="B47" s="23" t="s">
        <v>294</v>
      </c>
      <c r="C47" s="23" t="s">
        <v>11302</v>
      </c>
      <c r="D47" s="23" t="s">
        <v>11315</v>
      </c>
      <c r="E47" s="23" t="s">
        <v>11316</v>
      </c>
      <c r="F47" s="23" t="s">
        <v>40</v>
      </c>
      <c r="G47" s="23" t="s">
        <v>11317</v>
      </c>
      <c r="H47" s="23" t="s">
        <v>11318</v>
      </c>
      <c r="I47" s="23" t="s">
        <v>11319</v>
      </c>
      <c r="J47" s="23" t="s">
        <v>15</v>
      </c>
      <c r="K47" s="27" t="s">
        <v>404</v>
      </c>
      <c r="L47" s="23" t="s">
        <v>405</v>
      </c>
      <c r="M47" s="25" t="s">
        <v>18</v>
      </c>
      <c r="N47" s="23" t="s">
        <v>40</v>
      </c>
      <c r="O47" s="23" t="s">
        <v>387</v>
      </c>
      <c r="P47" s="23" t="s">
        <v>40</v>
      </c>
      <c r="Q47" s="23" t="s">
        <v>40</v>
      </c>
      <c r="R47" s="23" t="s">
        <v>295</v>
      </c>
      <c r="S47" s="23" t="s">
        <v>11320</v>
      </c>
      <c r="T47" s="23" t="s">
        <v>40</v>
      </c>
    </row>
    <row r="48" spans="1:20" x14ac:dyDescent="0.25">
      <c r="A48" s="23" t="s">
        <v>11321</v>
      </c>
      <c r="B48" s="23" t="s">
        <v>294</v>
      </c>
      <c r="C48" s="23" t="s">
        <v>11322</v>
      </c>
      <c r="D48" s="23" t="s">
        <v>11323</v>
      </c>
      <c r="E48" s="23" t="s">
        <v>11310</v>
      </c>
      <c r="F48" s="23" t="s">
        <v>40</v>
      </c>
      <c r="G48" s="23" t="s">
        <v>11324</v>
      </c>
      <c r="H48" s="23" t="s">
        <v>11325</v>
      </c>
      <c r="I48" s="23" t="s">
        <v>11326</v>
      </c>
      <c r="J48" s="23" t="s">
        <v>14</v>
      </c>
      <c r="K48" s="24" t="s">
        <v>386</v>
      </c>
      <c r="L48" s="23" t="s">
        <v>405</v>
      </c>
      <c r="M48" s="25" t="s">
        <v>18</v>
      </c>
      <c r="N48" s="23" t="s">
        <v>40</v>
      </c>
      <c r="O48" s="23" t="s">
        <v>387</v>
      </c>
      <c r="P48" s="23" t="s">
        <v>40</v>
      </c>
      <c r="Q48" s="23" t="s">
        <v>40</v>
      </c>
      <c r="R48" s="23" t="s">
        <v>295</v>
      </c>
      <c r="S48" s="23" t="s">
        <v>1710</v>
      </c>
      <c r="T48" s="23" t="s">
        <v>40</v>
      </c>
    </row>
    <row r="49" spans="1:20" x14ac:dyDescent="0.25">
      <c r="A49" s="23" t="s">
        <v>11327</v>
      </c>
      <c r="B49" s="23" t="s">
        <v>294</v>
      </c>
      <c r="C49" s="23" t="s">
        <v>11322</v>
      </c>
      <c r="D49" s="23" t="s">
        <v>11328</v>
      </c>
      <c r="E49" s="23" t="s">
        <v>11310</v>
      </c>
      <c r="F49" s="23" t="s">
        <v>40</v>
      </c>
      <c r="G49" s="23" t="s">
        <v>11329</v>
      </c>
      <c r="H49" s="23" t="s">
        <v>11330</v>
      </c>
      <c r="I49" s="23" t="s">
        <v>11331</v>
      </c>
      <c r="J49" s="23" t="s">
        <v>15</v>
      </c>
      <c r="K49" s="27" t="s">
        <v>404</v>
      </c>
      <c r="L49" s="23" t="s">
        <v>405</v>
      </c>
      <c r="M49" s="25" t="s">
        <v>18</v>
      </c>
      <c r="N49" s="23" t="s">
        <v>40</v>
      </c>
      <c r="O49" s="23" t="s">
        <v>387</v>
      </c>
      <c r="P49" s="23" t="s">
        <v>40</v>
      </c>
      <c r="Q49" s="23" t="s">
        <v>40</v>
      </c>
      <c r="R49" s="23" t="s">
        <v>295</v>
      </c>
      <c r="S49" s="23" t="s">
        <v>1710</v>
      </c>
      <c r="T49" s="23" t="s">
        <v>11332</v>
      </c>
    </row>
    <row r="50" spans="1:20" x14ac:dyDescent="0.25">
      <c r="A50" s="23" t="s">
        <v>11333</v>
      </c>
      <c r="B50" s="23" t="s">
        <v>294</v>
      </c>
      <c r="C50" s="23" t="s">
        <v>11322</v>
      </c>
      <c r="D50" s="23" t="s">
        <v>11334</v>
      </c>
      <c r="E50" s="23" t="s">
        <v>11335</v>
      </c>
      <c r="F50" s="23" t="s">
        <v>40</v>
      </c>
      <c r="G50" s="23" t="s">
        <v>11336</v>
      </c>
      <c r="H50" s="23" t="s">
        <v>11337</v>
      </c>
      <c r="I50" s="23" t="s">
        <v>6120</v>
      </c>
      <c r="J50" s="23" t="s">
        <v>15</v>
      </c>
      <c r="K50" s="27" t="s">
        <v>404</v>
      </c>
      <c r="L50" s="23" t="s">
        <v>405</v>
      </c>
      <c r="M50" s="25" t="s">
        <v>18</v>
      </c>
      <c r="N50" s="23" t="s">
        <v>40</v>
      </c>
      <c r="O50" s="23" t="s">
        <v>387</v>
      </c>
      <c r="P50" s="23" t="s">
        <v>40</v>
      </c>
      <c r="Q50" s="23" t="s">
        <v>40</v>
      </c>
      <c r="R50" s="23" t="s">
        <v>295</v>
      </c>
      <c r="S50" s="23" t="s">
        <v>1710</v>
      </c>
      <c r="T50" s="23" t="s">
        <v>11338</v>
      </c>
    </row>
    <row r="51" spans="1:20" x14ac:dyDescent="0.25">
      <c r="A51" s="23" t="s">
        <v>11339</v>
      </c>
      <c r="B51" s="23" t="s">
        <v>294</v>
      </c>
      <c r="C51" s="23" t="s">
        <v>9147</v>
      </c>
      <c r="D51" s="23" t="s">
        <v>11340</v>
      </c>
      <c r="E51" s="23" t="s">
        <v>11341</v>
      </c>
      <c r="F51" s="23" t="s">
        <v>40</v>
      </c>
      <c r="G51" s="23" t="s">
        <v>11342</v>
      </c>
      <c r="H51" s="23" t="s">
        <v>11343</v>
      </c>
      <c r="I51" s="23" t="s">
        <v>11344</v>
      </c>
      <c r="J51" s="23" t="s">
        <v>14</v>
      </c>
      <c r="K51" s="24" t="s">
        <v>386</v>
      </c>
      <c r="L51" s="23" t="s">
        <v>405</v>
      </c>
      <c r="M51" s="25" t="s">
        <v>18</v>
      </c>
      <c r="N51" s="23" t="s">
        <v>40</v>
      </c>
      <c r="O51" s="23" t="s">
        <v>387</v>
      </c>
      <c r="P51" s="23" t="s">
        <v>40</v>
      </c>
      <c r="Q51" s="23" t="s">
        <v>40</v>
      </c>
      <c r="R51" s="23" t="s">
        <v>295</v>
      </c>
      <c r="S51" s="23" t="s">
        <v>1710</v>
      </c>
      <c r="T51" s="23" t="s">
        <v>5021</v>
      </c>
    </row>
    <row r="52" spans="1:20" x14ac:dyDescent="0.25">
      <c r="A52" s="23" t="s">
        <v>11345</v>
      </c>
      <c r="B52" s="23" t="s">
        <v>294</v>
      </c>
      <c r="C52" s="23" t="s">
        <v>11346</v>
      </c>
      <c r="D52" s="23" t="s">
        <v>11347</v>
      </c>
      <c r="E52" s="23" t="s">
        <v>11348</v>
      </c>
      <c r="F52" s="23" t="s">
        <v>40</v>
      </c>
      <c r="G52" s="23" t="s">
        <v>11349</v>
      </c>
      <c r="H52" s="23" t="s">
        <v>11350</v>
      </c>
      <c r="I52" s="23" t="s">
        <v>11351</v>
      </c>
      <c r="J52" s="23" t="s">
        <v>14</v>
      </c>
      <c r="K52" s="24" t="s">
        <v>386</v>
      </c>
      <c r="L52" s="23" t="s">
        <v>405</v>
      </c>
      <c r="M52" s="25" t="s">
        <v>18</v>
      </c>
      <c r="N52" s="23" t="s">
        <v>40</v>
      </c>
      <c r="O52" s="23" t="s">
        <v>387</v>
      </c>
      <c r="P52" s="23" t="s">
        <v>40</v>
      </c>
      <c r="Q52" s="23" t="s">
        <v>40</v>
      </c>
      <c r="R52" s="23" t="s">
        <v>295</v>
      </c>
      <c r="S52" s="23" t="s">
        <v>1710</v>
      </c>
      <c r="T52" s="23" t="s">
        <v>11352</v>
      </c>
    </row>
    <row r="53" spans="1:20" x14ac:dyDescent="0.25">
      <c r="A53" s="23" t="s">
        <v>11353</v>
      </c>
      <c r="B53" s="23" t="s">
        <v>294</v>
      </c>
      <c r="C53" s="23" t="s">
        <v>11354</v>
      </c>
      <c r="D53" s="23" t="s">
        <v>11355</v>
      </c>
      <c r="E53" s="23" t="s">
        <v>11356</v>
      </c>
      <c r="F53" s="23" t="s">
        <v>40</v>
      </c>
      <c r="G53" s="23" t="s">
        <v>11357</v>
      </c>
      <c r="H53" s="23" t="s">
        <v>11358</v>
      </c>
      <c r="I53" s="23" t="s">
        <v>11359</v>
      </c>
      <c r="J53" s="23" t="s">
        <v>466</v>
      </c>
      <c r="K53" s="27" t="s">
        <v>404</v>
      </c>
      <c r="L53" s="23" t="s">
        <v>405</v>
      </c>
      <c r="M53" s="25" t="s">
        <v>18</v>
      </c>
      <c r="N53" s="23" t="s">
        <v>40</v>
      </c>
      <c r="O53" s="23" t="s">
        <v>387</v>
      </c>
      <c r="P53" s="23" t="s">
        <v>40</v>
      </c>
      <c r="Q53" s="23" t="s">
        <v>40</v>
      </c>
      <c r="R53" s="23" t="s">
        <v>295</v>
      </c>
      <c r="S53" s="23" t="s">
        <v>1710</v>
      </c>
      <c r="T53" s="23" t="s">
        <v>11360</v>
      </c>
    </row>
    <row r="54" spans="1:20" x14ac:dyDescent="0.25">
      <c r="A54" s="23" t="s">
        <v>11361</v>
      </c>
      <c r="B54" s="23" t="s">
        <v>294</v>
      </c>
      <c r="C54" s="23" t="s">
        <v>346</v>
      </c>
      <c r="D54" s="23" t="s">
        <v>11362</v>
      </c>
      <c r="E54" s="23" t="s">
        <v>11363</v>
      </c>
      <c r="F54" s="23" t="s">
        <v>40</v>
      </c>
      <c r="G54" s="23" t="s">
        <v>11364</v>
      </c>
      <c r="H54" s="23" t="s">
        <v>11365</v>
      </c>
      <c r="I54" s="23" t="s">
        <v>11366</v>
      </c>
      <c r="J54" s="23" t="s">
        <v>14</v>
      </c>
      <c r="K54" s="26" t="s">
        <v>396</v>
      </c>
      <c r="L54" s="23" t="s">
        <v>13</v>
      </c>
      <c r="M54" s="25" t="s">
        <v>18</v>
      </c>
      <c r="N54" s="23" t="s">
        <v>40</v>
      </c>
      <c r="O54" s="23" t="s">
        <v>387</v>
      </c>
      <c r="P54" s="23" t="s">
        <v>40</v>
      </c>
      <c r="Q54" s="23" t="s">
        <v>40</v>
      </c>
      <c r="R54" s="23" t="s">
        <v>295</v>
      </c>
      <c r="S54" s="23" t="s">
        <v>11367</v>
      </c>
      <c r="T54" s="23" t="s">
        <v>40</v>
      </c>
    </row>
    <row r="55" spans="1:20" x14ac:dyDescent="0.25">
      <c r="A55" s="23" t="s">
        <v>11368</v>
      </c>
      <c r="B55" s="23" t="s">
        <v>294</v>
      </c>
      <c r="C55" s="23" t="s">
        <v>346</v>
      </c>
      <c r="D55" s="23" t="s">
        <v>11369</v>
      </c>
      <c r="E55" s="23" t="s">
        <v>11370</v>
      </c>
      <c r="F55" s="23" t="s">
        <v>40</v>
      </c>
      <c r="G55" s="23" t="s">
        <v>11371</v>
      </c>
      <c r="H55" s="23" t="s">
        <v>11372</v>
      </c>
      <c r="I55" s="23" t="s">
        <v>6290</v>
      </c>
      <c r="J55" s="23" t="s">
        <v>15</v>
      </c>
      <c r="K55" s="27" t="s">
        <v>404</v>
      </c>
      <c r="L55" s="23" t="s">
        <v>405</v>
      </c>
      <c r="M55" s="25" t="s">
        <v>18</v>
      </c>
      <c r="N55" s="23" t="s">
        <v>40</v>
      </c>
      <c r="O55" s="23" t="s">
        <v>387</v>
      </c>
      <c r="P55" s="23" t="s">
        <v>40</v>
      </c>
      <c r="Q55" s="23" t="s">
        <v>40</v>
      </c>
      <c r="R55" s="23" t="s">
        <v>295</v>
      </c>
      <c r="S55" s="23" t="s">
        <v>11373</v>
      </c>
      <c r="T55" s="23" t="s">
        <v>40</v>
      </c>
    </row>
    <row r="56" spans="1:20" x14ac:dyDescent="0.25">
      <c r="A56" s="23" t="s">
        <v>11374</v>
      </c>
      <c r="B56" s="23" t="s">
        <v>294</v>
      </c>
      <c r="C56" s="23" t="s">
        <v>346</v>
      </c>
      <c r="D56" s="23" t="s">
        <v>11375</v>
      </c>
      <c r="E56" s="23" t="s">
        <v>11376</v>
      </c>
      <c r="F56" s="23" t="s">
        <v>40</v>
      </c>
      <c r="G56" s="23" t="s">
        <v>11377</v>
      </c>
      <c r="H56" s="23" t="s">
        <v>11378</v>
      </c>
      <c r="I56" s="23" t="s">
        <v>11379</v>
      </c>
      <c r="J56" s="23" t="s">
        <v>15</v>
      </c>
      <c r="K56" s="27" t="s">
        <v>404</v>
      </c>
      <c r="L56" s="23" t="s">
        <v>490</v>
      </c>
      <c r="M56" s="25" t="s">
        <v>18</v>
      </c>
      <c r="N56" s="23" t="s">
        <v>40</v>
      </c>
      <c r="O56" s="23" t="s">
        <v>387</v>
      </c>
      <c r="P56" s="23" t="s">
        <v>40</v>
      </c>
      <c r="Q56" s="23" t="s">
        <v>40</v>
      </c>
      <c r="R56" s="23" t="s">
        <v>295</v>
      </c>
      <c r="S56" s="23" t="s">
        <v>11380</v>
      </c>
      <c r="T56" s="23" t="s">
        <v>40</v>
      </c>
    </row>
    <row r="57" spans="1:20" x14ac:dyDescent="0.25">
      <c r="A57" s="23" t="s">
        <v>11381</v>
      </c>
      <c r="B57" s="23" t="s">
        <v>294</v>
      </c>
      <c r="C57" s="23" t="s">
        <v>346</v>
      </c>
      <c r="D57" s="23" t="s">
        <v>11382</v>
      </c>
      <c r="E57" s="23" t="s">
        <v>11383</v>
      </c>
      <c r="F57" s="23" t="s">
        <v>40</v>
      </c>
      <c r="G57" s="23" t="s">
        <v>11384</v>
      </c>
      <c r="H57" s="23" t="s">
        <v>11385</v>
      </c>
      <c r="I57" s="23" t="s">
        <v>11386</v>
      </c>
      <c r="J57" s="23" t="s">
        <v>385</v>
      </c>
      <c r="K57" s="32" t="s">
        <v>747</v>
      </c>
      <c r="L57" s="23" t="s">
        <v>490</v>
      </c>
      <c r="M57" s="25" t="s">
        <v>18</v>
      </c>
      <c r="N57" s="23" t="s">
        <v>40</v>
      </c>
      <c r="O57" s="23" t="s">
        <v>387</v>
      </c>
      <c r="P57" s="23" t="s">
        <v>40</v>
      </c>
      <c r="Q57" s="23" t="s">
        <v>40</v>
      </c>
      <c r="R57" s="23" t="s">
        <v>295</v>
      </c>
      <c r="S57" s="23" t="s">
        <v>1710</v>
      </c>
      <c r="T57" s="23" t="s">
        <v>40</v>
      </c>
    </row>
    <row r="58" spans="1:20" x14ac:dyDescent="0.25">
      <c r="A58" s="23" t="s">
        <v>11387</v>
      </c>
      <c r="B58" s="23" t="s">
        <v>294</v>
      </c>
      <c r="C58" s="23" t="s">
        <v>11388</v>
      </c>
      <c r="D58" s="23" t="s">
        <v>11389</v>
      </c>
      <c r="E58" s="23" t="s">
        <v>11390</v>
      </c>
      <c r="F58" s="23" t="s">
        <v>40</v>
      </c>
      <c r="G58" s="23" t="s">
        <v>11391</v>
      </c>
      <c r="H58" s="23" t="s">
        <v>11392</v>
      </c>
      <c r="I58" s="23" t="s">
        <v>11393</v>
      </c>
      <c r="J58" s="23" t="s">
        <v>15</v>
      </c>
      <c r="K58" s="24" t="s">
        <v>386</v>
      </c>
      <c r="L58" s="23" t="s">
        <v>13</v>
      </c>
      <c r="M58" s="25" t="s">
        <v>18</v>
      </c>
      <c r="N58" s="23" t="s">
        <v>40</v>
      </c>
      <c r="O58" s="23" t="s">
        <v>387</v>
      </c>
      <c r="P58" s="23" t="s">
        <v>40</v>
      </c>
      <c r="Q58" s="23" t="s">
        <v>40</v>
      </c>
      <c r="R58" s="23" t="s">
        <v>295</v>
      </c>
      <c r="S58" s="23" t="s">
        <v>1710</v>
      </c>
      <c r="T58" s="23" t="s">
        <v>11394</v>
      </c>
    </row>
    <row r="59" spans="1:20" x14ac:dyDescent="0.25">
      <c r="A59" s="23" t="s">
        <v>11395</v>
      </c>
      <c r="B59" s="23" t="s">
        <v>294</v>
      </c>
      <c r="C59" s="23" t="s">
        <v>11388</v>
      </c>
      <c r="D59" s="23" t="s">
        <v>11396</v>
      </c>
      <c r="E59" s="23" t="s">
        <v>11397</v>
      </c>
      <c r="F59" s="23" t="s">
        <v>40</v>
      </c>
      <c r="G59" s="23" t="s">
        <v>11398</v>
      </c>
      <c r="H59" s="23" t="s">
        <v>11399</v>
      </c>
      <c r="I59" s="23" t="s">
        <v>11400</v>
      </c>
      <c r="J59" s="23" t="s">
        <v>14</v>
      </c>
      <c r="K59" s="26" t="s">
        <v>396</v>
      </c>
      <c r="L59" s="23" t="s">
        <v>13</v>
      </c>
      <c r="M59" s="33" t="s">
        <v>20</v>
      </c>
      <c r="N59" s="23" t="s">
        <v>40</v>
      </c>
      <c r="O59" s="23" t="s">
        <v>387</v>
      </c>
      <c r="P59" s="23" t="s">
        <v>40</v>
      </c>
      <c r="Q59" s="23" t="s">
        <v>40</v>
      </c>
      <c r="R59" s="23" t="s">
        <v>295</v>
      </c>
      <c r="S59" s="23" t="s">
        <v>11401</v>
      </c>
      <c r="T59" s="23" t="s">
        <v>6339</v>
      </c>
    </row>
    <row r="60" spans="1:20" x14ac:dyDescent="0.25">
      <c r="A60" s="23" t="s">
        <v>11402</v>
      </c>
      <c r="B60" s="23" t="s">
        <v>294</v>
      </c>
      <c r="C60" s="23" t="s">
        <v>11388</v>
      </c>
      <c r="D60" s="23" t="s">
        <v>11403</v>
      </c>
      <c r="E60" s="23" t="s">
        <v>11404</v>
      </c>
      <c r="F60" s="23" t="s">
        <v>40</v>
      </c>
      <c r="G60" s="23" t="s">
        <v>11405</v>
      </c>
      <c r="H60" s="23" t="s">
        <v>11406</v>
      </c>
      <c r="I60" s="23" t="s">
        <v>11407</v>
      </c>
      <c r="J60" s="23" t="s">
        <v>15</v>
      </c>
      <c r="K60" s="27" t="s">
        <v>404</v>
      </c>
      <c r="L60" s="23" t="s">
        <v>405</v>
      </c>
      <c r="M60" s="33" t="s">
        <v>20</v>
      </c>
      <c r="N60" s="23" t="s">
        <v>40</v>
      </c>
      <c r="O60" s="23" t="s">
        <v>387</v>
      </c>
      <c r="P60" s="23" t="s">
        <v>40</v>
      </c>
      <c r="Q60" s="23" t="s">
        <v>40</v>
      </c>
      <c r="R60" s="23" t="s">
        <v>295</v>
      </c>
      <c r="S60" s="23" t="s">
        <v>11401</v>
      </c>
      <c r="T60" s="23" t="s">
        <v>6339</v>
      </c>
    </row>
    <row r="61" spans="1:20" x14ac:dyDescent="0.25">
      <c r="A61" s="23" t="s">
        <v>11408</v>
      </c>
      <c r="B61" s="23" t="s">
        <v>294</v>
      </c>
      <c r="C61" s="23" t="s">
        <v>5913</v>
      </c>
      <c r="D61" s="23" t="s">
        <v>11409</v>
      </c>
      <c r="E61" s="23" t="s">
        <v>11410</v>
      </c>
      <c r="F61" s="23" t="s">
        <v>40</v>
      </c>
      <c r="G61" s="23" t="s">
        <v>11411</v>
      </c>
      <c r="H61" s="23" t="s">
        <v>11412</v>
      </c>
      <c r="I61" s="23" t="s">
        <v>11413</v>
      </c>
      <c r="J61" s="23" t="s">
        <v>15</v>
      </c>
      <c r="K61" s="27" t="s">
        <v>404</v>
      </c>
      <c r="L61" s="23" t="s">
        <v>405</v>
      </c>
      <c r="M61" s="25" t="s">
        <v>18</v>
      </c>
      <c r="N61" s="23" t="s">
        <v>40</v>
      </c>
      <c r="O61" s="23" t="s">
        <v>387</v>
      </c>
      <c r="P61" s="23" t="s">
        <v>40</v>
      </c>
      <c r="Q61" s="23" t="s">
        <v>40</v>
      </c>
      <c r="R61" s="23" t="s">
        <v>295</v>
      </c>
      <c r="S61" s="23" t="s">
        <v>11414</v>
      </c>
      <c r="T61" s="23" t="s">
        <v>40</v>
      </c>
    </row>
    <row r="62" spans="1:20" x14ac:dyDescent="0.25">
      <c r="A62" s="23" t="s">
        <v>11415</v>
      </c>
      <c r="B62" s="23" t="s">
        <v>294</v>
      </c>
      <c r="C62" s="23" t="s">
        <v>11416</v>
      </c>
      <c r="D62" s="23" t="s">
        <v>11417</v>
      </c>
      <c r="E62" s="23" t="s">
        <v>11418</v>
      </c>
      <c r="F62" s="23" t="s">
        <v>40</v>
      </c>
      <c r="G62" s="23" t="s">
        <v>11419</v>
      </c>
      <c r="H62" s="23" t="s">
        <v>11420</v>
      </c>
      <c r="I62" s="23" t="s">
        <v>11421</v>
      </c>
      <c r="J62" s="23" t="s">
        <v>385</v>
      </c>
      <c r="K62" s="32" t="s">
        <v>747</v>
      </c>
      <c r="L62" s="23" t="s">
        <v>490</v>
      </c>
      <c r="M62" s="25" t="s">
        <v>18</v>
      </c>
      <c r="N62" s="23" t="s">
        <v>40</v>
      </c>
      <c r="O62" s="23" t="s">
        <v>387</v>
      </c>
      <c r="P62" s="23" t="s">
        <v>40</v>
      </c>
      <c r="Q62" s="23" t="s">
        <v>40</v>
      </c>
      <c r="R62" s="23" t="s">
        <v>295</v>
      </c>
      <c r="S62" s="23" t="s">
        <v>11422</v>
      </c>
      <c r="T62" s="23" t="s">
        <v>40</v>
      </c>
    </row>
    <row r="63" spans="1:20" x14ac:dyDescent="0.25">
      <c r="A63" s="23" t="s">
        <v>11423</v>
      </c>
      <c r="B63" s="23" t="s">
        <v>294</v>
      </c>
      <c r="C63" s="23" t="s">
        <v>6700</v>
      </c>
      <c r="D63" s="23" t="s">
        <v>11424</v>
      </c>
      <c r="E63" s="23" t="s">
        <v>9402</v>
      </c>
      <c r="F63" s="23" t="s">
        <v>40</v>
      </c>
      <c r="G63" s="23" t="s">
        <v>11425</v>
      </c>
      <c r="H63" s="23" t="s">
        <v>11426</v>
      </c>
      <c r="I63" s="23" t="s">
        <v>11111</v>
      </c>
      <c r="J63" s="23" t="s">
        <v>525</v>
      </c>
      <c r="K63" s="24" t="s">
        <v>386</v>
      </c>
      <c r="L63" s="23" t="s">
        <v>13</v>
      </c>
      <c r="M63" s="25" t="s">
        <v>18</v>
      </c>
      <c r="N63" s="23" t="s">
        <v>40</v>
      </c>
      <c r="O63" s="23" t="s">
        <v>387</v>
      </c>
      <c r="P63" s="23" t="s">
        <v>40</v>
      </c>
      <c r="Q63" s="23" t="s">
        <v>40</v>
      </c>
      <c r="R63" s="23" t="s">
        <v>295</v>
      </c>
      <c r="S63" s="23" t="s">
        <v>1710</v>
      </c>
      <c r="T63" s="23" t="s">
        <v>40</v>
      </c>
    </row>
    <row r="64" spans="1:20" x14ac:dyDescent="0.25">
      <c r="A64" s="23" t="s">
        <v>11427</v>
      </c>
      <c r="B64" s="23" t="s">
        <v>296</v>
      </c>
      <c r="C64" s="23" t="s">
        <v>944</v>
      </c>
      <c r="D64" s="23" t="s">
        <v>11428</v>
      </c>
      <c r="E64" s="23" t="s">
        <v>3835</v>
      </c>
      <c r="F64" s="23" t="s">
        <v>11429</v>
      </c>
      <c r="G64" s="23" t="s">
        <v>11430</v>
      </c>
      <c r="H64" s="23" t="s">
        <v>11431</v>
      </c>
      <c r="I64" s="23" t="s">
        <v>11432</v>
      </c>
      <c r="J64" s="23" t="s">
        <v>385</v>
      </c>
      <c r="K64" s="24" t="s">
        <v>386</v>
      </c>
      <c r="L64" s="23" t="s">
        <v>13</v>
      </c>
      <c r="M64" s="31" t="s">
        <v>17</v>
      </c>
      <c r="N64" s="23" t="s">
        <v>11433</v>
      </c>
      <c r="O64" s="29" t="s">
        <v>87</v>
      </c>
      <c r="P64" s="23" t="s">
        <v>40</v>
      </c>
      <c r="Q64" s="23" t="s">
        <v>40</v>
      </c>
      <c r="R64" s="23" t="s">
        <v>297</v>
      </c>
      <c r="S64" s="23" t="s">
        <v>40</v>
      </c>
      <c r="T64" s="23" t="s">
        <v>40</v>
      </c>
    </row>
    <row r="65" spans="1:20" x14ac:dyDescent="0.25">
      <c r="A65" s="23" t="s">
        <v>11434</v>
      </c>
      <c r="B65" s="23" t="s">
        <v>296</v>
      </c>
      <c r="C65" s="23" t="s">
        <v>951</v>
      </c>
      <c r="D65" s="23" t="s">
        <v>11435</v>
      </c>
      <c r="E65" s="23" t="s">
        <v>3835</v>
      </c>
      <c r="F65" s="23" t="s">
        <v>40</v>
      </c>
      <c r="G65" s="23" t="s">
        <v>11436</v>
      </c>
      <c r="H65" s="23" t="s">
        <v>11437</v>
      </c>
      <c r="I65" s="23" t="s">
        <v>11438</v>
      </c>
      <c r="J65" s="23" t="s">
        <v>14</v>
      </c>
      <c r="K65" s="27" t="s">
        <v>404</v>
      </c>
      <c r="L65" s="23" t="s">
        <v>490</v>
      </c>
      <c r="M65" s="25" t="s">
        <v>18</v>
      </c>
      <c r="N65" s="23" t="s">
        <v>40</v>
      </c>
      <c r="O65" s="23" t="s">
        <v>387</v>
      </c>
      <c r="P65" s="23" t="s">
        <v>40</v>
      </c>
      <c r="Q65" s="23" t="s">
        <v>40</v>
      </c>
      <c r="R65" s="23" t="s">
        <v>297</v>
      </c>
      <c r="S65" s="23" t="s">
        <v>1710</v>
      </c>
      <c r="T65" s="23" t="s">
        <v>40</v>
      </c>
    </row>
    <row r="66" spans="1:20" x14ac:dyDescent="0.25">
      <c r="A66" s="23" t="s">
        <v>11439</v>
      </c>
      <c r="B66" s="23" t="s">
        <v>296</v>
      </c>
      <c r="C66" s="23" t="s">
        <v>951</v>
      </c>
      <c r="D66" s="23" t="s">
        <v>11440</v>
      </c>
      <c r="E66" s="23" t="s">
        <v>11441</v>
      </c>
      <c r="F66" s="23" t="s">
        <v>40</v>
      </c>
      <c r="G66" s="23" t="s">
        <v>11442</v>
      </c>
      <c r="H66" s="23" t="s">
        <v>11443</v>
      </c>
      <c r="I66" s="23" t="s">
        <v>11444</v>
      </c>
      <c r="J66" s="23" t="s">
        <v>15</v>
      </c>
      <c r="K66" s="27" t="s">
        <v>404</v>
      </c>
      <c r="L66" s="23" t="s">
        <v>490</v>
      </c>
      <c r="M66" s="25" t="s">
        <v>18</v>
      </c>
      <c r="N66" s="23" t="s">
        <v>40</v>
      </c>
      <c r="O66" s="23" t="s">
        <v>387</v>
      </c>
      <c r="P66" s="23" t="s">
        <v>40</v>
      </c>
      <c r="Q66" s="23" t="s">
        <v>40</v>
      </c>
      <c r="R66" s="23" t="s">
        <v>297</v>
      </c>
      <c r="S66" s="23" t="s">
        <v>11445</v>
      </c>
      <c r="T66" s="23" t="s">
        <v>40</v>
      </c>
    </row>
    <row r="67" spans="1:20" x14ac:dyDescent="0.25">
      <c r="A67" s="23" t="s">
        <v>11446</v>
      </c>
      <c r="B67" s="23" t="s">
        <v>296</v>
      </c>
      <c r="C67" s="23" t="s">
        <v>11447</v>
      </c>
      <c r="D67" s="23" t="s">
        <v>11448</v>
      </c>
      <c r="E67" s="23" t="s">
        <v>11310</v>
      </c>
      <c r="F67" s="23" t="s">
        <v>40</v>
      </c>
      <c r="G67" s="23" t="s">
        <v>11449</v>
      </c>
      <c r="H67" s="23" t="s">
        <v>11450</v>
      </c>
      <c r="I67" s="23" t="s">
        <v>11451</v>
      </c>
      <c r="J67" s="23" t="s">
        <v>385</v>
      </c>
      <c r="K67" s="27" t="s">
        <v>404</v>
      </c>
      <c r="L67" s="23" t="s">
        <v>405</v>
      </c>
      <c r="M67" s="25" t="s">
        <v>18</v>
      </c>
      <c r="N67" s="23" t="s">
        <v>40</v>
      </c>
      <c r="O67" s="23" t="s">
        <v>387</v>
      </c>
      <c r="P67" s="23" t="s">
        <v>40</v>
      </c>
      <c r="Q67" s="23" t="s">
        <v>40</v>
      </c>
      <c r="R67" s="23" t="s">
        <v>297</v>
      </c>
      <c r="S67" s="23" t="s">
        <v>1710</v>
      </c>
      <c r="T67" s="23" t="s">
        <v>40</v>
      </c>
    </row>
    <row r="68" spans="1:20" x14ac:dyDescent="0.25">
      <c r="A68" s="23" t="s">
        <v>11452</v>
      </c>
      <c r="B68" s="23" t="s">
        <v>296</v>
      </c>
      <c r="C68" s="23" t="s">
        <v>11453</v>
      </c>
      <c r="D68" s="23" t="s">
        <v>11454</v>
      </c>
      <c r="E68" s="23" t="s">
        <v>11455</v>
      </c>
      <c r="F68" s="23" t="s">
        <v>40</v>
      </c>
      <c r="G68" s="23" t="s">
        <v>11456</v>
      </c>
      <c r="H68" s="23" t="s">
        <v>11457</v>
      </c>
      <c r="I68" s="23" t="s">
        <v>11458</v>
      </c>
      <c r="J68" s="23" t="s">
        <v>15</v>
      </c>
      <c r="K68" s="24" t="s">
        <v>386</v>
      </c>
      <c r="L68" s="23" t="s">
        <v>13</v>
      </c>
      <c r="M68" s="25" t="s">
        <v>18</v>
      </c>
      <c r="N68" s="23" t="s">
        <v>40</v>
      </c>
      <c r="O68" s="23" t="s">
        <v>387</v>
      </c>
      <c r="P68" s="23" t="s">
        <v>40</v>
      </c>
      <c r="Q68" s="23" t="s">
        <v>40</v>
      </c>
      <c r="R68" s="23" t="s">
        <v>297</v>
      </c>
      <c r="S68" s="23" t="s">
        <v>1710</v>
      </c>
      <c r="T68" s="23" t="s">
        <v>40</v>
      </c>
    </row>
    <row r="69" spans="1:20" x14ac:dyDescent="0.25">
      <c r="A69" s="23" t="s">
        <v>11459</v>
      </c>
      <c r="B69" s="23" t="s">
        <v>296</v>
      </c>
      <c r="C69" s="23" t="s">
        <v>11453</v>
      </c>
      <c r="D69" s="23" t="s">
        <v>11460</v>
      </c>
      <c r="E69" s="23" t="s">
        <v>11461</v>
      </c>
      <c r="F69" s="23" t="s">
        <v>40</v>
      </c>
      <c r="G69" s="23" t="s">
        <v>11462</v>
      </c>
      <c r="H69" s="23" t="s">
        <v>11463</v>
      </c>
      <c r="I69" s="23" t="s">
        <v>11464</v>
      </c>
      <c r="J69" s="23" t="s">
        <v>14</v>
      </c>
      <c r="K69" s="26" t="s">
        <v>396</v>
      </c>
      <c r="L69" s="23" t="s">
        <v>13</v>
      </c>
      <c r="M69" s="25" t="s">
        <v>18</v>
      </c>
      <c r="N69" s="23" t="s">
        <v>40</v>
      </c>
      <c r="O69" s="23" t="s">
        <v>387</v>
      </c>
      <c r="P69" s="23" t="s">
        <v>40</v>
      </c>
      <c r="Q69" s="23" t="s">
        <v>40</v>
      </c>
      <c r="R69" s="23" t="s">
        <v>297</v>
      </c>
      <c r="S69" s="23" t="s">
        <v>11465</v>
      </c>
      <c r="T69" s="23" t="s">
        <v>40</v>
      </c>
    </row>
    <row r="70" spans="1:20" x14ac:dyDescent="0.25">
      <c r="A70" s="23" t="s">
        <v>11466</v>
      </c>
      <c r="B70" s="23" t="s">
        <v>296</v>
      </c>
      <c r="C70" s="23" t="s">
        <v>11453</v>
      </c>
      <c r="D70" s="23" t="s">
        <v>11467</v>
      </c>
      <c r="E70" s="23" t="s">
        <v>11468</v>
      </c>
      <c r="F70" s="23" t="s">
        <v>40</v>
      </c>
      <c r="G70" s="23" t="s">
        <v>11469</v>
      </c>
      <c r="H70" s="23" t="s">
        <v>11470</v>
      </c>
      <c r="I70" s="23" t="s">
        <v>11471</v>
      </c>
      <c r="J70" s="23" t="s">
        <v>14</v>
      </c>
      <c r="K70" s="26" t="s">
        <v>396</v>
      </c>
      <c r="L70" s="23" t="s">
        <v>13</v>
      </c>
      <c r="M70" s="25" t="s">
        <v>18</v>
      </c>
      <c r="N70" s="23" t="s">
        <v>40</v>
      </c>
      <c r="O70" s="23" t="s">
        <v>387</v>
      </c>
      <c r="P70" s="23" t="s">
        <v>40</v>
      </c>
      <c r="Q70" s="23" t="s">
        <v>40</v>
      </c>
      <c r="R70" s="23" t="s">
        <v>297</v>
      </c>
      <c r="S70" s="23" t="s">
        <v>1710</v>
      </c>
      <c r="T70" s="23" t="s">
        <v>40</v>
      </c>
    </row>
    <row r="71" spans="1:20" x14ac:dyDescent="0.25">
      <c r="A71" s="23" t="s">
        <v>11472</v>
      </c>
      <c r="B71" s="23" t="s">
        <v>296</v>
      </c>
      <c r="C71" s="23" t="s">
        <v>11453</v>
      </c>
      <c r="D71" s="23" t="s">
        <v>11473</v>
      </c>
      <c r="E71" s="23" t="s">
        <v>11474</v>
      </c>
      <c r="F71" s="23" t="s">
        <v>40</v>
      </c>
      <c r="G71" s="23" t="s">
        <v>11475</v>
      </c>
      <c r="H71" s="23" t="s">
        <v>11476</v>
      </c>
      <c r="I71" s="23" t="s">
        <v>11477</v>
      </c>
      <c r="J71" s="23" t="s">
        <v>489</v>
      </c>
      <c r="K71" s="24" t="s">
        <v>386</v>
      </c>
      <c r="L71" s="23" t="s">
        <v>13</v>
      </c>
      <c r="M71" s="25" t="s">
        <v>18</v>
      </c>
      <c r="N71" s="23" t="s">
        <v>40</v>
      </c>
      <c r="O71" s="23" t="s">
        <v>387</v>
      </c>
      <c r="P71" s="23" t="s">
        <v>40</v>
      </c>
      <c r="Q71" s="23" t="s">
        <v>40</v>
      </c>
      <c r="R71" s="23" t="s">
        <v>297</v>
      </c>
      <c r="S71" s="23" t="s">
        <v>1710</v>
      </c>
      <c r="T71" s="23" t="s">
        <v>40</v>
      </c>
    </row>
    <row r="72" spans="1:20" x14ac:dyDescent="0.25">
      <c r="A72" s="23" t="s">
        <v>11478</v>
      </c>
      <c r="B72" s="23" t="s">
        <v>296</v>
      </c>
      <c r="C72" s="23" t="s">
        <v>11453</v>
      </c>
      <c r="D72" s="23" t="s">
        <v>11479</v>
      </c>
      <c r="E72" s="23" t="s">
        <v>3835</v>
      </c>
      <c r="F72" s="23" t="s">
        <v>40</v>
      </c>
      <c r="G72" s="23" t="s">
        <v>11480</v>
      </c>
      <c r="H72" s="23" t="s">
        <v>11481</v>
      </c>
      <c r="I72" s="23" t="s">
        <v>11482</v>
      </c>
      <c r="J72" s="23" t="s">
        <v>489</v>
      </c>
      <c r="K72" s="27" t="s">
        <v>404</v>
      </c>
      <c r="L72" s="23" t="s">
        <v>405</v>
      </c>
      <c r="M72" s="25" t="s">
        <v>18</v>
      </c>
      <c r="N72" s="23" t="s">
        <v>40</v>
      </c>
      <c r="O72" s="23" t="s">
        <v>387</v>
      </c>
      <c r="P72" s="23" t="s">
        <v>40</v>
      </c>
      <c r="Q72" s="23" t="s">
        <v>40</v>
      </c>
      <c r="R72" s="23" t="s">
        <v>297</v>
      </c>
      <c r="S72" s="23" t="s">
        <v>1710</v>
      </c>
      <c r="T72" s="23" t="s">
        <v>5932</v>
      </c>
    </row>
    <row r="73" spans="1:20" x14ac:dyDescent="0.25">
      <c r="A73" s="23" t="s">
        <v>11483</v>
      </c>
      <c r="B73" s="23" t="s">
        <v>296</v>
      </c>
      <c r="C73" s="23" t="s">
        <v>11453</v>
      </c>
      <c r="D73" s="23" t="s">
        <v>11484</v>
      </c>
      <c r="E73" s="23" t="s">
        <v>11485</v>
      </c>
      <c r="F73" s="23" t="s">
        <v>40</v>
      </c>
      <c r="G73" s="23" t="s">
        <v>11486</v>
      </c>
      <c r="H73" s="23" t="s">
        <v>11487</v>
      </c>
      <c r="I73" s="23" t="s">
        <v>11488</v>
      </c>
      <c r="J73" s="23" t="s">
        <v>801</v>
      </c>
      <c r="K73" s="26" t="s">
        <v>396</v>
      </c>
      <c r="L73" s="23" t="s">
        <v>13</v>
      </c>
      <c r="M73" s="25" t="s">
        <v>18</v>
      </c>
      <c r="N73" s="23" t="s">
        <v>40</v>
      </c>
      <c r="O73" s="23" t="s">
        <v>387</v>
      </c>
      <c r="P73" s="23" t="s">
        <v>40</v>
      </c>
      <c r="Q73" s="23" t="s">
        <v>40</v>
      </c>
      <c r="R73" s="23" t="s">
        <v>297</v>
      </c>
      <c r="S73" s="23" t="s">
        <v>1710</v>
      </c>
      <c r="T73" s="23" t="s">
        <v>5932</v>
      </c>
    </row>
    <row r="74" spans="1:20" x14ac:dyDescent="0.25">
      <c r="A74" s="23" t="s">
        <v>11489</v>
      </c>
      <c r="B74" s="23" t="s">
        <v>296</v>
      </c>
      <c r="C74" s="23" t="s">
        <v>11453</v>
      </c>
      <c r="D74" s="23" t="s">
        <v>11490</v>
      </c>
      <c r="E74" s="23" t="s">
        <v>11491</v>
      </c>
      <c r="F74" s="23" t="s">
        <v>40</v>
      </c>
      <c r="G74" s="23" t="s">
        <v>11492</v>
      </c>
      <c r="H74" s="23" t="s">
        <v>11493</v>
      </c>
      <c r="I74" s="23" t="s">
        <v>11494</v>
      </c>
      <c r="J74" s="23" t="s">
        <v>801</v>
      </c>
      <c r="K74" s="26" t="s">
        <v>396</v>
      </c>
      <c r="L74" s="23" t="s">
        <v>13</v>
      </c>
      <c r="M74" s="25" t="s">
        <v>18</v>
      </c>
      <c r="N74" s="23" t="s">
        <v>40</v>
      </c>
      <c r="O74" s="23" t="s">
        <v>387</v>
      </c>
      <c r="P74" s="23" t="s">
        <v>40</v>
      </c>
      <c r="Q74" s="23" t="s">
        <v>40</v>
      </c>
      <c r="R74" s="23" t="s">
        <v>297</v>
      </c>
      <c r="S74" s="23" t="s">
        <v>11495</v>
      </c>
      <c r="T74" s="23" t="s">
        <v>40</v>
      </c>
    </row>
    <row r="75" spans="1:20" x14ac:dyDescent="0.25">
      <c r="A75" s="23" t="s">
        <v>11496</v>
      </c>
      <c r="B75" s="23" t="s">
        <v>296</v>
      </c>
      <c r="C75" s="23" t="s">
        <v>11453</v>
      </c>
      <c r="D75" s="23" t="s">
        <v>11497</v>
      </c>
      <c r="E75" s="23" t="s">
        <v>11498</v>
      </c>
      <c r="F75" s="23" t="s">
        <v>40</v>
      </c>
      <c r="G75" s="23" t="s">
        <v>11499</v>
      </c>
      <c r="H75" s="23" t="s">
        <v>11500</v>
      </c>
      <c r="I75" s="23" t="s">
        <v>11501</v>
      </c>
      <c r="J75" s="23" t="s">
        <v>14</v>
      </c>
      <c r="K75" s="24" t="s">
        <v>386</v>
      </c>
      <c r="L75" s="23" t="s">
        <v>405</v>
      </c>
      <c r="M75" s="25" t="s">
        <v>18</v>
      </c>
      <c r="N75" s="23" t="s">
        <v>40</v>
      </c>
      <c r="O75" s="23" t="s">
        <v>387</v>
      </c>
      <c r="P75" s="23" t="s">
        <v>40</v>
      </c>
      <c r="Q75" s="23" t="s">
        <v>40</v>
      </c>
      <c r="R75" s="23" t="s">
        <v>297</v>
      </c>
      <c r="S75" s="23" t="s">
        <v>1710</v>
      </c>
      <c r="T75" s="23" t="s">
        <v>40</v>
      </c>
    </row>
    <row r="76" spans="1:20" x14ac:dyDescent="0.25">
      <c r="A76" s="23" t="s">
        <v>11502</v>
      </c>
      <c r="B76" s="23" t="s">
        <v>296</v>
      </c>
      <c r="C76" s="23" t="s">
        <v>5788</v>
      </c>
      <c r="D76" s="23" t="s">
        <v>11503</v>
      </c>
      <c r="E76" s="23" t="s">
        <v>11504</v>
      </c>
      <c r="F76" s="23" t="s">
        <v>40</v>
      </c>
      <c r="G76" s="23" t="s">
        <v>11505</v>
      </c>
      <c r="H76" s="23" t="s">
        <v>11506</v>
      </c>
      <c r="I76" s="23" t="s">
        <v>11507</v>
      </c>
      <c r="J76" s="23" t="s">
        <v>14</v>
      </c>
      <c r="K76" s="24" t="s">
        <v>386</v>
      </c>
      <c r="L76" s="23" t="s">
        <v>405</v>
      </c>
      <c r="M76" s="33" t="s">
        <v>20</v>
      </c>
      <c r="N76" s="23" t="s">
        <v>40</v>
      </c>
      <c r="O76" s="23" t="s">
        <v>387</v>
      </c>
      <c r="P76" s="23" t="s">
        <v>40</v>
      </c>
      <c r="Q76" s="23" t="s">
        <v>40</v>
      </c>
      <c r="R76" s="23" t="s">
        <v>297</v>
      </c>
      <c r="S76" s="23" t="s">
        <v>11508</v>
      </c>
      <c r="T76" s="23" t="s">
        <v>40</v>
      </c>
    </row>
    <row r="77" spans="1:20" x14ac:dyDescent="0.25">
      <c r="A77" s="23" t="s">
        <v>11509</v>
      </c>
      <c r="B77" s="23" t="s">
        <v>296</v>
      </c>
      <c r="C77" s="23" t="s">
        <v>5788</v>
      </c>
      <c r="D77" s="23" t="s">
        <v>11510</v>
      </c>
      <c r="E77" s="23" t="s">
        <v>11511</v>
      </c>
      <c r="F77" s="23" t="s">
        <v>40</v>
      </c>
      <c r="G77" s="23" t="s">
        <v>11512</v>
      </c>
      <c r="H77" s="23" t="s">
        <v>11513</v>
      </c>
      <c r="I77" s="23" t="s">
        <v>11514</v>
      </c>
      <c r="J77" s="23" t="s">
        <v>15</v>
      </c>
      <c r="K77" s="27" t="s">
        <v>404</v>
      </c>
      <c r="L77" s="23" t="s">
        <v>405</v>
      </c>
      <c r="M77" s="25" t="s">
        <v>18</v>
      </c>
      <c r="N77" s="23" t="s">
        <v>40</v>
      </c>
      <c r="O77" s="23" t="s">
        <v>387</v>
      </c>
      <c r="P77" s="23" t="s">
        <v>40</v>
      </c>
      <c r="Q77" s="23" t="s">
        <v>40</v>
      </c>
      <c r="R77" s="23" t="s">
        <v>297</v>
      </c>
      <c r="S77" s="23" t="s">
        <v>11515</v>
      </c>
      <c r="T77" s="23" t="s">
        <v>40</v>
      </c>
    </row>
    <row r="78" spans="1:20" x14ac:dyDescent="0.25">
      <c r="A78" s="23" t="s">
        <v>11516</v>
      </c>
      <c r="B78" s="23" t="s">
        <v>296</v>
      </c>
      <c r="C78" s="23" t="s">
        <v>5507</v>
      </c>
      <c r="D78" s="23" t="s">
        <v>11517</v>
      </c>
      <c r="E78" s="23" t="s">
        <v>11518</v>
      </c>
      <c r="F78" s="23" t="s">
        <v>40</v>
      </c>
      <c r="G78" s="23" t="s">
        <v>11519</v>
      </c>
      <c r="H78" s="23" t="s">
        <v>11520</v>
      </c>
      <c r="I78" s="23" t="s">
        <v>11521</v>
      </c>
      <c r="J78" s="23" t="s">
        <v>15</v>
      </c>
      <c r="K78" s="24" t="s">
        <v>386</v>
      </c>
      <c r="L78" s="23" t="s">
        <v>13</v>
      </c>
      <c r="M78" s="33" t="s">
        <v>20</v>
      </c>
      <c r="N78" s="23" t="s">
        <v>40</v>
      </c>
      <c r="O78" s="23" t="s">
        <v>387</v>
      </c>
      <c r="P78" s="23" t="s">
        <v>40</v>
      </c>
      <c r="Q78" s="23" t="s">
        <v>40</v>
      </c>
      <c r="R78" s="23" t="s">
        <v>297</v>
      </c>
      <c r="S78" s="23" t="s">
        <v>11508</v>
      </c>
      <c r="T78" s="23" t="s">
        <v>5967</v>
      </c>
    </row>
    <row r="79" spans="1:20" x14ac:dyDescent="0.25">
      <c r="A79" s="23" t="s">
        <v>11522</v>
      </c>
      <c r="B79" s="23" t="s">
        <v>296</v>
      </c>
      <c r="C79" s="23" t="s">
        <v>5507</v>
      </c>
      <c r="D79" s="23" t="s">
        <v>11523</v>
      </c>
      <c r="E79" s="23" t="s">
        <v>11335</v>
      </c>
      <c r="F79" s="23" t="s">
        <v>40</v>
      </c>
      <c r="G79" s="23" t="s">
        <v>11524</v>
      </c>
      <c r="H79" s="23" t="s">
        <v>11525</v>
      </c>
      <c r="I79" s="23" t="s">
        <v>11526</v>
      </c>
      <c r="J79" s="23" t="s">
        <v>15</v>
      </c>
      <c r="K79" s="24" t="s">
        <v>386</v>
      </c>
      <c r="L79" s="23" t="s">
        <v>13</v>
      </c>
      <c r="M79" s="33" t="s">
        <v>20</v>
      </c>
      <c r="N79" s="23" t="s">
        <v>40</v>
      </c>
      <c r="O79" s="23" t="s">
        <v>387</v>
      </c>
      <c r="P79" s="23" t="s">
        <v>40</v>
      </c>
      <c r="Q79" s="23" t="s">
        <v>40</v>
      </c>
      <c r="R79" s="23" t="s">
        <v>297</v>
      </c>
      <c r="S79" s="23" t="s">
        <v>11508</v>
      </c>
      <c r="T79" s="23" t="s">
        <v>5967</v>
      </c>
    </row>
    <row r="80" spans="1:20" x14ac:dyDescent="0.25">
      <c r="A80" s="23" t="s">
        <v>11527</v>
      </c>
      <c r="B80" s="23" t="s">
        <v>296</v>
      </c>
      <c r="C80" s="23" t="s">
        <v>11528</v>
      </c>
      <c r="D80" s="23" t="s">
        <v>11529</v>
      </c>
      <c r="E80" s="23" t="s">
        <v>11530</v>
      </c>
      <c r="F80" s="23" t="s">
        <v>40</v>
      </c>
      <c r="G80" s="23" t="s">
        <v>11531</v>
      </c>
      <c r="H80" s="23" t="s">
        <v>11532</v>
      </c>
      <c r="I80" s="23" t="s">
        <v>11533</v>
      </c>
      <c r="J80" s="23" t="s">
        <v>801</v>
      </c>
      <c r="K80" s="26" t="s">
        <v>396</v>
      </c>
      <c r="L80" s="23" t="s">
        <v>13</v>
      </c>
      <c r="M80" s="33" t="s">
        <v>20</v>
      </c>
      <c r="N80" s="23" t="s">
        <v>40</v>
      </c>
      <c r="O80" s="23" t="s">
        <v>387</v>
      </c>
      <c r="P80" s="23" t="s">
        <v>40</v>
      </c>
      <c r="Q80" s="23" t="s">
        <v>40</v>
      </c>
      <c r="R80" s="23" t="s">
        <v>297</v>
      </c>
      <c r="S80" s="23" t="s">
        <v>11508</v>
      </c>
      <c r="T80" s="23" t="s">
        <v>40</v>
      </c>
    </row>
    <row r="81" spans="1:20" x14ac:dyDescent="0.25">
      <c r="A81" s="23" t="s">
        <v>11534</v>
      </c>
      <c r="B81" s="23" t="s">
        <v>296</v>
      </c>
      <c r="C81" s="23" t="s">
        <v>11535</v>
      </c>
      <c r="D81" s="23" t="s">
        <v>11536</v>
      </c>
      <c r="E81" s="23" t="s">
        <v>11537</v>
      </c>
      <c r="F81" s="23" t="s">
        <v>40</v>
      </c>
      <c r="G81" s="23" t="s">
        <v>11538</v>
      </c>
      <c r="H81" s="23" t="s">
        <v>11539</v>
      </c>
      <c r="I81" s="23" t="s">
        <v>11540</v>
      </c>
      <c r="J81" s="23" t="s">
        <v>15</v>
      </c>
      <c r="K81" s="24" t="s">
        <v>386</v>
      </c>
      <c r="L81" s="23" t="s">
        <v>13</v>
      </c>
      <c r="M81" s="25" t="s">
        <v>18</v>
      </c>
      <c r="N81" s="23" t="s">
        <v>40</v>
      </c>
      <c r="O81" s="23" t="s">
        <v>387</v>
      </c>
      <c r="P81" s="23" t="s">
        <v>40</v>
      </c>
      <c r="Q81" s="23" t="s">
        <v>40</v>
      </c>
      <c r="R81" s="23" t="s">
        <v>297</v>
      </c>
      <c r="S81" s="23" t="s">
        <v>11541</v>
      </c>
      <c r="T81" s="23" t="s">
        <v>40</v>
      </c>
    </row>
    <row r="82" spans="1:20" x14ac:dyDescent="0.25">
      <c r="A82" s="23" t="s">
        <v>11542</v>
      </c>
      <c r="B82" s="23" t="s">
        <v>296</v>
      </c>
      <c r="C82" s="23" t="s">
        <v>6700</v>
      </c>
      <c r="D82" s="23" t="s">
        <v>11543</v>
      </c>
      <c r="E82" s="23" t="s">
        <v>9402</v>
      </c>
      <c r="F82" s="23" t="s">
        <v>40</v>
      </c>
      <c r="G82" s="23" t="s">
        <v>11544</v>
      </c>
      <c r="H82" s="23" t="s">
        <v>11545</v>
      </c>
      <c r="I82" s="23" t="s">
        <v>11111</v>
      </c>
      <c r="J82" s="23" t="s">
        <v>525</v>
      </c>
      <c r="K82" s="24" t="s">
        <v>386</v>
      </c>
      <c r="L82" s="23" t="s">
        <v>13</v>
      </c>
      <c r="M82" s="25" t="s">
        <v>18</v>
      </c>
      <c r="N82" s="23" t="s">
        <v>40</v>
      </c>
      <c r="O82" s="23" t="s">
        <v>387</v>
      </c>
      <c r="P82" s="23" t="s">
        <v>40</v>
      </c>
      <c r="Q82" s="23" t="s">
        <v>40</v>
      </c>
      <c r="R82" s="23" t="s">
        <v>297</v>
      </c>
      <c r="S82" s="23" t="s">
        <v>1710</v>
      </c>
      <c r="T82" s="23" t="s">
        <v>40</v>
      </c>
    </row>
    <row r="83" spans="1:20" x14ac:dyDescent="0.25">
      <c r="A83" s="23" t="s">
        <v>11546</v>
      </c>
      <c r="B83" s="23" t="s">
        <v>298</v>
      </c>
      <c r="C83" s="23" t="s">
        <v>944</v>
      </c>
      <c r="D83" s="23" t="s">
        <v>11547</v>
      </c>
      <c r="E83" s="23" t="s">
        <v>3835</v>
      </c>
      <c r="F83" s="23" t="s">
        <v>11548</v>
      </c>
      <c r="G83" s="23" t="s">
        <v>11549</v>
      </c>
      <c r="H83" s="23" t="s">
        <v>11550</v>
      </c>
      <c r="I83" s="23" t="s">
        <v>11551</v>
      </c>
      <c r="J83" s="23" t="s">
        <v>385</v>
      </c>
      <c r="K83" s="24" t="s">
        <v>386</v>
      </c>
      <c r="L83" s="23" t="s">
        <v>13</v>
      </c>
      <c r="M83" s="31" t="s">
        <v>17</v>
      </c>
      <c r="N83" s="23" t="s">
        <v>11552</v>
      </c>
      <c r="O83" s="29" t="s">
        <v>87</v>
      </c>
      <c r="P83" s="23" t="s">
        <v>40</v>
      </c>
      <c r="Q83" s="23" t="s">
        <v>40</v>
      </c>
      <c r="R83" s="23" t="s">
        <v>299</v>
      </c>
      <c r="S83" s="23" t="s">
        <v>40</v>
      </c>
      <c r="T83" s="23" t="s">
        <v>40</v>
      </c>
    </row>
    <row r="84" spans="1:20" x14ac:dyDescent="0.25">
      <c r="A84" s="23" t="s">
        <v>11553</v>
      </c>
      <c r="B84" s="23" t="s">
        <v>298</v>
      </c>
      <c r="C84" s="23" t="s">
        <v>11554</v>
      </c>
      <c r="D84" s="23" t="s">
        <v>11555</v>
      </c>
      <c r="E84" s="23" t="s">
        <v>11556</v>
      </c>
      <c r="F84" s="23" t="s">
        <v>40</v>
      </c>
      <c r="G84" s="23" t="s">
        <v>11557</v>
      </c>
      <c r="H84" s="23" t="s">
        <v>11558</v>
      </c>
      <c r="I84" s="23" t="s">
        <v>11559</v>
      </c>
      <c r="J84" s="23" t="s">
        <v>801</v>
      </c>
      <c r="K84" s="24" t="s">
        <v>386</v>
      </c>
      <c r="L84" s="23" t="s">
        <v>405</v>
      </c>
      <c r="M84" s="25" t="s">
        <v>18</v>
      </c>
      <c r="N84" s="23" t="s">
        <v>40</v>
      </c>
      <c r="O84" s="23" t="s">
        <v>387</v>
      </c>
      <c r="P84" s="23" t="s">
        <v>40</v>
      </c>
      <c r="Q84" s="23" t="s">
        <v>40</v>
      </c>
      <c r="R84" s="23" t="s">
        <v>299</v>
      </c>
      <c r="S84" s="23" t="s">
        <v>1710</v>
      </c>
      <c r="T84" s="23" t="s">
        <v>11560</v>
      </c>
    </row>
    <row r="85" spans="1:20" x14ac:dyDescent="0.25">
      <c r="A85" s="23" t="s">
        <v>11561</v>
      </c>
      <c r="B85" s="23" t="s">
        <v>298</v>
      </c>
      <c r="C85" s="23" t="s">
        <v>11554</v>
      </c>
      <c r="D85" s="23" t="s">
        <v>11562</v>
      </c>
      <c r="E85" s="23" t="s">
        <v>11563</v>
      </c>
      <c r="F85" s="23" t="s">
        <v>40</v>
      </c>
      <c r="G85" s="23" t="s">
        <v>11564</v>
      </c>
      <c r="H85" s="23" t="s">
        <v>11565</v>
      </c>
      <c r="I85" s="23" t="s">
        <v>11566</v>
      </c>
      <c r="J85" s="23" t="s">
        <v>801</v>
      </c>
      <c r="K85" s="24" t="s">
        <v>386</v>
      </c>
      <c r="L85" s="23" t="s">
        <v>405</v>
      </c>
      <c r="M85" s="25" t="s">
        <v>18</v>
      </c>
      <c r="N85" s="23" t="s">
        <v>40</v>
      </c>
      <c r="O85" s="23" t="s">
        <v>387</v>
      </c>
      <c r="P85" s="23" t="s">
        <v>40</v>
      </c>
      <c r="Q85" s="23" t="s">
        <v>40</v>
      </c>
      <c r="R85" s="23" t="s">
        <v>299</v>
      </c>
      <c r="S85" s="23" t="s">
        <v>1710</v>
      </c>
      <c r="T85" s="23" t="s">
        <v>11560</v>
      </c>
    </row>
    <row r="86" spans="1:20" x14ac:dyDescent="0.25">
      <c r="A86" s="23" t="s">
        <v>11567</v>
      </c>
      <c r="B86" s="23" t="s">
        <v>298</v>
      </c>
      <c r="C86" s="23" t="s">
        <v>11554</v>
      </c>
      <c r="D86" s="23" t="s">
        <v>11568</v>
      </c>
      <c r="E86" s="23" t="s">
        <v>11569</v>
      </c>
      <c r="F86" s="23" t="s">
        <v>40</v>
      </c>
      <c r="G86" s="23" t="s">
        <v>11570</v>
      </c>
      <c r="H86" s="23" t="s">
        <v>11571</v>
      </c>
      <c r="I86" s="23" t="s">
        <v>11572</v>
      </c>
      <c r="J86" s="23" t="s">
        <v>801</v>
      </c>
      <c r="K86" s="27" t="s">
        <v>404</v>
      </c>
      <c r="L86" s="23" t="s">
        <v>490</v>
      </c>
      <c r="M86" s="25" t="s">
        <v>18</v>
      </c>
      <c r="N86" s="23" t="s">
        <v>40</v>
      </c>
      <c r="O86" s="23" t="s">
        <v>387</v>
      </c>
      <c r="P86" s="23" t="s">
        <v>40</v>
      </c>
      <c r="Q86" s="23" t="s">
        <v>40</v>
      </c>
      <c r="R86" s="23" t="s">
        <v>299</v>
      </c>
      <c r="S86" s="23" t="s">
        <v>1710</v>
      </c>
      <c r="T86" s="23" t="s">
        <v>40</v>
      </c>
    </row>
    <row r="87" spans="1:20" x14ac:dyDescent="0.25">
      <c r="A87" s="23" t="s">
        <v>11573</v>
      </c>
      <c r="B87" s="23" t="s">
        <v>298</v>
      </c>
      <c r="C87" s="23" t="s">
        <v>11554</v>
      </c>
      <c r="D87" s="23" t="s">
        <v>11574</v>
      </c>
      <c r="E87" s="23" t="s">
        <v>11575</v>
      </c>
      <c r="F87" s="23" t="s">
        <v>40</v>
      </c>
      <c r="G87" s="23" t="s">
        <v>11576</v>
      </c>
      <c r="H87" s="23" t="s">
        <v>11577</v>
      </c>
      <c r="I87" s="23" t="s">
        <v>11578</v>
      </c>
      <c r="J87" s="23" t="s">
        <v>14</v>
      </c>
      <c r="K87" s="24" t="s">
        <v>386</v>
      </c>
      <c r="L87" s="23" t="s">
        <v>405</v>
      </c>
      <c r="M87" s="25" t="s">
        <v>18</v>
      </c>
      <c r="N87" s="23" t="s">
        <v>40</v>
      </c>
      <c r="O87" s="23" t="s">
        <v>387</v>
      </c>
      <c r="P87" s="23" t="s">
        <v>40</v>
      </c>
      <c r="Q87" s="23" t="s">
        <v>40</v>
      </c>
      <c r="R87" s="23" t="s">
        <v>299</v>
      </c>
      <c r="S87" s="23" t="s">
        <v>1710</v>
      </c>
      <c r="T87" s="23" t="s">
        <v>40</v>
      </c>
    </row>
    <row r="88" spans="1:20" x14ac:dyDescent="0.25">
      <c r="A88" s="23" t="s">
        <v>11579</v>
      </c>
      <c r="B88" s="23" t="s">
        <v>298</v>
      </c>
      <c r="C88" s="23" t="s">
        <v>11554</v>
      </c>
      <c r="D88" s="23" t="s">
        <v>11580</v>
      </c>
      <c r="E88" s="23" t="s">
        <v>11581</v>
      </c>
      <c r="F88" s="23" t="s">
        <v>40</v>
      </c>
      <c r="G88" s="23" t="s">
        <v>11582</v>
      </c>
      <c r="H88" s="23" t="s">
        <v>11583</v>
      </c>
      <c r="I88" s="23" t="s">
        <v>11584</v>
      </c>
      <c r="J88" s="23" t="s">
        <v>15</v>
      </c>
      <c r="K88" s="27" t="s">
        <v>404</v>
      </c>
      <c r="L88" s="23" t="s">
        <v>490</v>
      </c>
      <c r="M88" s="25" t="s">
        <v>18</v>
      </c>
      <c r="N88" s="23" t="s">
        <v>40</v>
      </c>
      <c r="O88" s="23" t="s">
        <v>387</v>
      </c>
      <c r="P88" s="23" t="s">
        <v>40</v>
      </c>
      <c r="Q88" s="23" t="s">
        <v>40</v>
      </c>
      <c r="R88" s="23" t="s">
        <v>299</v>
      </c>
      <c r="S88" s="23" t="s">
        <v>1710</v>
      </c>
      <c r="T88" s="23" t="s">
        <v>40</v>
      </c>
    </row>
    <row r="89" spans="1:20" x14ac:dyDescent="0.25">
      <c r="A89" s="23" t="s">
        <v>11585</v>
      </c>
      <c r="B89" s="23" t="s">
        <v>300</v>
      </c>
      <c r="C89" s="23" t="s">
        <v>944</v>
      </c>
      <c r="D89" s="23" t="s">
        <v>11586</v>
      </c>
      <c r="E89" s="23" t="s">
        <v>3835</v>
      </c>
      <c r="F89" s="23" t="s">
        <v>11587</v>
      </c>
      <c r="G89" s="23" t="s">
        <v>11588</v>
      </c>
      <c r="H89" s="23" t="s">
        <v>11589</v>
      </c>
      <c r="I89" s="23" t="s">
        <v>11590</v>
      </c>
      <c r="J89" s="23" t="s">
        <v>385</v>
      </c>
      <c r="K89" s="24" t="s">
        <v>386</v>
      </c>
      <c r="L89" s="23" t="s">
        <v>13</v>
      </c>
      <c r="M89" s="31" t="s">
        <v>17</v>
      </c>
      <c r="N89" s="23" t="s">
        <v>11591</v>
      </c>
      <c r="O89" s="29" t="s">
        <v>87</v>
      </c>
      <c r="P89" s="23" t="s">
        <v>40</v>
      </c>
      <c r="Q89" s="23" t="s">
        <v>40</v>
      </c>
      <c r="R89" s="23" t="s">
        <v>301</v>
      </c>
      <c r="S89" s="23" t="s">
        <v>40</v>
      </c>
      <c r="T89" s="23" t="s">
        <v>40</v>
      </c>
    </row>
    <row r="90" spans="1:20" x14ac:dyDescent="0.25">
      <c r="A90" s="23" t="s">
        <v>11592</v>
      </c>
      <c r="B90" s="23" t="s">
        <v>300</v>
      </c>
      <c r="C90" s="23" t="s">
        <v>6848</v>
      </c>
      <c r="D90" s="23" t="s">
        <v>11593</v>
      </c>
      <c r="E90" s="23" t="s">
        <v>11594</v>
      </c>
      <c r="F90" s="23" t="s">
        <v>40</v>
      </c>
      <c r="G90" s="23" t="s">
        <v>11595</v>
      </c>
      <c r="H90" s="23" t="s">
        <v>11596</v>
      </c>
      <c r="I90" s="23" t="s">
        <v>11597</v>
      </c>
      <c r="J90" s="23" t="s">
        <v>14</v>
      </c>
      <c r="K90" s="26" t="s">
        <v>396</v>
      </c>
      <c r="L90" s="23" t="s">
        <v>13</v>
      </c>
      <c r="M90" s="33" t="s">
        <v>20</v>
      </c>
      <c r="N90" s="23" t="s">
        <v>40</v>
      </c>
      <c r="O90" s="23" t="s">
        <v>387</v>
      </c>
      <c r="P90" s="23" t="s">
        <v>40</v>
      </c>
      <c r="Q90" s="23" t="s">
        <v>40</v>
      </c>
      <c r="R90" s="23" t="s">
        <v>301</v>
      </c>
      <c r="S90" s="23" t="s">
        <v>11598</v>
      </c>
      <c r="T90" s="23" t="s">
        <v>11599</v>
      </c>
    </row>
    <row r="91" spans="1:20" x14ac:dyDescent="0.25">
      <c r="A91" s="23" t="s">
        <v>11600</v>
      </c>
      <c r="B91" s="23" t="s">
        <v>300</v>
      </c>
      <c r="C91" s="23" t="s">
        <v>6848</v>
      </c>
      <c r="D91" s="23" t="s">
        <v>11601</v>
      </c>
      <c r="E91" s="23" t="s">
        <v>6918</v>
      </c>
      <c r="F91" s="23" t="s">
        <v>40</v>
      </c>
      <c r="G91" s="23" t="s">
        <v>11602</v>
      </c>
      <c r="H91" s="23" t="s">
        <v>11603</v>
      </c>
      <c r="I91" s="23" t="s">
        <v>11604</v>
      </c>
      <c r="J91" s="23" t="s">
        <v>385</v>
      </c>
      <c r="K91" s="27" t="s">
        <v>404</v>
      </c>
      <c r="L91" s="23" t="s">
        <v>405</v>
      </c>
      <c r="M91" s="33" t="s">
        <v>20</v>
      </c>
      <c r="N91" s="23" t="s">
        <v>40</v>
      </c>
      <c r="O91" s="23" t="s">
        <v>387</v>
      </c>
      <c r="P91" s="23" t="s">
        <v>40</v>
      </c>
      <c r="Q91" s="23" t="s">
        <v>40</v>
      </c>
      <c r="R91" s="23" t="s">
        <v>301</v>
      </c>
      <c r="S91" s="23" t="s">
        <v>11605</v>
      </c>
      <c r="T91" s="23" t="s">
        <v>40</v>
      </c>
    </row>
    <row r="92" spans="1:20" x14ac:dyDescent="0.25">
      <c r="A92" s="23" t="s">
        <v>11606</v>
      </c>
      <c r="B92" s="23" t="s">
        <v>300</v>
      </c>
      <c r="C92" s="23" t="s">
        <v>6856</v>
      </c>
      <c r="D92" s="23" t="s">
        <v>11607</v>
      </c>
      <c r="E92" s="23" t="s">
        <v>6918</v>
      </c>
      <c r="F92" s="23" t="s">
        <v>40</v>
      </c>
      <c r="G92" s="23" t="s">
        <v>11608</v>
      </c>
      <c r="H92" s="23" t="s">
        <v>11609</v>
      </c>
      <c r="I92" s="23" t="s">
        <v>10489</v>
      </c>
      <c r="J92" s="23" t="s">
        <v>466</v>
      </c>
      <c r="K92" s="24" t="s">
        <v>386</v>
      </c>
      <c r="L92" s="23" t="s">
        <v>13</v>
      </c>
      <c r="M92" s="33" t="s">
        <v>20</v>
      </c>
      <c r="N92" s="23" t="s">
        <v>40</v>
      </c>
      <c r="O92" s="23" t="s">
        <v>387</v>
      </c>
      <c r="P92" s="23" t="s">
        <v>40</v>
      </c>
      <c r="Q92" s="23" t="s">
        <v>40</v>
      </c>
      <c r="R92" s="23" t="s">
        <v>301</v>
      </c>
      <c r="S92" s="23" t="s">
        <v>11610</v>
      </c>
      <c r="T92" s="23" t="s">
        <v>40</v>
      </c>
    </row>
    <row r="93" spans="1:20" x14ac:dyDescent="0.25">
      <c r="A93" s="23" t="s">
        <v>11611</v>
      </c>
      <c r="B93" s="23" t="s">
        <v>300</v>
      </c>
      <c r="C93" s="23" t="s">
        <v>6856</v>
      </c>
      <c r="D93" s="23" t="s">
        <v>11612</v>
      </c>
      <c r="E93" s="23" t="s">
        <v>6918</v>
      </c>
      <c r="F93" s="23" t="s">
        <v>40</v>
      </c>
      <c r="G93" s="23" t="s">
        <v>11613</v>
      </c>
      <c r="H93" s="23" t="s">
        <v>11614</v>
      </c>
      <c r="I93" s="23" t="s">
        <v>11615</v>
      </c>
      <c r="J93" s="23" t="s">
        <v>14</v>
      </c>
      <c r="K93" s="24" t="s">
        <v>386</v>
      </c>
      <c r="L93" s="23" t="s">
        <v>405</v>
      </c>
      <c r="M93" s="33" t="s">
        <v>20</v>
      </c>
      <c r="N93" s="23" t="s">
        <v>40</v>
      </c>
      <c r="O93" s="23" t="s">
        <v>387</v>
      </c>
      <c r="P93" s="23" t="s">
        <v>40</v>
      </c>
      <c r="Q93" s="23" t="s">
        <v>40</v>
      </c>
      <c r="R93" s="23" t="s">
        <v>301</v>
      </c>
      <c r="S93" s="23" t="s">
        <v>11598</v>
      </c>
      <c r="T93" s="23" t="s">
        <v>5446</v>
      </c>
    </row>
    <row r="94" spans="1:20" x14ac:dyDescent="0.25">
      <c r="A94" s="23" t="s">
        <v>11616</v>
      </c>
      <c r="B94" s="23" t="s">
        <v>300</v>
      </c>
      <c r="C94" s="23" t="s">
        <v>11617</v>
      </c>
      <c r="D94" s="23" t="s">
        <v>11618</v>
      </c>
      <c r="E94" s="23" t="s">
        <v>6918</v>
      </c>
      <c r="F94" s="23" t="s">
        <v>40</v>
      </c>
      <c r="G94" s="23" t="s">
        <v>11619</v>
      </c>
      <c r="H94" s="23" t="s">
        <v>11620</v>
      </c>
      <c r="I94" s="23" t="s">
        <v>3984</v>
      </c>
      <c r="J94" s="23" t="s">
        <v>489</v>
      </c>
      <c r="K94" s="24" t="s">
        <v>386</v>
      </c>
      <c r="L94" s="23" t="s">
        <v>13</v>
      </c>
      <c r="M94" s="33" t="s">
        <v>20</v>
      </c>
      <c r="N94" s="23" t="s">
        <v>40</v>
      </c>
      <c r="O94" s="23" t="s">
        <v>387</v>
      </c>
      <c r="P94" s="23" t="s">
        <v>40</v>
      </c>
      <c r="Q94" s="23" t="s">
        <v>40</v>
      </c>
      <c r="R94" s="23" t="s">
        <v>301</v>
      </c>
      <c r="S94" s="23" t="s">
        <v>11621</v>
      </c>
      <c r="T94" s="23" t="s">
        <v>40</v>
      </c>
    </row>
    <row r="95" spans="1:20" x14ac:dyDescent="0.25">
      <c r="A95" s="23" t="s">
        <v>11622</v>
      </c>
      <c r="B95" s="23" t="s">
        <v>300</v>
      </c>
      <c r="C95" s="23" t="s">
        <v>11617</v>
      </c>
      <c r="D95" s="23" t="s">
        <v>11623</v>
      </c>
      <c r="E95" s="23" t="s">
        <v>11624</v>
      </c>
      <c r="F95" s="23" t="s">
        <v>40</v>
      </c>
      <c r="G95" s="23" t="s">
        <v>11625</v>
      </c>
      <c r="H95" s="23" t="s">
        <v>11626</v>
      </c>
      <c r="I95" s="23" t="s">
        <v>11627</v>
      </c>
      <c r="J95" s="23" t="s">
        <v>14</v>
      </c>
      <c r="K95" s="24" t="s">
        <v>386</v>
      </c>
      <c r="L95" s="23" t="s">
        <v>405</v>
      </c>
      <c r="M95" s="33" t="s">
        <v>20</v>
      </c>
      <c r="N95" s="23" t="s">
        <v>40</v>
      </c>
      <c r="O95" s="23" t="s">
        <v>387</v>
      </c>
      <c r="P95" s="23" t="s">
        <v>40</v>
      </c>
      <c r="Q95" s="23" t="s">
        <v>40</v>
      </c>
      <c r="R95" s="23" t="s">
        <v>301</v>
      </c>
      <c r="S95" s="23" t="s">
        <v>11598</v>
      </c>
      <c r="T95" s="23" t="s">
        <v>5455</v>
      </c>
    </row>
    <row r="96" spans="1:20" x14ac:dyDescent="0.25">
      <c r="A96" s="23" t="s">
        <v>11628</v>
      </c>
      <c r="B96" s="23" t="s">
        <v>300</v>
      </c>
      <c r="C96" s="23" t="s">
        <v>11629</v>
      </c>
      <c r="D96" s="23" t="s">
        <v>11630</v>
      </c>
      <c r="E96" s="23" t="s">
        <v>11631</v>
      </c>
      <c r="F96" s="23" t="s">
        <v>40</v>
      </c>
      <c r="G96" s="23" t="s">
        <v>11632</v>
      </c>
      <c r="H96" s="23" t="s">
        <v>11633</v>
      </c>
      <c r="I96" s="23" t="s">
        <v>11634</v>
      </c>
      <c r="J96" s="23" t="s">
        <v>525</v>
      </c>
      <c r="K96" s="24" t="s">
        <v>386</v>
      </c>
      <c r="L96" s="23" t="s">
        <v>13</v>
      </c>
      <c r="M96" s="25" t="s">
        <v>18</v>
      </c>
      <c r="N96" s="23" t="s">
        <v>40</v>
      </c>
      <c r="O96" s="23" t="s">
        <v>387</v>
      </c>
      <c r="P96" s="23" t="s">
        <v>40</v>
      </c>
      <c r="Q96" s="23" t="s">
        <v>40</v>
      </c>
      <c r="R96" s="23" t="s">
        <v>301</v>
      </c>
      <c r="S96" s="23" t="s">
        <v>1710</v>
      </c>
      <c r="T96" s="23" t="s">
        <v>5407</v>
      </c>
    </row>
    <row r="97" spans="1:20" x14ac:dyDescent="0.25">
      <c r="A97" s="23" t="s">
        <v>11635</v>
      </c>
      <c r="B97" s="23" t="s">
        <v>300</v>
      </c>
      <c r="C97" s="23" t="s">
        <v>11629</v>
      </c>
      <c r="D97" s="23" t="s">
        <v>11636</v>
      </c>
      <c r="E97" s="23" t="s">
        <v>11637</v>
      </c>
      <c r="F97" s="23" t="s">
        <v>40</v>
      </c>
      <c r="G97" s="23" t="s">
        <v>11638</v>
      </c>
      <c r="H97" s="23" t="s">
        <v>11639</v>
      </c>
      <c r="I97" s="23" t="s">
        <v>11640</v>
      </c>
      <c r="J97" s="23" t="s">
        <v>14</v>
      </c>
      <c r="K97" s="27" t="s">
        <v>404</v>
      </c>
      <c r="L97" s="23" t="s">
        <v>490</v>
      </c>
      <c r="M97" s="33" t="s">
        <v>20</v>
      </c>
      <c r="N97" s="23" t="s">
        <v>40</v>
      </c>
      <c r="O97" s="23" t="s">
        <v>387</v>
      </c>
      <c r="P97" s="23" t="s">
        <v>40</v>
      </c>
      <c r="Q97" s="23" t="s">
        <v>40</v>
      </c>
      <c r="R97" s="23" t="s">
        <v>301</v>
      </c>
      <c r="S97" s="23" t="s">
        <v>11641</v>
      </c>
      <c r="T97" s="23" t="s">
        <v>40</v>
      </c>
    </row>
    <row r="98" spans="1:20" x14ac:dyDescent="0.25">
      <c r="A98" s="23" t="s">
        <v>11642</v>
      </c>
      <c r="B98" s="23" t="s">
        <v>300</v>
      </c>
      <c r="C98" s="23" t="s">
        <v>951</v>
      </c>
      <c r="D98" s="23" t="s">
        <v>11643</v>
      </c>
      <c r="E98" s="23" t="s">
        <v>11644</v>
      </c>
      <c r="F98" s="23" t="s">
        <v>40</v>
      </c>
      <c r="G98" s="23" t="s">
        <v>11645</v>
      </c>
      <c r="H98" s="23" t="s">
        <v>11646</v>
      </c>
      <c r="I98" s="23" t="s">
        <v>11647</v>
      </c>
      <c r="J98" s="23" t="s">
        <v>385</v>
      </c>
      <c r="K98" s="32" t="s">
        <v>747</v>
      </c>
      <c r="L98" s="23" t="s">
        <v>490</v>
      </c>
      <c r="M98" s="25" t="s">
        <v>18</v>
      </c>
      <c r="N98" s="23" t="s">
        <v>40</v>
      </c>
      <c r="O98" s="23" t="s">
        <v>387</v>
      </c>
      <c r="P98" s="23" t="s">
        <v>40</v>
      </c>
      <c r="Q98" s="23" t="s">
        <v>40</v>
      </c>
      <c r="R98" s="23" t="s">
        <v>301</v>
      </c>
      <c r="S98" s="23" t="s">
        <v>11648</v>
      </c>
      <c r="T98" s="23" t="s">
        <v>40</v>
      </c>
    </row>
    <row r="99" spans="1:20" x14ac:dyDescent="0.25">
      <c r="A99" s="23" t="s">
        <v>11649</v>
      </c>
      <c r="B99" s="23" t="s">
        <v>300</v>
      </c>
      <c r="C99" s="23" t="s">
        <v>783</v>
      </c>
      <c r="D99" s="23" t="s">
        <v>11650</v>
      </c>
      <c r="E99" s="23" t="s">
        <v>11651</v>
      </c>
      <c r="F99" s="23" t="s">
        <v>40</v>
      </c>
      <c r="G99" s="23" t="s">
        <v>11652</v>
      </c>
      <c r="H99" s="23" t="s">
        <v>11653</v>
      </c>
      <c r="I99" s="23" t="s">
        <v>11654</v>
      </c>
      <c r="J99" s="23" t="s">
        <v>801</v>
      </c>
      <c r="K99" s="24" t="s">
        <v>386</v>
      </c>
      <c r="L99" s="23" t="s">
        <v>405</v>
      </c>
      <c r="M99" s="25" t="s">
        <v>18</v>
      </c>
      <c r="N99" s="23" t="s">
        <v>40</v>
      </c>
      <c r="O99" s="23" t="s">
        <v>387</v>
      </c>
      <c r="P99" s="23" t="s">
        <v>40</v>
      </c>
      <c r="Q99" s="23" t="s">
        <v>40</v>
      </c>
      <c r="R99" s="23" t="s">
        <v>301</v>
      </c>
      <c r="S99" s="23" t="s">
        <v>1710</v>
      </c>
      <c r="T99" s="23" t="s">
        <v>40</v>
      </c>
    </row>
    <row r="100" spans="1:20" x14ac:dyDescent="0.25">
      <c r="A100" s="23" t="s">
        <v>11655</v>
      </c>
      <c r="B100" s="23" t="s">
        <v>302</v>
      </c>
      <c r="C100" s="23" t="s">
        <v>944</v>
      </c>
      <c r="D100" s="23" t="s">
        <v>11656</v>
      </c>
      <c r="E100" s="23" t="s">
        <v>3835</v>
      </c>
      <c r="F100" s="23" t="s">
        <v>11657</v>
      </c>
      <c r="G100" s="23" t="s">
        <v>11658</v>
      </c>
      <c r="H100" s="23" t="s">
        <v>11659</v>
      </c>
      <c r="I100" s="23" t="s">
        <v>11660</v>
      </c>
      <c r="J100" s="23" t="s">
        <v>385</v>
      </c>
      <c r="K100" s="24" t="s">
        <v>386</v>
      </c>
      <c r="L100" s="23" t="s">
        <v>13</v>
      </c>
      <c r="M100" s="31" t="s">
        <v>17</v>
      </c>
      <c r="N100" s="23" t="s">
        <v>11661</v>
      </c>
      <c r="O100" s="29" t="s">
        <v>87</v>
      </c>
      <c r="P100" s="23" t="s">
        <v>40</v>
      </c>
      <c r="Q100" s="23" t="s">
        <v>40</v>
      </c>
      <c r="R100" s="23" t="s">
        <v>303</v>
      </c>
      <c r="S100" s="23" t="s">
        <v>40</v>
      </c>
      <c r="T100" s="23" t="s">
        <v>40</v>
      </c>
    </row>
    <row r="101" spans="1:20" x14ac:dyDescent="0.25">
      <c r="A101" s="23" t="s">
        <v>11662</v>
      </c>
      <c r="B101" s="23" t="s">
        <v>302</v>
      </c>
      <c r="C101" s="23" t="s">
        <v>951</v>
      </c>
      <c r="D101" s="23" t="s">
        <v>11663</v>
      </c>
      <c r="E101" s="23" t="s">
        <v>11664</v>
      </c>
      <c r="F101" s="23" t="s">
        <v>40</v>
      </c>
      <c r="G101" s="23" t="s">
        <v>11665</v>
      </c>
      <c r="H101" s="23" t="s">
        <v>11666</v>
      </c>
      <c r="I101" s="23" t="s">
        <v>11667</v>
      </c>
      <c r="J101" s="23" t="s">
        <v>14</v>
      </c>
      <c r="K101" s="24" t="s">
        <v>386</v>
      </c>
      <c r="L101" s="23" t="s">
        <v>405</v>
      </c>
      <c r="M101" s="25" t="s">
        <v>18</v>
      </c>
      <c r="N101" s="23" t="s">
        <v>40</v>
      </c>
      <c r="O101" s="23" t="s">
        <v>387</v>
      </c>
      <c r="P101" s="23" t="s">
        <v>40</v>
      </c>
      <c r="Q101" s="23" t="s">
        <v>40</v>
      </c>
      <c r="R101" s="23" t="s">
        <v>303</v>
      </c>
      <c r="S101" s="23" t="s">
        <v>1710</v>
      </c>
      <c r="T101" s="23" t="s">
        <v>40</v>
      </c>
    </row>
    <row r="102" spans="1:20" x14ac:dyDescent="0.25">
      <c r="A102" s="23" t="s">
        <v>11668</v>
      </c>
      <c r="B102" s="23" t="s">
        <v>302</v>
      </c>
      <c r="C102" s="23" t="s">
        <v>11095</v>
      </c>
      <c r="D102" s="23" t="s">
        <v>11669</v>
      </c>
      <c r="E102" s="23" t="s">
        <v>11670</v>
      </c>
      <c r="F102" s="23" t="s">
        <v>40</v>
      </c>
      <c r="G102" s="23" t="s">
        <v>11671</v>
      </c>
      <c r="H102" s="23" t="s">
        <v>11672</v>
      </c>
      <c r="I102" s="23" t="s">
        <v>11673</v>
      </c>
      <c r="J102" s="23" t="s">
        <v>14</v>
      </c>
      <c r="K102" s="26" t="s">
        <v>396</v>
      </c>
      <c r="L102" s="23" t="s">
        <v>13</v>
      </c>
      <c r="M102" s="33" t="s">
        <v>20</v>
      </c>
      <c r="N102" s="23" t="s">
        <v>40</v>
      </c>
      <c r="O102" s="23" t="s">
        <v>387</v>
      </c>
      <c r="P102" s="23" t="s">
        <v>40</v>
      </c>
      <c r="Q102" s="23" t="s">
        <v>40</v>
      </c>
      <c r="R102" s="23" t="s">
        <v>303</v>
      </c>
      <c r="S102" s="23" t="s">
        <v>11674</v>
      </c>
      <c r="T102" s="23" t="s">
        <v>40</v>
      </c>
    </row>
    <row r="103" spans="1:20" x14ac:dyDescent="0.25">
      <c r="A103" s="23" t="s">
        <v>11675</v>
      </c>
      <c r="B103" s="23" t="s">
        <v>302</v>
      </c>
      <c r="C103" s="23" t="s">
        <v>11095</v>
      </c>
      <c r="D103" s="23" t="s">
        <v>11676</v>
      </c>
      <c r="E103" s="23" t="s">
        <v>11670</v>
      </c>
      <c r="F103" s="23" t="s">
        <v>40</v>
      </c>
      <c r="G103" s="23" t="s">
        <v>11677</v>
      </c>
      <c r="H103" s="23" t="s">
        <v>11678</v>
      </c>
      <c r="I103" s="23" t="s">
        <v>11679</v>
      </c>
      <c r="J103" s="23" t="s">
        <v>385</v>
      </c>
      <c r="K103" s="27" t="s">
        <v>404</v>
      </c>
      <c r="L103" s="23" t="s">
        <v>405</v>
      </c>
      <c r="M103" s="33" t="s">
        <v>20</v>
      </c>
      <c r="N103" s="23" t="s">
        <v>40</v>
      </c>
      <c r="O103" s="23" t="s">
        <v>387</v>
      </c>
      <c r="P103" s="23" t="s">
        <v>40</v>
      </c>
      <c r="Q103" s="23" t="s">
        <v>40</v>
      </c>
      <c r="R103" s="23" t="s">
        <v>303</v>
      </c>
      <c r="S103" s="23" t="s">
        <v>11680</v>
      </c>
      <c r="T103" s="23" t="s">
        <v>40</v>
      </c>
    </row>
    <row r="104" spans="1:20" x14ac:dyDescent="0.25">
      <c r="A104" s="23" t="s">
        <v>11681</v>
      </c>
      <c r="B104" s="23" t="s">
        <v>302</v>
      </c>
      <c r="C104" s="23" t="s">
        <v>11095</v>
      </c>
      <c r="D104" s="23" t="s">
        <v>11682</v>
      </c>
      <c r="E104" s="23" t="s">
        <v>11670</v>
      </c>
      <c r="F104" s="23" t="s">
        <v>40</v>
      </c>
      <c r="G104" s="23" t="s">
        <v>11683</v>
      </c>
      <c r="H104" s="23" t="s">
        <v>11684</v>
      </c>
      <c r="I104" s="23" t="s">
        <v>11685</v>
      </c>
      <c r="J104" s="23" t="s">
        <v>14</v>
      </c>
      <c r="K104" s="27" t="s">
        <v>404</v>
      </c>
      <c r="L104" s="23" t="s">
        <v>490</v>
      </c>
      <c r="M104" s="33" t="s">
        <v>20</v>
      </c>
      <c r="N104" s="23" t="s">
        <v>40</v>
      </c>
      <c r="O104" s="23" t="s">
        <v>387</v>
      </c>
      <c r="P104" s="23" t="s">
        <v>40</v>
      </c>
      <c r="Q104" s="23" t="s">
        <v>40</v>
      </c>
      <c r="R104" s="23" t="s">
        <v>303</v>
      </c>
      <c r="S104" s="23" t="s">
        <v>11674</v>
      </c>
      <c r="T104" s="23" t="s">
        <v>40</v>
      </c>
    </row>
    <row r="105" spans="1:20" x14ac:dyDescent="0.25">
      <c r="A105" s="23" t="s">
        <v>11686</v>
      </c>
      <c r="B105" s="23" t="s">
        <v>302</v>
      </c>
      <c r="C105" s="23" t="s">
        <v>11095</v>
      </c>
      <c r="D105" s="23" t="s">
        <v>11687</v>
      </c>
      <c r="E105" s="23" t="s">
        <v>11688</v>
      </c>
      <c r="F105" s="23" t="s">
        <v>40</v>
      </c>
      <c r="G105" s="23" t="s">
        <v>11689</v>
      </c>
      <c r="H105" s="23" t="s">
        <v>11690</v>
      </c>
      <c r="I105" s="23" t="s">
        <v>11691</v>
      </c>
      <c r="J105" s="23" t="s">
        <v>15</v>
      </c>
      <c r="K105" s="27" t="s">
        <v>404</v>
      </c>
      <c r="L105" s="23" t="s">
        <v>405</v>
      </c>
      <c r="M105" s="25" t="s">
        <v>18</v>
      </c>
      <c r="N105" s="23" t="s">
        <v>40</v>
      </c>
      <c r="O105" s="23" t="s">
        <v>387</v>
      </c>
      <c r="P105" s="23" t="s">
        <v>40</v>
      </c>
      <c r="Q105" s="23" t="s">
        <v>40</v>
      </c>
      <c r="R105" s="23" t="s">
        <v>303</v>
      </c>
      <c r="S105" s="23" t="s">
        <v>1710</v>
      </c>
      <c r="T105" s="23" t="s">
        <v>11692</v>
      </c>
    </row>
    <row r="106" spans="1:20" x14ac:dyDescent="0.25">
      <c r="A106" s="23" t="s">
        <v>11693</v>
      </c>
      <c r="B106" s="23" t="s">
        <v>302</v>
      </c>
      <c r="C106" s="23" t="s">
        <v>11694</v>
      </c>
      <c r="D106" s="23" t="s">
        <v>11695</v>
      </c>
      <c r="E106" s="23" t="s">
        <v>3835</v>
      </c>
      <c r="F106" s="23" t="s">
        <v>40</v>
      </c>
      <c r="G106" s="23" t="s">
        <v>11696</v>
      </c>
      <c r="H106" s="23" t="s">
        <v>11697</v>
      </c>
      <c r="I106" s="23" t="s">
        <v>11698</v>
      </c>
      <c r="J106" s="23" t="s">
        <v>385</v>
      </c>
      <c r="K106" s="32" t="s">
        <v>747</v>
      </c>
      <c r="L106" s="23" t="s">
        <v>490</v>
      </c>
      <c r="M106" s="25" t="s">
        <v>18</v>
      </c>
      <c r="N106" s="23" t="s">
        <v>40</v>
      </c>
      <c r="O106" s="23" t="s">
        <v>387</v>
      </c>
      <c r="P106" s="23" t="s">
        <v>40</v>
      </c>
      <c r="Q106" s="23" t="s">
        <v>40</v>
      </c>
      <c r="R106" s="23" t="s">
        <v>303</v>
      </c>
      <c r="S106" s="23" t="s">
        <v>11699</v>
      </c>
      <c r="T106" s="23" t="s">
        <v>40</v>
      </c>
    </row>
    <row r="107" spans="1:20" x14ac:dyDescent="0.25">
      <c r="A107" s="23" t="s">
        <v>11700</v>
      </c>
      <c r="B107" s="23" t="s">
        <v>302</v>
      </c>
      <c r="C107" s="23" t="s">
        <v>11694</v>
      </c>
      <c r="D107" s="23" t="s">
        <v>11701</v>
      </c>
      <c r="E107" s="23" t="s">
        <v>11702</v>
      </c>
      <c r="F107" s="23" t="s">
        <v>40</v>
      </c>
      <c r="G107" s="23" t="s">
        <v>11703</v>
      </c>
      <c r="H107" s="23" t="s">
        <v>11704</v>
      </c>
      <c r="I107" s="23" t="s">
        <v>11705</v>
      </c>
      <c r="J107" s="23" t="s">
        <v>385</v>
      </c>
      <c r="K107" s="27" t="s">
        <v>404</v>
      </c>
      <c r="L107" s="23" t="s">
        <v>405</v>
      </c>
      <c r="M107" s="25" t="s">
        <v>18</v>
      </c>
      <c r="N107" s="23" t="s">
        <v>40</v>
      </c>
      <c r="O107" s="23" t="s">
        <v>387</v>
      </c>
      <c r="P107" s="23" t="s">
        <v>40</v>
      </c>
      <c r="Q107" s="23" t="s">
        <v>40</v>
      </c>
      <c r="R107" s="23" t="s">
        <v>303</v>
      </c>
      <c r="S107" s="23" t="s">
        <v>11706</v>
      </c>
      <c r="T107" s="23" t="s">
        <v>40</v>
      </c>
    </row>
    <row r="108" spans="1:20" x14ac:dyDescent="0.25">
      <c r="A108" s="23" t="s">
        <v>11707</v>
      </c>
      <c r="B108" s="23" t="s">
        <v>302</v>
      </c>
      <c r="C108" s="23" t="s">
        <v>11694</v>
      </c>
      <c r="D108" s="23" t="s">
        <v>11708</v>
      </c>
      <c r="E108" s="23" t="s">
        <v>3835</v>
      </c>
      <c r="F108" s="23" t="s">
        <v>40</v>
      </c>
      <c r="G108" s="23" t="s">
        <v>11709</v>
      </c>
      <c r="H108" s="23" t="s">
        <v>11710</v>
      </c>
      <c r="I108" s="23" t="s">
        <v>11711</v>
      </c>
      <c r="J108" s="23" t="s">
        <v>385</v>
      </c>
      <c r="K108" s="32" t="s">
        <v>747</v>
      </c>
      <c r="L108" s="23" t="s">
        <v>490</v>
      </c>
      <c r="M108" s="25" t="s">
        <v>18</v>
      </c>
      <c r="N108" s="23" t="s">
        <v>40</v>
      </c>
      <c r="O108" s="23" t="s">
        <v>387</v>
      </c>
      <c r="P108" s="23" t="s">
        <v>40</v>
      </c>
      <c r="Q108" s="23" t="s">
        <v>40</v>
      </c>
      <c r="R108" s="23" t="s">
        <v>303</v>
      </c>
      <c r="S108" s="23" t="s">
        <v>11712</v>
      </c>
      <c r="T108" s="23" t="s">
        <v>40</v>
      </c>
    </row>
    <row r="109" spans="1:20" x14ac:dyDescent="0.25">
      <c r="A109" s="23" t="s">
        <v>11713</v>
      </c>
      <c r="B109" s="23" t="s">
        <v>302</v>
      </c>
      <c r="C109" s="23" t="s">
        <v>801</v>
      </c>
      <c r="D109" s="23" t="s">
        <v>11714</v>
      </c>
      <c r="E109" s="23" t="s">
        <v>11715</v>
      </c>
      <c r="F109" s="23" t="s">
        <v>40</v>
      </c>
      <c r="G109" s="23" t="s">
        <v>11716</v>
      </c>
      <c r="H109" s="23" t="s">
        <v>11717</v>
      </c>
      <c r="I109" s="23" t="s">
        <v>11718</v>
      </c>
      <c r="J109" s="23" t="s">
        <v>801</v>
      </c>
      <c r="K109" s="24" t="s">
        <v>386</v>
      </c>
      <c r="L109" s="23" t="s">
        <v>405</v>
      </c>
      <c r="M109" s="25" t="s">
        <v>18</v>
      </c>
      <c r="N109" s="23" t="s">
        <v>40</v>
      </c>
      <c r="O109" s="23" t="s">
        <v>387</v>
      </c>
      <c r="P109" s="23" t="s">
        <v>40</v>
      </c>
      <c r="Q109" s="23" t="s">
        <v>40</v>
      </c>
      <c r="R109" s="23" t="s">
        <v>303</v>
      </c>
      <c r="S109" s="23" t="s">
        <v>1710</v>
      </c>
      <c r="T109" s="23" t="s">
        <v>5513</v>
      </c>
    </row>
    <row r="110" spans="1:20" x14ac:dyDescent="0.25">
      <c r="A110" s="23" t="s">
        <v>11719</v>
      </c>
      <c r="B110" s="23" t="s">
        <v>304</v>
      </c>
      <c r="C110" s="23" t="s">
        <v>944</v>
      </c>
      <c r="D110" s="23" t="s">
        <v>11720</v>
      </c>
      <c r="E110" s="23" t="s">
        <v>3835</v>
      </c>
      <c r="F110" s="23" t="s">
        <v>11721</v>
      </c>
      <c r="G110" s="23" t="s">
        <v>11722</v>
      </c>
      <c r="H110" s="23" t="s">
        <v>11723</v>
      </c>
      <c r="I110" s="23" t="s">
        <v>11724</v>
      </c>
      <c r="J110" s="23" t="s">
        <v>385</v>
      </c>
      <c r="K110" s="24" t="s">
        <v>386</v>
      </c>
      <c r="L110" s="23" t="s">
        <v>13</v>
      </c>
      <c r="M110" s="31" t="s">
        <v>17</v>
      </c>
      <c r="N110" s="23" t="s">
        <v>11725</v>
      </c>
      <c r="O110" s="29" t="s">
        <v>87</v>
      </c>
      <c r="P110" s="23" t="s">
        <v>40</v>
      </c>
      <c r="Q110" s="23" t="s">
        <v>40</v>
      </c>
      <c r="R110" s="23" t="s">
        <v>305</v>
      </c>
      <c r="S110" s="23" t="s">
        <v>40</v>
      </c>
      <c r="T110" s="23" t="s">
        <v>40</v>
      </c>
    </row>
    <row r="111" spans="1:20" x14ac:dyDescent="0.25">
      <c r="A111" s="23" t="s">
        <v>11726</v>
      </c>
      <c r="B111" s="23" t="s">
        <v>304</v>
      </c>
      <c r="C111" s="23" t="s">
        <v>2327</v>
      </c>
      <c r="D111" s="23" t="s">
        <v>11727</v>
      </c>
      <c r="E111" s="23" t="s">
        <v>3835</v>
      </c>
      <c r="F111" s="23" t="s">
        <v>11728</v>
      </c>
      <c r="G111" s="23" t="s">
        <v>11729</v>
      </c>
      <c r="H111" s="23" t="s">
        <v>11730</v>
      </c>
      <c r="I111" s="23" t="s">
        <v>11731</v>
      </c>
      <c r="J111" s="23" t="s">
        <v>14</v>
      </c>
      <c r="K111" s="26" t="s">
        <v>396</v>
      </c>
      <c r="L111" s="23" t="s">
        <v>13</v>
      </c>
      <c r="M111" s="25" t="s">
        <v>18</v>
      </c>
      <c r="N111" s="23" t="s">
        <v>40</v>
      </c>
      <c r="O111" s="23" t="s">
        <v>387</v>
      </c>
      <c r="P111" s="23" t="s">
        <v>40</v>
      </c>
      <c r="Q111" s="23" t="s">
        <v>40</v>
      </c>
      <c r="R111" s="23" t="s">
        <v>305</v>
      </c>
      <c r="S111" s="23" t="s">
        <v>1710</v>
      </c>
      <c r="T111" s="23" t="s">
        <v>40</v>
      </c>
    </row>
    <row r="112" spans="1:20" x14ac:dyDescent="0.25">
      <c r="A112" s="23" t="s">
        <v>11732</v>
      </c>
      <c r="B112" s="23" t="s">
        <v>304</v>
      </c>
      <c r="C112" s="23" t="s">
        <v>2327</v>
      </c>
      <c r="D112" s="23" t="s">
        <v>11733</v>
      </c>
      <c r="E112" s="23" t="s">
        <v>3835</v>
      </c>
      <c r="F112" s="23" t="s">
        <v>40</v>
      </c>
      <c r="G112" s="23" t="s">
        <v>11734</v>
      </c>
      <c r="H112" s="23" t="s">
        <v>11735</v>
      </c>
      <c r="I112" s="23" t="s">
        <v>10776</v>
      </c>
      <c r="J112" s="23" t="s">
        <v>466</v>
      </c>
      <c r="K112" s="27" t="s">
        <v>404</v>
      </c>
      <c r="L112" s="23" t="s">
        <v>405</v>
      </c>
      <c r="M112" s="25" t="s">
        <v>18</v>
      </c>
      <c r="N112" s="23" t="s">
        <v>40</v>
      </c>
      <c r="O112" s="23" t="s">
        <v>387</v>
      </c>
      <c r="P112" s="23" t="s">
        <v>40</v>
      </c>
      <c r="Q112" s="23" t="s">
        <v>40</v>
      </c>
      <c r="R112" s="23" t="s">
        <v>305</v>
      </c>
      <c r="S112" s="23" t="s">
        <v>11736</v>
      </c>
      <c r="T112" s="23" t="s">
        <v>40</v>
      </c>
    </row>
    <row r="113" spans="1:20" x14ac:dyDescent="0.25">
      <c r="A113" s="23" t="s">
        <v>11737</v>
      </c>
      <c r="B113" s="23" t="s">
        <v>304</v>
      </c>
      <c r="C113" s="23" t="s">
        <v>2327</v>
      </c>
      <c r="D113" s="23" t="s">
        <v>2159</v>
      </c>
      <c r="E113" s="23" t="s">
        <v>6287</v>
      </c>
      <c r="F113" s="23" t="s">
        <v>40</v>
      </c>
      <c r="G113" s="23" t="s">
        <v>11738</v>
      </c>
      <c r="H113" s="23" t="s">
        <v>11739</v>
      </c>
      <c r="I113" s="23" t="s">
        <v>10668</v>
      </c>
      <c r="J113" s="23" t="s">
        <v>15</v>
      </c>
      <c r="K113" s="27" t="s">
        <v>404</v>
      </c>
      <c r="L113" s="23" t="s">
        <v>490</v>
      </c>
      <c r="M113" s="25" t="s">
        <v>18</v>
      </c>
      <c r="N113" s="23" t="s">
        <v>40</v>
      </c>
      <c r="O113" s="23" t="s">
        <v>387</v>
      </c>
      <c r="P113" s="23" t="s">
        <v>40</v>
      </c>
      <c r="Q113" s="23" t="s">
        <v>40</v>
      </c>
      <c r="R113" s="23" t="s">
        <v>305</v>
      </c>
      <c r="S113" s="23" t="s">
        <v>1710</v>
      </c>
      <c r="T113" s="23" t="s">
        <v>40</v>
      </c>
    </row>
    <row r="114" spans="1:20" x14ac:dyDescent="0.25">
      <c r="A114" s="23" t="s">
        <v>11740</v>
      </c>
      <c r="B114" s="23" t="s">
        <v>304</v>
      </c>
      <c r="C114" s="23" t="s">
        <v>9877</v>
      </c>
      <c r="D114" s="23" t="s">
        <v>11741</v>
      </c>
      <c r="E114" s="23" t="s">
        <v>11742</v>
      </c>
      <c r="F114" s="23" t="s">
        <v>40</v>
      </c>
      <c r="G114" s="23" t="s">
        <v>11743</v>
      </c>
      <c r="H114" s="23" t="s">
        <v>11744</v>
      </c>
      <c r="I114" s="23" t="s">
        <v>11745</v>
      </c>
      <c r="J114" s="23" t="s">
        <v>15</v>
      </c>
      <c r="K114" s="27" t="s">
        <v>404</v>
      </c>
      <c r="L114" s="23" t="s">
        <v>405</v>
      </c>
      <c r="M114" s="25" t="s">
        <v>18</v>
      </c>
      <c r="N114" s="23" t="s">
        <v>40</v>
      </c>
      <c r="O114" s="23" t="s">
        <v>387</v>
      </c>
      <c r="P114" s="23" t="s">
        <v>40</v>
      </c>
      <c r="Q114" s="23" t="s">
        <v>40</v>
      </c>
      <c r="R114" s="23" t="s">
        <v>305</v>
      </c>
      <c r="S114" s="23" t="s">
        <v>1710</v>
      </c>
      <c r="T114" s="23" t="s">
        <v>5767</v>
      </c>
    </row>
    <row r="115" spans="1:20" x14ac:dyDescent="0.25">
      <c r="A115" s="23" t="s">
        <v>11746</v>
      </c>
      <c r="B115" s="23" t="s">
        <v>304</v>
      </c>
      <c r="C115" s="23" t="s">
        <v>9877</v>
      </c>
      <c r="D115" s="23" t="s">
        <v>11747</v>
      </c>
      <c r="E115" s="23" t="s">
        <v>11748</v>
      </c>
      <c r="F115" s="23" t="s">
        <v>40</v>
      </c>
      <c r="G115" s="23" t="s">
        <v>11749</v>
      </c>
      <c r="H115" s="23" t="s">
        <v>11750</v>
      </c>
      <c r="I115" s="23" t="s">
        <v>11751</v>
      </c>
      <c r="J115" s="23" t="s">
        <v>801</v>
      </c>
      <c r="K115" s="24" t="s">
        <v>386</v>
      </c>
      <c r="L115" s="23" t="s">
        <v>405</v>
      </c>
      <c r="M115" s="25" t="s">
        <v>18</v>
      </c>
      <c r="N115" s="23" t="s">
        <v>40</v>
      </c>
      <c r="O115" s="23" t="s">
        <v>387</v>
      </c>
      <c r="P115" s="23" t="s">
        <v>40</v>
      </c>
      <c r="Q115" s="23" t="s">
        <v>40</v>
      </c>
      <c r="R115" s="23" t="s">
        <v>305</v>
      </c>
      <c r="S115" s="23" t="s">
        <v>1710</v>
      </c>
      <c r="T115" s="23" t="s">
        <v>5817</v>
      </c>
    </row>
    <row r="116" spans="1:20" x14ac:dyDescent="0.25">
      <c r="A116" s="23" t="s">
        <v>11752</v>
      </c>
      <c r="B116" s="23" t="s">
        <v>304</v>
      </c>
      <c r="C116" s="23" t="s">
        <v>9877</v>
      </c>
      <c r="D116" s="23" t="s">
        <v>11753</v>
      </c>
      <c r="E116" s="23" t="s">
        <v>3835</v>
      </c>
      <c r="F116" s="23" t="s">
        <v>40</v>
      </c>
      <c r="G116" s="23" t="s">
        <v>11754</v>
      </c>
      <c r="H116" s="23" t="s">
        <v>11755</v>
      </c>
      <c r="I116" s="23" t="s">
        <v>11756</v>
      </c>
      <c r="J116" s="23" t="s">
        <v>14</v>
      </c>
      <c r="K116" s="27" t="s">
        <v>404</v>
      </c>
      <c r="L116" s="23" t="s">
        <v>490</v>
      </c>
      <c r="M116" s="25" t="s">
        <v>18</v>
      </c>
      <c r="N116" s="23" t="s">
        <v>40</v>
      </c>
      <c r="O116" s="23" t="s">
        <v>387</v>
      </c>
      <c r="P116" s="23" t="s">
        <v>40</v>
      </c>
      <c r="Q116" s="23" t="s">
        <v>40</v>
      </c>
      <c r="R116" s="23" t="s">
        <v>305</v>
      </c>
      <c r="S116" s="23" t="s">
        <v>1710</v>
      </c>
      <c r="T116" s="23" t="s">
        <v>40</v>
      </c>
    </row>
    <row r="117" spans="1:20" x14ac:dyDescent="0.25">
      <c r="A117" s="23" t="s">
        <v>11757</v>
      </c>
      <c r="B117" s="23" t="s">
        <v>304</v>
      </c>
      <c r="C117" s="23" t="s">
        <v>10405</v>
      </c>
      <c r="D117" s="23" t="s">
        <v>11758</v>
      </c>
      <c r="E117" s="23" t="s">
        <v>3835</v>
      </c>
      <c r="F117" s="23" t="s">
        <v>40</v>
      </c>
      <c r="G117" s="23" t="s">
        <v>11759</v>
      </c>
      <c r="H117" s="23" t="s">
        <v>11760</v>
      </c>
      <c r="I117" s="23" t="s">
        <v>11761</v>
      </c>
      <c r="J117" s="23" t="s">
        <v>385</v>
      </c>
      <c r="K117" s="32" t="s">
        <v>747</v>
      </c>
      <c r="L117" s="23" t="s">
        <v>490</v>
      </c>
      <c r="M117" s="25" t="s">
        <v>18</v>
      </c>
      <c r="N117" s="23" t="s">
        <v>40</v>
      </c>
      <c r="O117" s="23" t="s">
        <v>387</v>
      </c>
      <c r="P117" s="23" t="s">
        <v>40</v>
      </c>
      <c r="Q117" s="23" t="s">
        <v>40</v>
      </c>
      <c r="R117" s="23" t="s">
        <v>305</v>
      </c>
      <c r="S117" s="23" t="s">
        <v>11762</v>
      </c>
      <c r="T117" s="23" t="s">
        <v>40</v>
      </c>
    </row>
    <row r="118" spans="1:20" x14ac:dyDescent="0.25">
      <c r="A118" s="23" t="s">
        <v>11763</v>
      </c>
      <c r="B118" s="23" t="s">
        <v>306</v>
      </c>
      <c r="C118" s="23" t="s">
        <v>944</v>
      </c>
      <c r="D118" s="23" t="s">
        <v>11764</v>
      </c>
      <c r="E118" s="23" t="s">
        <v>3835</v>
      </c>
      <c r="F118" s="23" t="s">
        <v>11765</v>
      </c>
      <c r="G118" s="23" t="s">
        <v>11766</v>
      </c>
      <c r="H118" s="23" t="s">
        <v>11767</v>
      </c>
      <c r="I118" s="23" t="s">
        <v>11768</v>
      </c>
      <c r="J118" s="23" t="s">
        <v>385</v>
      </c>
      <c r="K118" s="24" t="s">
        <v>386</v>
      </c>
      <c r="L118" s="23" t="s">
        <v>13</v>
      </c>
      <c r="M118" s="31" t="s">
        <v>17</v>
      </c>
      <c r="N118" s="23" t="s">
        <v>11769</v>
      </c>
      <c r="O118" s="29" t="s">
        <v>87</v>
      </c>
      <c r="P118" s="23" t="s">
        <v>40</v>
      </c>
      <c r="Q118" s="23" t="s">
        <v>40</v>
      </c>
      <c r="R118" s="23" t="s">
        <v>307</v>
      </c>
      <c r="S118" s="23" t="s">
        <v>40</v>
      </c>
      <c r="T118" s="23" t="s">
        <v>40</v>
      </c>
    </row>
    <row r="119" spans="1:20" x14ac:dyDescent="0.25">
      <c r="A119" s="23" t="s">
        <v>11770</v>
      </c>
      <c r="B119" s="23" t="s">
        <v>306</v>
      </c>
      <c r="C119" s="23" t="s">
        <v>2327</v>
      </c>
      <c r="D119" s="23" t="s">
        <v>11771</v>
      </c>
      <c r="E119" s="23" t="s">
        <v>3835</v>
      </c>
      <c r="F119" s="23" t="s">
        <v>40</v>
      </c>
      <c r="G119" s="23" t="s">
        <v>11772</v>
      </c>
      <c r="H119" s="23" t="s">
        <v>11773</v>
      </c>
      <c r="I119" s="23" t="s">
        <v>2633</v>
      </c>
      <c r="J119" s="23" t="s">
        <v>14</v>
      </c>
      <c r="K119" s="26" t="s">
        <v>396</v>
      </c>
      <c r="L119" s="23" t="s">
        <v>13</v>
      </c>
      <c r="M119" s="25" t="s">
        <v>18</v>
      </c>
      <c r="N119" s="23" t="s">
        <v>40</v>
      </c>
      <c r="O119" s="23" t="s">
        <v>387</v>
      </c>
      <c r="P119" s="23" t="s">
        <v>40</v>
      </c>
      <c r="Q119" s="23" t="s">
        <v>40</v>
      </c>
      <c r="R119" s="23" t="s">
        <v>307</v>
      </c>
      <c r="S119" s="23" t="s">
        <v>1710</v>
      </c>
      <c r="T119" s="23" t="s">
        <v>40</v>
      </c>
    </row>
    <row r="120" spans="1:20" x14ac:dyDescent="0.25">
      <c r="A120" s="23" t="s">
        <v>11774</v>
      </c>
      <c r="B120" s="23" t="s">
        <v>306</v>
      </c>
      <c r="C120" s="23" t="s">
        <v>2327</v>
      </c>
      <c r="D120" s="23" t="s">
        <v>11775</v>
      </c>
      <c r="E120" s="23" t="s">
        <v>3835</v>
      </c>
      <c r="F120" s="23" t="s">
        <v>40</v>
      </c>
      <c r="G120" s="23" t="s">
        <v>11776</v>
      </c>
      <c r="H120" s="23" t="s">
        <v>11777</v>
      </c>
      <c r="I120" s="23" t="s">
        <v>466</v>
      </c>
      <c r="J120" s="23" t="s">
        <v>15</v>
      </c>
      <c r="K120" s="27" t="s">
        <v>404</v>
      </c>
      <c r="L120" s="23" t="s">
        <v>405</v>
      </c>
      <c r="M120" s="25" t="s">
        <v>18</v>
      </c>
      <c r="N120" s="23" t="s">
        <v>40</v>
      </c>
      <c r="O120" s="23" t="s">
        <v>387</v>
      </c>
      <c r="P120" s="23" t="s">
        <v>40</v>
      </c>
      <c r="Q120" s="23" t="s">
        <v>40</v>
      </c>
      <c r="R120" s="23" t="s">
        <v>307</v>
      </c>
      <c r="S120" s="23" t="s">
        <v>1710</v>
      </c>
      <c r="T120" s="23" t="s">
        <v>40</v>
      </c>
    </row>
    <row r="121" spans="1:20" x14ac:dyDescent="0.25">
      <c r="A121" s="23" t="s">
        <v>11778</v>
      </c>
      <c r="B121" s="23" t="s">
        <v>306</v>
      </c>
      <c r="C121" s="23" t="s">
        <v>2327</v>
      </c>
      <c r="D121" s="23" t="s">
        <v>11779</v>
      </c>
      <c r="E121" s="23" t="s">
        <v>3835</v>
      </c>
      <c r="F121" s="23" t="s">
        <v>40</v>
      </c>
      <c r="G121" s="23" t="s">
        <v>11780</v>
      </c>
      <c r="H121" s="23" t="s">
        <v>11781</v>
      </c>
      <c r="I121" s="23" t="s">
        <v>466</v>
      </c>
      <c r="J121" s="23" t="s">
        <v>466</v>
      </c>
      <c r="K121" s="27" t="s">
        <v>404</v>
      </c>
      <c r="L121" s="23" t="s">
        <v>490</v>
      </c>
      <c r="M121" s="25" t="s">
        <v>18</v>
      </c>
      <c r="N121" s="23" t="s">
        <v>40</v>
      </c>
      <c r="O121" s="23" t="s">
        <v>387</v>
      </c>
      <c r="P121" s="23" t="s">
        <v>40</v>
      </c>
      <c r="Q121" s="23" t="s">
        <v>40</v>
      </c>
      <c r="R121" s="23" t="s">
        <v>307</v>
      </c>
      <c r="S121" s="23" t="s">
        <v>1710</v>
      </c>
      <c r="T121" s="23" t="s">
        <v>40</v>
      </c>
    </row>
    <row r="122" spans="1:20" x14ac:dyDescent="0.25">
      <c r="A122" s="23" t="s">
        <v>11782</v>
      </c>
      <c r="B122" s="23" t="s">
        <v>306</v>
      </c>
      <c r="C122" s="23" t="s">
        <v>2363</v>
      </c>
      <c r="D122" s="23" t="s">
        <v>11783</v>
      </c>
      <c r="E122" s="23" t="s">
        <v>3835</v>
      </c>
      <c r="F122" s="23" t="s">
        <v>40</v>
      </c>
      <c r="G122" s="23" t="s">
        <v>11784</v>
      </c>
      <c r="H122" s="23" t="s">
        <v>11785</v>
      </c>
      <c r="I122" s="23" t="s">
        <v>11786</v>
      </c>
      <c r="J122" s="23" t="s">
        <v>14</v>
      </c>
      <c r="K122" s="24" t="s">
        <v>386</v>
      </c>
      <c r="L122" s="23" t="s">
        <v>405</v>
      </c>
      <c r="M122" s="25" t="s">
        <v>18</v>
      </c>
      <c r="N122" s="23" t="s">
        <v>40</v>
      </c>
      <c r="O122" s="23" t="s">
        <v>387</v>
      </c>
      <c r="P122" s="23" t="s">
        <v>40</v>
      </c>
      <c r="Q122" s="23" t="s">
        <v>40</v>
      </c>
      <c r="R122" s="23" t="s">
        <v>307</v>
      </c>
      <c r="S122" s="23" t="s">
        <v>11787</v>
      </c>
      <c r="T122" s="23" t="s">
        <v>40</v>
      </c>
    </row>
    <row r="123" spans="1:20" x14ac:dyDescent="0.25">
      <c r="A123" s="23" t="s">
        <v>11788</v>
      </c>
      <c r="B123" s="23" t="s">
        <v>306</v>
      </c>
      <c r="C123" s="23" t="s">
        <v>9877</v>
      </c>
      <c r="D123" s="23" t="s">
        <v>11789</v>
      </c>
      <c r="E123" s="23" t="s">
        <v>3835</v>
      </c>
      <c r="F123" s="23" t="s">
        <v>40</v>
      </c>
      <c r="G123" s="23" t="s">
        <v>11790</v>
      </c>
      <c r="H123" s="23" t="s">
        <v>11791</v>
      </c>
      <c r="I123" s="23" t="s">
        <v>11792</v>
      </c>
      <c r="J123" s="23" t="s">
        <v>14</v>
      </c>
      <c r="K123" s="27" t="s">
        <v>404</v>
      </c>
      <c r="L123" s="23" t="s">
        <v>490</v>
      </c>
      <c r="M123" s="25" t="s">
        <v>18</v>
      </c>
      <c r="N123" s="23" t="s">
        <v>40</v>
      </c>
      <c r="O123" s="23" t="s">
        <v>387</v>
      </c>
      <c r="P123" s="23" t="s">
        <v>40</v>
      </c>
      <c r="Q123" s="23" t="s">
        <v>40</v>
      </c>
      <c r="R123" s="23" t="s">
        <v>307</v>
      </c>
      <c r="S123" s="23" t="s">
        <v>1710</v>
      </c>
      <c r="T123" s="23" t="s">
        <v>40</v>
      </c>
    </row>
    <row r="124" spans="1:20" x14ac:dyDescent="0.25">
      <c r="A124" s="23" t="s">
        <v>11793</v>
      </c>
      <c r="B124" s="23" t="s">
        <v>308</v>
      </c>
      <c r="C124" s="23" t="s">
        <v>944</v>
      </c>
      <c r="D124" s="23" t="s">
        <v>11794</v>
      </c>
      <c r="E124" s="23" t="s">
        <v>3835</v>
      </c>
      <c r="F124" s="23" t="s">
        <v>11795</v>
      </c>
      <c r="G124" s="23" t="s">
        <v>11796</v>
      </c>
      <c r="H124" s="23" t="s">
        <v>11797</v>
      </c>
      <c r="I124" s="23" t="s">
        <v>11798</v>
      </c>
      <c r="J124" s="23" t="s">
        <v>385</v>
      </c>
      <c r="K124" s="24" t="s">
        <v>386</v>
      </c>
      <c r="L124" s="23" t="s">
        <v>13</v>
      </c>
      <c r="M124" s="31" t="s">
        <v>17</v>
      </c>
      <c r="N124" s="23" t="s">
        <v>11799</v>
      </c>
      <c r="O124" s="29" t="s">
        <v>87</v>
      </c>
      <c r="P124" s="23" t="s">
        <v>40</v>
      </c>
      <c r="Q124" s="23" t="s">
        <v>40</v>
      </c>
      <c r="R124" s="23" t="s">
        <v>309</v>
      </c>
      <c r="S124" s="23" t="s">
        <v>40</v>
      </c>
      <c r="T124" s="23" t="s">
        <v>40</v>
      </c>
    </row>
    <row r="125" spans="1:20" x14ac:dyDescent="0.25">
      <c r="A125" s="23" t="s">
        <v>11800</v>
      </c>
      <c r="B125" s="23" t="s">
        <v>308</v>
      </c>
      <c r="C125" s="23" t="s">
        <v>2327</v>
      </c>
      <c r="D125" s="23" t="s">
        <v>11801</v>
      </c>
      <c r="E125" s="23" t="s">
        <v>11802</v>
      </c>
      <c r="F125" s="23" t="s">
        <v>40</v>
      </c>
      <c r="G125" s="23" t="s">
        <v>11803</v>
      </c>
      <c r="H125" s="23" t="s">
        <v>11804</v>
      </c>
      <c r="I125" s="23" t="s">
        <v>11805</v>
      </c>
      <c r="J125" s="23" t="s">
        <v>14</v>
      </c>
      <c r="K125" s="26" t="s">
        <v>396</v>
      </c>
      <c r="L125" s="23" t="s">
        <v>13</v>
      </c>
      <c r="M125" s="25" t="s">
        <v>18</v>
      </c>
      <c r="N125" s="23" t="s">
        <v>40</v>
      </c>
      <c r="O125" s="23" t="s">
        <v>387</v>
      </c>
      <c r="P125" s="23" t="s">
        <v>40</v>
      </c>
      <c r="Q125" s="23" t="s">
        <v>40</v>
      </c>
      <c r="R125" s="23" t="s">
        <v>309</v>
      </c>
      <c r="S125" s="23" t="s">
        <v>1710</v>
      </c>
      <c r="T125" s="23" t="s">
        <v>40</v>
      </c>
    </row>
    <row r="126" spans="1:20" x14ac:dyDescent="0.25">
      <c r="A126" s="23" t="s">
        <v>11806</v>
      </c>
      <c r="B126" s="23" t="s">
        <v>308</v>
      </c>
      <c r="C126" s="23" t="s">
        <v>466</v>
      </c>
      <c r="D126" s="23" t="s">
        <v>11807</v>
      </c>
      <c r="E126" s="23" t="s">
        <v>3835</v>
      </c>
      <c r="F126" s="23" t="s">
        <v>40</v>
      </c>
      <c r="G126" s="23" t="s">
        <v>11808</v>
      </c>
      <c r="H126" s="23" t="s">
        <v>11809</v>
      </c>
      <c r="I126" s="23" t="s">
        <v>10776</v>
      </c>
      <c r="J126" s="23" t="s">
        <v>466</v>
      </c>
      <c r="K126" s="24" t="s">
        <v>386</v>
      </c>
      <c r="L126" s="23" t="s">
        <v>13</v>
      </c>
      <c r="M126" s="25" t="s">
        <v>18</v>
      </c>
      <c r="N126" s="23" t="s">
        <v>40</v>
      </c>
      <c r="O126" s="23" t="s">
        <v>387</v>
      </c>
      <c r="P126" s="23" t="s">
        <v>40</v>
      </c>
      <c r="Q126" s="23" t="s">
        <v>40</v>
      </c>
      <c r="R126" s="23" t="s">
        <v>309</v>
      </c>
      <c r="S126" s="23" t="s">
        <v>1710</v>
      </c>
      <c r="T126" s="23" t="s">
        <v>40</v>
      </c>
    </row>
    <row r="127" spans="1:20" x14ac:dyDescent="0.25">
      <c r="A127" s="23" t="s">
        <v>11810</v>
      </c>
      <c r="B127" s="23" t="s">
        <v>308</v>
      </c>
      <c r="C127" s="23" t="s">
        <v>466</v>
      </c>
      <c r="D127" s="23" t="s">
        <v>11811</v>
      </c>
      <c r="E127" s="23" t="s">
        <v>3835</v>
      </c>
      <c r="F127" s="23" t="s">
        <v>40</v>
      </c>
      <c r="G127" s="23" t="s">
        <v>11812</v>
      </c>
      <c r="H127" s="23" t="s">
        <v>11813</v>
      </c>
      <c r="I127" s="23" t="s">
        <v>11814</v>
      </c>
      <c r="J127" s="23" t="s">
        <v>489</v>
      </c>
      <c r="K127" s="27" t="s">
        <v>404</v>
      </c>
      <c r="L127" s="23" t="s">
        <v>405</v>
      </c>
      <c r="M127" s="25" t="s">
        <v>18</v>
      </c>
      <c r="N127" s="23" t="s">
        <v>40</v>
      </c>
      <c r="O127" s="23" t="s">
        <v>387</v>
      </c>
      <c r="P127" s="23" t="s">
        <v>40</v>
      </c>
      <c r="Q127" s="23" t="s">
        <v>40</v>
      </c>
      <c r="R127" s="23" t="s">
        <v>309</v>
      </c>
      <c r="S127" s="23" t="s">
        <v>1710</v>
      </c>
      <c r="T127" s="23" t="s">
        <v>5268</v>
      </c>
    </row>
    <row r="128" spans="1:20" x14ac:dyDescent="0.25">
      <c r="A128" s="23" t="s">
        <v>11815</v>
      </c>
      <c r="B128" s="23" t="s">
        <v>308</v>
      </c>
      <c r="C128" s="23" t="s">
        <v>466</v>
      </c>
      <c r="D128" s="23" t="s">
        <v>11816</v>
      </c>
      <c r="E128" s="23" t="s">
        <v>11817</v>
      </c>
      <c r="F128" s="23" t="s">
        <v>40</v>
      </c>
      <c r="G128" s="23" t="s">
        <v>11818</v>
      </c>
      <c r="H128" s="23" t="s">
        <v>11819</v>
      </c>
      <c r="I128" s="23" t="s">
        <v>11820</v>
      </c>
      <c r="J128" s="23" t="s">
        <v>15</v>
      </c>
      <c r="K128" s="27" t="s">
        <v>404</v>
      </c>
      <c r="L128" s="23" t="s">
        <v>405</v>
      </c>
      <c r="M128" s="25" t="s">
        <v>18</v>
      </c>
      <c r="N128" s="23" t="s">
        <v>40</v>
      </c>
      <c r="O128" s="23" t="s">
        <v>387</v>
      </c>
      <c r="P128" s="23" t="s">
        <v>40</v>
      </c>
      <c r="Q128" s="23" t="s">
        <v>40</v>
      </c>
      <c r="R128" s="23" t="s">
        <v>309</v>
      </c>
      <c r="S128" s="23" t="s">
        <v>1710</v>
      </c>
      <c r="T128" s="23" t="s">
        <v>40</v>
      </c>
    </row>
    <row r="129" spans="1:20" x14ac:dyDescent="0.25">
      <c r="A129" s="23" t="s">
        <v>11821</v>
      </c>
      <c r="B129" s="23" t="s">
        <v>308</v>
      </c>
      <c r="C129" s="23" t="s">
        <v>3</v>
      </c>
      <c r="D129" s="23" t="s">
        <v>11822</v>
      </c>
      <c r="E129" s="23" t="s">
        <v>3835</v>
      </c>
      <c r="F129" s="23" t="s">
        <v>40</v>
      </c>
      <c r="G129" s="23" t="s">
        <v>11823</v>
      </c>
      <c r="H129" s="23" t="s">
        <v>11824</v>
      </c>
      <c r="I129" s="23" t="s">
        <v>11825</v>
      </c>
      <c r="J129" s="23" t="s">
        <v>385</v>
      </c>
      <c r="K129" s="27" t="s">
        <v>404</v>
      </c>
      <c r="L129" s="23" t="s">
        <v>405</v>
      </c>
      <c r="M129" s="25" t="s">
        <v>18</v>
      </c>
      <c r="N129" s="23" t="s">
        <v>40</v>
      </c>
      <c r="O129" s="23" t="s">
        <v>387</v>
      </c>
      <c r="P129" s="23" t="s">
        <v>40</v>
      </c>
      <c r="Q129" s="23" t="s">
        <v>40</v>
      </c>
      <c r="R129" s="23" t="s">
        <v>309</v>
      </c>
      <c r="S129" s="23" t="s">
        <v>1710</v>
      </c>
      <c r="T129" s="23" t="s">
        <v>40</v>
      </c>
    </row>
    <row r="130" spans="1:20" x14ac:dyDescent="0.25">
      <c r="A130" s="23" t="s">
        <v>11826</v>
      </c>
      <c r="B130" s="23" t="s">
        <v>308</v>
      </c>
      <c r="C130" s="23" t="s">
        <v>11827</v>
      </c>
      <c r="D130" s="23" t="s">
        <v>11828</v>
      </c>
      <c r="E130" s="23" t="s">
        <v>11829</v>
      </c>
      <c r="F130" s="23" t="s">
        <v>40</v>
      </c>
      <c r="G130" s="23" t="s">
        <v>11830</v>
      </c>
      <c r="H130" s="23" t="s">
        <v>11831</v>
      </c>
      <c r="I130" s="23" t="s">
        <v>11832</v>
      </c>
      <c r="J130" s="23" t="s">
        <v>801</v>
      </c>
      <c r="K130" s="26" t="s">
        <v>396</v>
      </c>
      <c r="L130" s="23" t="s">
        <v>13</v>
      </c>
      <c r="M130" s="25" t="s">
        <v>18</v>
      </c>
      <c r="N130" s="23" t="s">
        <v>40</v>
      </c>
      <c r="O130" s="23" t="s">
        <v>387</v>
      </c>
      <c r="P130" s="23" t="s">
        <v>40</v>
      </c>
      <c r="Q130" s="23" t="s">
        <v>40</v>
      </c>
      <c r="R130" s="23" t="s">
        <v>309</v>
      </c>
      <c r="S130" s="23" t="s">
        <v>1710</v>
      </c>
      <c r="T130" s="23" t="s">
        <v>40</v>
      </c>
    </row>
    <row r="131" spans="1:20" x14ac:dyDescent="0.25">
      <c r="A131" s="23" t="s">
        <v>11833</v>
      </c>
      <c r="B131" s="23" t="s">
        <v>308</v>
      </c>
      <c r="C131" s="23" t="s">
        <v>11827</v>
      </c>
      <c r="D131" s="23" t="s">
        <v>11834</v>
      </c>
      <c r="E131" s="23" t="s">
        <v>11835</v>
      </c>
      <c r="F131" s="23" t="s">
        <v>40</v>
      </c>
      <c r="G131" s="23" t="s">
        <v>11836</v>
      </c>
      <c r="H131" s="23" t="s">
        <v>11837</v>
      </c>
      <c r="I131" s="23" t="s">
        <v>11838</v>
      </c>
      <c r="J131" s="23" t="s">
        <v>801</v>
      </c>
      <c r="K131" s="24" t="s">
        <v>386</v>
      </c>
      <c r="L131" s="23" t="s">
        <v>405</v>
      </c>
      <c r="M131" s="25" t="s">
        <v>18</v>
      </c>
      <c r="N131" s="23" t="s">
        <v>40</v>
      </c>
      <c r="O131" s="23" t="s">
        <v>387</v>
      </c>
      <c r="P131" s="23" t="s">
        <v>40</v>
      </c>
      <c r="Q131" s="23" t="s">
        <v>40</v>
      </c>
      <c r="R131" s="23" t="s">
        <v>309</v>
      </c>
      <c r="S131" s="23" t="s">
        <v>1710</v>
      </c>
      <c r="T131" s="23" t="s">
        <v>40</v>
      </c>
    </row>
    <row r="132" spans="1:20" x14ac:dyDescent="0.25">
      <c r="A132" s="23" t="s">
        <v>11839</v>
      </c>
      <c r="B132" s="23" t="s">
        <v>308</v>
      </c>
      <c r="C132" s="23" t="s">
        <v>2384</v>
      </c>
      <c r="D132" s="23" t="s">
        <v>11840</v>
      </c>
      <c r="E132" s="23" t="s">
        <v>11841</v>
      </c>
      <c r="F132" s="23" t="s">
        <v>40</v>
      </c>
      <c r="G132" s="23" t="s">
        <v>11836</v>
      </c>
      <c r="H132" s="23" t="s">
        <v>11842</v>
      </c>
      <c r="I132" s="23" t="s">
        <v>11843</v>
      </c>
      <c r="J132" s="23" t="s">
        <v>15</v>
      </c>
      <c r="K132" s="27" t="s">
        <v>404</v>
      </c>
      <c r="L132" s="23" t="s">
        <v>405</v>
      </c>
      <c r="M132" s="25" t="s">
        <v>18</v>
      </c>
      <c r="N132" s="23" t="s">
        <v>40</v>
      </c>
      <c r="O132" s="23" t="s">
        <v>387</v>
      </c>
      <c r="P132" s="23" t="s">
        <v>40</v>
      </c>
      <c r="Q132" s="23" t="s">
        <v>40</v>
      </c>
      <c r="R132" s="23" t="s">
        <v>309</v>
      </c>
      <c r="S132" s="23" t="s">
        <v>1710</v>
      </c>
      <c r="T132" s="23" t="s">
        <v>40</v>
      </c>
    </row>
    <row r="133" spans="1:20" x14ac:dyDescent="0.25">
      <c r="A133" s="23" t="s">
        <v>11844</v>
      </c>
      <c r="B133" s="23" t="s">
        <v>308</v>
      </c>
      <c r="C133" s="23" t="s">
        <v>9864</v>
      </c>
      <c r="D133" s="23" t="s">
        <v>11845</v>
      </c>
      <c r="E133" s="23" t="s">
        <v>11846</v>
      </c>
      <c r="F133" s="23" t="s">
        <v>40</v>
      </c>
      <c r="G133" s="23" t="s">
        <v>11847</v>
      </c>
      <c r="H133" s="23" t="s">
        <v>11848</v>
      </c>
      <c r="I133" s="23" t="s">
        <v>11849</v>
      </c>
      <c r="J133" s="23" t="s">
        <v>801</v>
      </c>
      <c r="K133" s="24" t="s">
        <v>386</v>
      </c>
      <c r="L133" s="23" t="s">
        <v>405</v>
      </c>
      <c r="M133" s="25" t="s">
        <v>18</v>
      </c>
      <c r="N133" s="23" t="s">
        <v>40</v>
      </c>
      <c r="O133" s="23" t="s">
        <v>387</v>
      </c>
      <c r="P133" s="23" t="s">
        <v>40</v>
      </c>
      <c r="Q133" s="23" t="s">
        <v>40</v>
      </c>
      <c r="R133" s="23" t="s">
        <v>309</v>
      </c>
      <c r="S133" s="23" t="s">
        <v>1710</v>
      </c>
      <c r="T133" s="23" t="s">
        <v>40</v>
      </c>
    </row>
    <row r="134" spans="1:20" x14ac:dyDescent="0.25">
      <c r="A134" s="23" t="s">
        <v>11850</v>
      </c>
      <c r="B134" s="23" t="s">
        <v>308</v>
      </c>
      <c r="C134" s="23" t="s">
        <v>9877</v>
      </c>
      <c r="D134" s="23" t="s">
        <v>11851</v>
      </c>
      <c r="E134" s="23" t="s">
        <v>3835</v>
      </c>
      <c r="F134" s="23" t="s">
        <v>40</v>
      </c>
      <c r="G134" s="23" t="s">
        <v>11852</v>
      </c>
      <c r="H134" s="23" t="s">
        <v>11853</v>
      </c>
      <c r="I134" s="23" t="s">
        <v>11854</v>
      </c>
      <c r="J134" s="23" t="s">
        <v>14</v>
      </c>
      <c r="K134" s="27" t="s">
        <v>404</v>
      </c>
      <c r="L134" s="23" t="s">
        <v>490</v>
      </c>
      <c r="M134" s="25" t="s">
        <v>18</v>
      </c>
      <c r="N134" s="23" t="s">
        <v>40</v>
      </c>
      <c r="O134" s="23" t="s">
        <v>387</v>
      </c>
      <c r="P134" s="23" t="s">
        <v>40</v>
      </c>
      <c r="Q134" s="23" t="s">
        <v>40</v>
      </c>
      <c r="R134" s="23" t="s">
        <v>309</v>
      </c>
      <c r="S134" s="23" t="s">
        <v>1710</v>
      </c>
      <c r="T134" s="23" t="s">
        <v>40</v>
      </c>
    </row>
    <row r="135" spans="1:20" x14ac:dyDescent="0.25">
      <c r="A135" s="23" t="s">
        <v>11855</v>
      </c>
      <c r="B135" s="23" t="s">
        <v>310</v>
      </c>
      <c r="C135" s="23" t="s">
        <v>944</v>
      </c>
      <c r="D135" s="23" t="s">
        <v>11856</v>
      </c>
      <c r="E135" s="23" t="s">
        <v>3835</v>
      </c>
      <c r="F135" s="23" t="s">
        <v>11857</v>
      </c>
      <c r="G135" s="23" t="s">
        <v>11858</v>
      </c>
      <c r="H135" s="23" t="s">
        <v>11859</v>
      </c>
      <c r="I135" s="23" t="s">
        <v>11860</v>
      </c>
      <c r="J135" s="23" t="s">
        <v>385</v>
      </c>
      <c r="K135" s="24" t="s">
        <v>386</v>
      </c>
      <c r="L135" s="23" t="s">
        <v>13</v>
      </c>
      <c r="M135" s="31" t="s">
        <v>17</v>
      </c>
      <c r="N135" s="23" t="s">
        <v>11861</v>
      </c>
      <c r="O135" s="29" t="s">
        <v>87</v>
      </c>
      <c r="P135" s="23" t="s">
        <v>40</v>
      </c>
      <c r="Q135" s="23" t="s">
        <v>40</v>
      </c>
      <c r="R135" s="23" t="s">
        <v>311</v>
      </c>
      <c r="S135" s="23" t="s">
        <v>40</v>
      </c>
      <c r="T135" s="23" t="s">
        <v>40</v>
      </c>
    </row>
    <row r="136" spans="1:20" x14ac:dyDescent="0.25">
      <c r="A136" s="23" t="s">
        <v>11862</v>
      </c>
      <c r="B136" s="23" t="s">
        <v>310</v>
      </c>
      <c r="C136" s="23" t="s">
        <v>11863</v>
      </c>
      <c r="D136" s="23" t="s">
        <v>11864</v>
      </c>
      <c r="E136" s="23" t="s">
        <v>3835</v>
      </c>
      <c r="F136" s="23" t="s">
        <v>40</v>
      </c>
      <c r="G136" s="23" t="s">
        <v>11865</v>
      </c>
      <c r="H136" s="23" t="s">
        <v>11866</v>
      </c>
      <c r="I136" s="23" t="s">
        <v>11867</v>
      </c>
      <c r="J136" s="23" t="s">
        <v>385</v>
      </c>
      <c r="K136" s="24" t="s">
        <v>386</v>
      </c>
      <c r="L136" s="23" t="s">
        <v>13</v>
      </c>
      <c r="M136" s="25" t="s">
        <v>18</v>
      </c>
      <c r="N136" s="23" t="s">
        <v>40</v>
      </c>
      <c r="O136" s="23" t="s">
        <v>387</v>
      </c>
      <c r="P136" s="23" t="s">
        <v>40</v>
      </c>
      <c r="Q136" s="23" t="s">
        <v>40</v>
      </c>
      <c r="R136" s="23" t="s">
        <v>311</v>
      </c>
      <c r="S136" s="23" t="s">
        <v>1710</v>
      </c>
      <c r="T136" s="23" t="s">
        <v>40</v>
      </c>
    </row>
    <row r="137" spans="1:20" x14ac:dyDescent="0.25">
      <c r="A137" s="23" t="s">
        <v>11868</v>
      </c>
      <c r="B137" s="23" t="s">
        <v>310</v>
      </c>
      <c r="C137" s="23" t="s">
        <v>11863</v>
      </c>
      <c r="D137" s="23" t="s">
        <v>11869</v>
      </c>
      <c r="E137" s="23" t="s">
        <v>11870</v>
      </c>
      <c r="F137" s="23" t="s">
        <v>40</v>
      </c>
      <c r="G137" s="23" t="s">
        <v>11871</v>
      </c>
      <c r="H137" s="23" t="s">
        <v>11872</v>
      </c>
      <c r="I137" s="23" t="s">
        <v>11873</v>
      </c>
      <c r="J137" s="23" t="s">
        <v>14</v>
      </c>
      <c r="K137" s="24" t="s">
        <v>386</v>
      </c>
      <c r="L137" s="23" t="s">
        <v>405</v>
      </c>
      <c r="M137" s="25" t="s">
        <v>18</v>
      </c>
      <c r="N137" s="23" t="s">
        <v>40</v>
      </c>
      <c r="O137" s="23" t="s">
        <v>387</v>
      </c>
      <c r="P137" s="23" t="s">
        <v>40</v>
      </c>
      <c r="Q137" s="23" t="s">
        <v>40</v>
      </c>
      <c r="R137" s="23" t="s">
        <v>311</v>
      </c>
      <c r="S137" s="23" t="s">
        <v>1710</v>
      </c>
      <c r="T137" s="23" t="s">
        <v>40</v>
      </c>
    </row>
    <row r="138" spans="1:20" x14ac:dyDescent="0.25">
      <c r="A138" s="23" t="s">
        <v>11874</v>
      </c>
      <c r="B138" s="23" t="s">
        <v>310</v>
      </c>
      <c r="C138" s="23" t="s">
        <v>11875</v>
      </c>
      <c r="D138" s="23" t="s">
        <v>11876</v>
      </c>
      <c r="E138" s="23" t="s">
        <v>3835</v>
      </c>
      <c r="F138" s="23" t="s">
        <v>40</v>
      </c>
      <c r="G138" s="23" t="s">
        <v>11877</v>
      </c>
      <c r="H138" s="23" t="s">
        <v>11878</v>
      </c>
      <c r="I138" s="23" t="s">
        <v>11879</v>
      </c>
      <c r="J138" s="23" t="s">
        <v>14</v>
      </c>
      <c r="K138" s="24" t="s">
        <v>386</v>
      </c>
      <c r="L138" s="23" t="s">
        <v>405</v>
      </c>
      <c r="M138" s="25" t="s">
        <v>18</v>
      </c>
      <c r="N138" s="23" t="s">
        <v>40</v>
      </c>
      <c r="O138" s="23" t="s">
        <v>387</v>
      </c>
      <c r="P138" s="23" t="s">
        <v>40</v>
      </c>
      <c r="Q138" s="23" t="s">
        <v>40</v>
      </c>
      <c r="R138" s="23" t="s">
        <v>311</v>
      </c>
      <c r="S138" s="23" t="s">
        <v>1710</v>
      </c>
      <c r="T138" s="23" t="s">
        <v>40</v>
      </c>
    </row>
    <row r="139" spans="1:20" x14ac:dyDescent="0.25">
      <c r="A139" s="23" t="s">
        <v>11880</v>
      </c>
      <c r="B139" s="23" t="s">
        <v>310</v>
      </c>
      <c r="C139" s="23" t="s">
        <v>346</v>
      </c>
      <c r="D139" s="23" t="s">
        <v>11881</v>
      </c>
      <c r="E139" s="23" t="s">
        <v>3835</v>
      </c>
      <c r="F139" s="23" t="s">
        <v>40</v>
      </c>
      <c r="G139" s="23" t="s">
        <v>11882</v>
      </c>
      <c r="H139" s="23" t="s">
        <v>11883</v>
      </c>
      <c r="I139" s="23" t="s">
        <v>11884</v>
      </c>
      <c r="J139" s="23" t="s">
        <v>14</v>
      </c>
      <c r="K139" s="24" t="s">
        <v>386</v>
      </c>
      <c r="L139" s="23" t="s">
        <v>405</v>
      </c>
      <c r="M139" s="25" t="s">
        <v>18</v>
      </c>
      <c r="N139" s="23" t="s">
        <v>40</v>
      </c>
      <c r="O139" s="23" t="s">
        <v>387</v>
      </c>
      <c r="P139" s="23" t="s">
        <v>40</v>
      </c>
      <c r="Q139" s="23" t="s">
        <v>40</v>
      </c>
      <c r="R139" s="23" t="s">
        <v>311</v>
      </c>
      <c r="S139" s="23" t="s">
        <v>1710</v>
      </c>
      <c r="T139" s="23" t="s">
        <v>40</v>
      </c>
    </row>
    <row r="140" spans="1:20" x14ac:dyDescent="0.25">
      <c r="A140" s="23" t="s">
        <v>11885</v>
      </c>
      <c r="B140" s="23" t="s">
        <v>310</v>
      </c>
      <c r="C140" s="23" t="s">
        <v>346</v>
      </c>
      <c r="D140" s="23" t="s">
        <v>11886</v>
      </c>
      <c r="E140" s="23" t="s">
        <v>3835</v>
      </c>
      <c r="F140" s="23" t="s">
        <v>40</v>
      </c>
      <c r="G140" s="23" t="s">
        <v>11887</v>
      </c>
      <c r="H140" s="23" t="s">
        <v>11888</v>
      </c>
      <c r="I140" s="23" t="s">
        <v>6120</v>
      </c>
      <c r="J140" s="23" t="s">
        <v>466</v>
      </c>
      <c r="K140" s="27" t="s">
        <v>404</v>
      </c>
      <c r="L140" s="23" t="s">
        <v>490</v>
      </c>
      <c r="M140" s="25" t="s">
        <v>18</v>
      </c>
      <c r="N140" s="23" t="s">
        <v>40</v>
      </c>
      <c r="O140" s="23" t="s">
        <v>387</v>
      </c>
      <c r="P140" s="23" t="s">
        <v>40</v>
      </c>
      <c r="Q140" s="23" t="s">
        <v>40</v>
      </c>
      <c r="R140" s="23" t="s">
        <v>311</v>
      </c>
      <c r="S140" s="23" t="s">
        <v>1710</v>
      </c>
      <c r="T140" s="23" t="s">
        <v>11889</v>
      </c>
    </row>
    <row r="141" spans="1:20" x14ac:dyDescent="0.25">
      <c r="A141" s="23" t="s">
        <v>11890</v>
      </c>
      <c r="B141" s="23" t="s">
        <v>310</v>
      </c>
      <c r="C141" s="23" t="s">
        <v>9161</v>
      </c>
      <c r="D141" s="23" t="s">
        <v>11891</v>
      </c>
      <c r="E141" s="23" t="s">
        <v>3835</v>
      </c>
      <c r="F141" s="23" t="s">
        <v>40</v>
      </c>
      <c r="G141" s="23" t="s">
        <v>11892</v>
      </c>
      <c r="H141" s="23" t="s">
        <v>11893</v>
      </c>
      <c r="I141" s="23" t="s">
        <v>11894</v>
      </c>
      <c r="J141" s="23" t="s">
        <v>385</v>
      </c>
      <c r="K141" s="27" t="s">
        <v>404</v>
      </c>
      <c r="L141" s="23" t="s">
        <v>405</v>
      </c>
      <c r="M141" s="25" t="s">
        <v>18</v>
      </c>
      <c r="N141" s="23" t="s">
        <v>40</v>
      </c>
      <c r="O141" s="23" t="s">
        <v>387</v>
      </c>
      <c r="P141" s="23" t="s">
        <v>40</v>
      </c>
      <c r="Q141" s="23" t="s">
        <v>40</v>
      </c>
      <c r="R141" s="23" t="s">
        <v>311</v>
      </c>
      <c r="S141" s="23" t="s">
        <v>1710</v>
      </c>
      <c r="T141" s="23" t="s">
        <v>40</v>
      </c>
    </row>
    <row r="142" spans="1:20" x14ac:dyDescent="0.25">
      <c r="A142" s="23" t="s">
        <v>11895</v>
      </c>
      <c r="B142" s="23" t="s">
        <v>310</v>
      </c>
      <c r="C142" s="23" t="s">
        <v>466</v>
      </c>
      <c r="D142" s="23" t="s">
        <v>11896</v>
      </c>
      <c r="E142" s="23" t="s">
        <v>3835</v>
      </c>
      <c r="F142" s="23" t="s">
        <v>40</v>
      </c>
      <c r="G142" s="23" t="s">
        <v>11897</v>
      </c>
      <c r="H142" s="23" t="s">
        <v>11898</v>
      </c>
      <c r="I142" s="23" t="s">
        <v>3984</v>
      </c>
      <c r="J142" s="23" t="s">
        <v>489</v>
      </c>
      <c r="K142" s="27" t="s">
        <v>404</v>
      </c>
      <c r="L142" s="23" t="s">
        <v>490</v>
      </c>
      <c r="M142" s="25" t="s">
        <v>18</v>
      </c>
      <c r="N142" s="23" t="s">
        <v>40</v>
      </c>
      <c r="O142" s="23" t="s">
        <v>387</v>
      </c>
      <c r="P142" s="23" t="s">
        <v>40</v>
      </c>
      <c r="Q142" s="23" t="s">
        <v>40</v>
      </c>
      <c r="R142" s="23" t="s">
        <v>311</v>
      </c>
      <c r="S142" s="23" t="s">
        <v>1710</v>
      </c>
      <c r="T142" s="23" t="s">
        <v>40</v>
      </c>
    </row>
    <row r="143" spans="1:20" x14ac:dyDescent="0.25">
      <c r="A143" s="23" t="s">
        <v>11899</v>
      </c>
      <c r="B143" s="23" t="s">
        <v>312</v>
      </c>
      <c r="C143" s="23" t="s">
        <v>944</v>
      </c>
      <c r="D143" s="23" t="s">
        <v>11900</v>
      </c>
      <c r="E143" s="23" t="s">
        <v>3835</v>
      </c>
      <c r="F143" s="23" t="s">
        <v>11901</v>
      </c>
      <c r="G143" s="23" t="s">
        <v>11902</v>
      </c>
      <c r="H143" s="23" t="s">
        <v>11903</v>
      </c>
      <c r="I143" s="23" t="s">
        <v>11904</v>
      </c>
      <c r="J143" s="23" t="s">
        <v>385</v>
      </c>
      <c r="K143" s="24" t="s">
        <v>386</v>
      </c>
      <c r="L143" s="23" t="s">
        <v>13</v>
      </c>
      <c r="M143" s="31" t="s">
        <v>17</v>
      </c>
      <c r="N143" s="23" t="s">
        <v>11905</v>
      </c>
      <c r="O143" s="29" t="s">
        <v>87</v>
      </c>
      <c r="P143" s="23" t="s">
        <v>40</v>
      </c>
      <c r="Q143" s="23" t="s">
        <v>40</v>
      </c>
      <c r="R143" s="23" t="s">
        <v>313</v>
      </c>
      <c r="S143" s="23" t="s">
        <v>40</v>
      </c>
      <c r="T143" s="23" t="s">
        <v>40</v>
      </c>
    </row>
    <row r="144" spans="1:20" x14ac:dyDescent="0.25">
      <c r="A144" s="23" t="s">
        <v>11906</v>
      </c>
      <c r="B144" s="23" t="s">
        <v>312</v>
      </c>
      <c r="C144" s="23" t="s">
        <v>2327</v>
      </c>
      <c r="D144" s="23" t="s">
        <v>11907</v>
      </c>
      <c r="E144" s="23" t="s">
        <v>3835</v>
      </c>
      <c r="F144" s="23" t="s">
        <v>11908</v>
      </c>
      <c r="G144" s="23" t="s">
        <v>11909</v>
      </c>
      <c r="H144" s="23" t="s">
        <v>11910</v>
      </c>
      <c r="I144" s="23" t="s">
        <v>11911</v>
      </c>
      <c r="J144" s="23" t="s">
        <v>14</v>
      </c>
      <c r="K144" s="24" t="s">
        <v>386</v>
      </c>
      <c r="L144" s="23" t="s">
        <v>405</v>
      </c>
      <c r="M144" s="25" t="s">
        <v>18</v>
      </c>
      <c r="N144" s="23" t="s">
        <v>40</v>
      </c>
      <c r="O144" s="23" t="s">
        <v>387</v>
      </c>
      <c r="P144" s="23" t="s">
        <v>40</v>
      </c>
      <c r="Q144" s="23" t="s">
        <v>40</v>
      </c>
      <c r="R144" s="23" t="s">
        <v>313</v>
      </c>
      <c r="S144" s="23" t="s">
        <v>1710</v>
      </c>
      <c r="T144" s="23" t="s">
        <v>40</v>
      </c>
    </row>
    <row r="145" spans="1:20" x14ac:dyDescent="0.25">
      <c r="A145" s="23" t="s">
        <v>11912</v>
      </c>
      <c r="B145" s="23" t="s">
        <v>312</v>
      </c>
      <c r="C145" s="23" t="s">
        <v>466</v>
      </c>
      <c r="D145" s="23" t="s">
        <v>11913</v>
      </c>
      <c r="E145" s="23" t="s">
        <v>11914</v>
      </c>
      <c r="F145" s="23" t="s">
        <v>40</v>
      </c>
      <c r="G145" s="23" t="s">
        <v>11915</v>
      </c>
      <c r="H145" s="23" t="s">
        <v>11916</v>
      </c>
      <c r="I145" s="23" t="s">
        <v>6120</v>
      </c>
      <c r="J145" s="23" t="s">
        <v>15</v>
      </c>
      <c r="K145" s="27" t="s">
        <v>404</v>
      </c>
      <c r="L145" s="23" t="s">
        <v>405</v>
      </c>
      <c r="M145" s="25" t="s">
        <v>18</v>
      </c>
      <c r="N145" s="23" t="s">
        <v>40</v>
      </c>
      <c r="O145" s="23" t="s">
        <v>387</v>
      </c>
      <c r="P145" s="23" t="s">
        <v>40</v>
      </c>
      <c r="Q145" s="23" t="s">
        <v>40</v>
      </c>
      <c r="R145" s="23" t="s">
        <v>313</v>
      </c>
      <c r="S145" s="23" t="s">
        <v>1710</v>
      </c>
      <c r="T145" s="23" t="s">
        <v>40</v>
      </c>
    </row>
    <row r="146" spans="1:20" x14ac:dyDescent="0.25">
      <c r="A146" s="23" t="s">
        <v>11917</v>
      </c>
      <c r="B146" s="23" t="s">
        <v>312</v>
      </c>
      <c r="C146" s="23" t="s">
        <v>466</v>
      </c>
      <c r="D146" s="23" t="s">
        <v>11918</v>
      </c>
      <c r="E146" s="23" t="s">
        <v>3835</v>
      </c>
      <c r="F146" s="23" t="s">
        <v>40</v>
      </c>
      <c r="G146" s="23" t="s">
        <v>11919</v>
      </c>
      <c r="H146" s="23" t="s">
        <v>11920</v>
      </c>
      <c r="I146" s="23" t="s">
        <v>466</v>
      </c>
      <c r="J146" s="23" t="s">
        <v>466</v>
      </c>
      <c r="K146" s="27" t="s">
        <v>404</v>
      </c>
      <c r="L146" s="23" t="s">
        <v>405</v>
      </c>
      <c r="M146" s="25" t="s">
        <v>18</v>
      </c>
      <c r="N146" s="23" t="s">
        <v>40</v>
      </c>
      <c r="O146" s="23" t="s">
        <v>387</v>
      </c>
      <c r="P146" s="23" t="s">
        <v>40</v>
      </c>
      <c r="Q146" s="23" t="s">
        <v>40</v>
      </c>
      <c r="R146" s="23" t="s">
        <v>313</v>
      </c>
      <c r="S146" s="23" t="s">
        <v>1710</v>
      </c>
      <c r="T146" s="23" t="s">
        <v>40</v>
      </c>
    </row>
    <row r="147" spans="1:20" x14ac:dyDescent="0.25">
      <c r="A147" s="23" t="s">
        <v>11921</v>
      </c>
      <c r="B147" s="23" t="s">
        <v>312</v>
      </c>
      <c r="C147" s="23" t="s">
        <v>11922</v>
      </c>
      <c r="D147" s="23" t="s">
        <v>11923</v>
      </c>
      <c r="E147" s="23" t="s">
        <v>3835</v>
      </c>
      <c r="F147" s="23" t="s">
        <v>40</v>
      </c>
      <c r="G147" s="23" t="s">
        <v>11924</v>
      </c>
      <c r="H147" s="23" t="s">
        <v>11925</v>
      </c>
      <c r="I147" s="23" t="s">
        <v>11926</v>
      </c>
      <c r="J147" s="23" t="s">
        <v>385</v>
      </c>
      <c r="K147" s="32" t="s">
        <v>747</v>
      </c>
      <c r="L147" s="23" t="s">
        <v>490</v>
      </c>
      <c r="M147" s="25" t="s">
        <v>18</v>
      </c>
      <c r="N147" s="23" t="s">
        <v>40</v>
      </c>
      <c r="O147" s="23" t="s">
        <v>387</v>
      </c>
      <c r="P147" s="23" t="s">
        <v>40</v>
      </c>
      <c r="Q147" s="23" t="s">
        <v>40</v>
      </c>
      <c r="R147" s="23" t="s">
        <v>313</v>
      </c>
      <c r="S147" s="23" t="s">
        <v>11927</v>
      </c>
      <c r="T147" s="23" t="s">
        <v>40</v>
      </c>
    </row>
    <row r="148" spans="1:20" x14ac:dyDescent="0.25">
      <c r="A148" s="23" t="s">
        <v>11928</v>
      </c>
      <c r="B148" s="23" t="s">
        <v>312</v>
      </c>
      <c r="C148" s="23" t="s">
        <v>2384</v>
      </c>
      <c r="D148" s="23" t="s">
        <v>11929</v>
      </c>
      <c r="E148" s="23" t="s">
        <v>3835</v>
      </c>
      <c r="F148" s="23" t="s">
        <v>40</v>
      </c>
      <c r="G148" s="23" t="s">
        <v>11930</v>
      </c>
      <c r="H148" s="23" t="s">
        <v>11931</v>
      </c>
      <c r="I148" s="23" t="s">
        <v>11932</v>
      </c>
      <c r="J148" s="23" t="s">
        <v>14</v>
      </c>
      <c r="K148" s="27" t="s">
        <v>404</v>
      </c>
      <c r="L148" s="23" t="s">
        <v>490</v>
      </c>
      <c r="M148" s="25" t="s">
        <v>18</v>
      </c>
      <c r="N148" s="23" t="s">
        <v>40</v>
      </c>
      <c r="O148" s="23" t="s">
        <v>387</v>
      </c>
      <c r="P148" s="23" t="s">
        <v>40</v>
      </c>
      <c r="Q148" s="23" t="s">
        <v>40</v>
      </c>
      <c r="R148" s="23" t="s">
        <v>313</v>
      </c>
      <c r="S148" s="23" t="s">
        <v>1710</v>
      </c>
      <c r="T148" s="23" t="s">
        <v>40</v>
      </c>
    </row>
    <row r="149" spans="1:20" x14ac:dyDescent="0.25">
      <c r="A149" s="23" t="s">
        <v>11933</v>
      </c>
      <c r="B149" s="23" t="s">
        <v>312</v>
      </c>
      <c r="C149" s="23" t="s">
        <v>1788</v>
      </c>
      <c r="D149" s="23" t="s">
        <v>11934</v>
      </c>
      <c r="E149" s="23" t="s">
        <v>3835</v>
      </c>
      <c r="F149" s="23" t="s">
        <v>40</v>
      </c>
      <c r="G149" s="23" t="s">
        <v>11935</v>
      </c>
      <c r="H149" s="23" t="s">
        <v>11936</v>
      </c>
      <c r="I149" s="23" t="s">
        <v>11937</v>
      </c>
      <c r="J149" s="23" t="s">
        <v>385</v>
      </c>
      <c r="K149" s="32" t="s">
        <v>747</v>
      </c>
      <c r="L149" s="23" t="s">
        <v>490</v>
      </c>
      <c r="M149" s="25" t="s">
        <v>18</v>
      </c>
      <c r="N149" s="23" t="s">
        <v>40</v>
      </c>
      <c r="O149" s="23" t="s">
        <v>387</v>
      </c>
      <c r="P149" s="23" t="s">
        <v>40</v>
      </c>
      <c r="Q149" s="23" t="s">
        <v>40</v>
      </c>
      <c r="R149" s="23" t="s">
        <v>313</v>
      </c>
      <c r="S149" s="23" t="s">
        <v>11938</v>
      </c>
      <c r="T149" s="23" t="s">
        <v>40</v>
      </c>
    </row>
    <row r="150" spans="1:20" x14ac:dyDescent="0.25">
      <c r="A150" s="23" t="s">
        <v>11939</v>
      </c>
      <c r="B150" s="23" t="s">
        <v>333</v>
      </c>
      <c r="C150" s="23" t="s">
        <v>944</v>
      </c>
      <c r="D150" s="23" t="s">
        <v>11940</v>
      </c>
      <c r="E150" s="23" t="s">
        <v>3835</v>
      </c>
      <c r="F150" s="23" t="s">
        <v>11941</v>
      </c>
      <c r="G150" s="23" t="s">
        <v>11942</v>
      </c>
      <c r="H150" s="23" t="s">
        <v>11943</v>
      </c>
      <c r="I150" s="23" t="s">
        <v>11944</v>
      </c>
      <c r="J150" s="23" t="s">
        <v>385</v>
      </c>
      <c r="K150" s="24" t="s">
        <v>386</v>
      </c>
      <c r="L150" s="23" t="s">
        <v>13</v>
      </c>
      <c r="M150" s="31" t="s">
        <v>17</v>
      </c>
      <c r="N150" s="23" t="s">
        <v>11945</v>
      </c>
      <c r="O150" s="29" t="s">
        <v>87</v>
      </c>
      <c r="P150" s="23" t="s">
        <v>40</v>
      </c>
      <c r="Q150" s="23" t="s">
        <v>40</v>
      </c>
      <c r="R150" s="23" t="s">
        <v>334</v>
      </c>
      <c r="S150" s="23" t="s">
        <v>40</v>
      </c>
      <c r="T150" s="23" t="s">
        <v>40</v>
      </c>
    </row>
    <row r="151" spans="1:20" x14ac:dyDescent="0.25">
      <c r="A151" s="23" t="s">
        <v>11946</v>
      </c>
      <c r="B151" s="23" t="s">
        <v>333</v>
      </c>
      <c r="C151" s="23" t="s">
        <v>10631</v>
      </c>
      <c r="D151" s="23" t="s">
        <v>11947</v>
      </c>
      <c r="E151" s="23" t="s">
        <v>11193</v>
      </c>
      <c r="F151" s="23" t="s">
        <v>40</v>
      </c>
      <c r="G151" s="23" t="s">
        <v>11948</v>
      </c>
      <c r="H151" s="23" t="s">
        <v>11949</v>
      </c>
      <c r="I151" s="23" t="s">
        <v>11950</v>
      </c>
      <c r="J151" s="23" t="s">
        <v>14</v>
      </c>
      <c r="K151" s="26" t="s">
        <v>396</v>
      </c>
      <c r="L151" s="23" t="s">
        <v>13</v>
      </c>
      <c r="M151" s="25" t="s">
        <v>18</v>
      </c>
      <c r="N151" s="23" t="s">
        <v>40</v>
      </c>
      <c r="O151" s="23" t="s">
        <v>387</v>
      </c>
      <c r="P151" s="23" t="s">
        <v>40</v>
      </c>
      <c r="Q151" s="23" t="s">
        <v>40</v>
      </c>
      <c r="R151" s="23" t="s">
        <v>334</v>
      </c>
      <c r="S151" s="23" t="s">
        <v>1710</v>
      </c>
      <c r="T151" s="23" t="s">
        <v>5021</v>
      </c>
    </row>
    <row r="152" spans="1:20" x14ac:dyDescent="0.25">
      <c r="A152" s="23" t="s">
        <v>11951</v>
      </c>
      <c r="B152" s="23" t="s">
        <v>333</v>
      </c>
      <c r="C152" s="23" t="s">
        <v>10631</v>
      </c>
      <c r="D152" s="23" t="s">
        <v>11952</v>
      </c>
      <c r="E152" s="23" t="s">
        <v>11193</v>
      </c>
      <c r="F152" s="23" t="s">
        <v>40</v>
      </c>
      <c r="G152" s="23" t="s">
        <v>11953</v>
      </c>
      <c r="H152" s="23" t="s">
        <v>11954</v>
      </c>
      <c r="I152" s="23" t="s">
        <v>11955</v>
      </c>
      <c r="J152" s="23" t="s">
        <v>14</v>
      </c>
      <c r="K152" s="24" t="s">
        <v>386</v>
      </c>
      <c r="L152" s="23" t="s">
        <v>405</v>
      </c>
      <c r="M152" s="25" t="s">
        <v>18</v>
      </c>
      <c r="N152" s="23" t="s">
        <v>40</v>
      </c>
      <c r="O152" s="23" t="s">
        <v>387</v>
      </c>
      <c r="P152" s="23" t="s">
        <v>40</v>
      </c>
      <c r="Q152" s="23" t="s">
        <v>40</v>
      </c>
      <c r="R152" s="23" t="s">
        <v>334</v>
      </c>
      <c r="S152" s="23" t="s">
        <v>1710</v>
      </c>
      <c r="T152" s="23" t="s">
        <v>40</v>
      </c>
    </row>
    <row r="153" spans="1:20" x14ac:dyDescent="0.25">
      <c r="A153" s="23" t="s">
        <v>11956</v>
      </c>
      <c r="B153" s="23" t="s">
        <v>333</v>
      </c>
      <c r="C153" s="23" t="s">
        <v>466</v>
      </c>
      <c r="D153" s="23" t="s">
        <v>11957</v>
      </c>
      <c r="E153" s="23" t="s">
        <v>11193</v>
      </c>
      <c r="F153" s="23" t="s">
        <v>40</v>
      </c>
      <c r="G153" s="23" t="s">
        <v>11958</v>
      </c>
      <c r="H153" s="23" t="s">
        <v>11959</v>
      </c>
      <c r="I153" s="23" t="s">
        <v>466</v>
      </c>
      <c r="J153" s="23" t="s">
        <v>466</v>
      </c>
      <c r="K153" s="24" t="s">
        <v>386</v>
      </c>
      <c r="L153" s="23" t="s">
        <v>13</v>
      </c>
      <c r="M153" s="25" t="s">
        <v>18</v>
      </c>
      <c r="N153" s="23" t="s">
        <v>40</v>
      </c>
      <c r="O153" s="23" t="s">
        <v>387</v>
      </c>
      <c r="P153" s="23" t="s">
        <v>40</v>
      </c>
      <c r="Q153" s="23" t="s">
        <v>40</v>
      </c>
      <c r="R153" s="23" t="s">
        <v>334</v>
      </c>
      <c r="S153" s="23" t="s">
        <v>1710</v>
      </c>
      <c r="T153" s="23" t="s">
        <v>40</v>
      </c>
    </row>
    <row r="154" spans="1:20" x14ac:dyDescent="0.25">
      <c r="A154" s="23" t="s">
        <v>11960</v>
      </c>
      <c r="B154" s="23" t="s">
        <v>333</v>
      </c>
      <c r="C154" s="23" t="s">
        <v>466</v>
      </c>
      <c r="D154" s="23" t="s">
        <v>11961</v>
      </c>
      <c r="E154" s="23" t="s">
        <v>11193</v>
      </c>
      <c r="F154" s="23" t="s">
        <v>40</v>
      </c>
      <c r="G154" s="23" t="s">
        <v>11962</v>
      </c>
      <c r="H154" s="23" t="s">
        <v>11963</v>
      </c>
      <c r="I154" s="23" t="s">
        <v>11964</v>
      </c>
      <c r="J154" s="23" t="s">
        <v>489</v>
      </c>
      <c r="K154" s="24" t="s">
        <v>386</v>
      </c>
      <c r="L154" s="23" t="s">
        <v>13</v>
      </c>
      <c r="M154" s="25" t="s">
        <v>18</v>
      </c>
      <c r="N154" s="23" t="s">
        <v>40</v>
      </c>
      <c r="O154" s="23" t="s">
        <v>387</v>
      </c>
      <c r="P154" s="23" t="s">
        <v>40</v>
      </c>
      <c r="Q154" s="23" t="s">
        <v>40</v>
      </c>
      <c r="R154" s="23" t="s">
        <v>334</v>
      </c>
      <c r="S154" s="23" t="s">
        <v>1710</v>
      </c>
      <c r="T154" s="23" t="s">
        <v>40</v>
      </c>
    </row>
    <row r="155" spans="1:20" x14ac:dyDescent="0.25">
      <c r="A155" s="23" t="s">
        <v>11965</v>
      </c>
      <c r="B155" s="23" t="s">
        <v>333</v>
      </c>
      <c r="C155" s="23" t="s">
        <v>466</v>
      </c>
      <c r="D155" s="23" t="s">
        <v>11966</v>
      </c>
      <c r="E155" s="23" t="s">
        <v>11193</v>
      </c>
      <c r="F155" s="23" t="s">
        <v>40</v>
      </c>
      <c r="G155" s="23" t="s">
        <v>11967</v>
      </c>
      <c r="H155" s="23" t="s">
        <v>11968</v>
      </c>
      <c r="I155" s="23" t="s">
        <v>11969</v>
      </c>
      <c r="J155" s="23" t="s">
        <v>466</v>
      </c>
      <c r="K155" s="27" t="s">
        <v>404</v>
      </c>
      <c r="L155" s="23" t="s">
        <v>405</v>
      </c>
      <c r="M155" s="25" t="s">
        <v>18</v>
      </c>
      <c r="N155" s="23" t="s">
        <v>40</v>
      </c>
      <c r="O155" s="23" t="s">
        <v>387</v>
      </c>
      <c r="P155" s="23" t="s">
        <v>40</v>
      </c>
      <c r="Q155" s="23" t="s">
        <v>40</v>
      </c>
      <c r="R155" s="23" t="s">
        <v>334</v>
      </c>
      <c r="S155" s="23" t="s">
        <v>1710</v>
      </c>
      <c r="T155" s="23" t="s">
        <v>40</v>
      </c>
    </row>
    <row r="156" spans="1:20" x14ac:dyDescent="0.25">
      <c r="A156" s="23" t="s">
        <v>11970</v>
      </c>
      <c r="B156" s="23" t="s">
        <v>333</v>
      </c>
      <c r="C156" s="23" t="s">
        <v>466</v>
      </c>
      <c r="D156" s="23" t="s">
        <v>11971</v>
      </c>
      <c r="E156" s="23" t="s">
        <v>11193</v>
      </c>
      <c r="F156" s="23" t="s">
        <v>40</v>
      </c>
      <c r="G156" s="23" t="s">
        <v>11972</v>
      </c>
      <c r="H156" s="23" t="s">
        <v>11973</v>
      </c>
      <c r="I156" s="23" t="s">
        <v>466</v>
      </c>
      <c r="J156" s="23" t="s">
        <v>466</v>
      </c>
      <c r="K156" s="27" t="s">
        <v>404</v>
      </c>
      <c r="L156" s="23" t="s">
        <v>405</v>
      </c>
      <c r="M156" s="25" t="s">
        <v>18</v>
      </c>
      <c r="N156" s="23" t="s">
        <v>40</v>
      </c>
      <c r="O156" s="23" t="s">
        <v>387</v>
      </c>
      <c r="P156" s="23" t="s">
        <v>40</v>
      </c>
      <c r="Q156" s="23" t="s">
        <v>40</v>
      </c>
      <c r="R156" s="23" t="s">
        <v>334</v>
      </c>
      <c r="S156" s="23" t="s">
        <v>1710</v>
      </c>
      <c r="T156" s="23" t="s">
        <v>40</v>
      </c>
    </row>
    <row r="157" spans="1:20" x14ac:dyDescent="0.25">
      <c r="A157" s="23" t="s">
        <v>11974</v>
      </c>
      <c r="B157" s="23" t="s">
        <v>333</v>
      </c>
      <c r="C157" s="23" t="s">
        <v>466</v>
      </c>
      <c r="D157" s="23" t="s">
        <v>11975</v>
      </c>
      <c r="E157" s="23" t="s">
        <v>11193</v>
      </c>
      <c r="F157" s="23" t="s">
        <v>40</v>
      </c>
      <c r="G157" s="23" t="s">
        <v>11976</v>
      </c>
      <c r="H157" s="23" t="s">
        <v>11977</v>
      </c>
      <c r="I157" s="23" t="s">
        <v>11978</v>
      </c>
      <c r="J157" s="23" t="s">
        <v>466</v>
      </c>
      <c r="K157" s="27" t="s">
        <v>404</v>
      </c>
      <c r="L157" s="23" t="s">
        <v>490</v>
      </c>
      <c r="M157" s="25" t="s">
        <v>18</v>
      </c>
      <c r="N157" s="23" t="s">
        <v>40</v>
      </c>
      <c r="O157" s="23" t="s">
        <v>387</v>
      </c>
      <c r="P157" s="23" t="s">
        <v>40</v>
      </c>
      <c r="Q157" s="23" t="s">
        <v>40</v>
      </c>
      <c r="R157" s="23" t="s">
        <v>334</v>
      </c>
      <c r="S157" s="23" t="s">
        <v>1710</v>
      </c>
      <c r="T157" s="23" t="s">
        <v>40</v>
      </c>
    </row>
    <row r="158" spans="1:20" x14ac:dyDescent="0.25">
      <c r="A158" s="23" t="s">
        <v>11979</v>
      </c>
      <c r="B158" s="23" t="s">
        <v>333</v>
      </c>
      <c r="C158" s="23" t="s">
        <v>11980</v>
      </c>
      <c r="D158" s="23" t="s">
        <v>11981</v>
      </c>
      <c r="E158" s="23" t="s">
        <v>11982</v>
      </c>
      <c r="F158" s="23" t="s">
        <v>40</v>
      </c>
      <c r="G158" s="23" t="s">
        <v>11983</v>
      </c>
      <c r="H158" s="23" t="s">
        <v>11984</v>
      </c>
      <c r="I158" s="23" t="s">
        <v>11985</v>
      </c>
      <c r="J158" s="23" t="s">
        <v>15</v>
      </c>
      <c r="K158" s="24" t="s">
        <v>386</v>
      </c>
      <c r="L158" s="23" t="s">
        <v>13</v>
      </c>
      <c r="M158" s="25" t="s">
        <v>18</v>
      </c>
      <c r="N158" s="23" t="s">
        <v>40</v>
      </c>
      <c r="O158" s="23" t="s">
        <v>387</v>
      </c>
      <c r="P158" s="23" t="s">
        <v>40</v>
      </c>
      <c r="Q158" s="23" t="s">
        <v>40</v>
      </c>
      <c r="R158" s="23" t="s">
        <v>334</v>
      </c>
      <c r="S158" s="23" t="s">
        <v>1710</v>
      </c>
      <c r="T158" s="23" t="s">
        <v>5208</v>
      </c>
    </row>
    <row r="159" spans="1:20" x14ac:dyDescent="0.25">
      <c r="A159" s="23" t="s">
        <v>11986</v>
      </c>
      <c r="B159" s="23" t="s">
        <v>333</v>
      </c>
      <c r="C159" s="23" t="s">
        <v>11987</v>
      </c>
      <c r="D159" s="23" t="s">
        <v>11988</v>
      </c>
      <c r="E159" s="23" t="s">
        <v>11989</v>
      </c>
      <c r="F159" s="23" t="s">
        <v>40</v>
      </c>
      <c r="G159" s="23" t="s">
        <v>11983</v>
      </c>
      <c r="H159" s="23" t="s">
        <v>11990</v>
      </c>
      <c r="I159" s="23" t="s">
        <v>11991</v>
      </c>
      <c r="J159" s="23" t="s">
        <v>14</v>
      </c>
      <c r="K159" s="24" t="s">
        <v>386</v>
      </c>
      <c r="L159" s="23" t="s">
        <v>405</v>
      </c>
      <c r="M159" s="25" t="s">
        <v>18</v>
      </c>
      <c r="N159" s="23" t="s">
        <v>40</v>
      </c>
      <c r="O159" s="23" t="s">
        <v>387</v>
      </c>
      <c r="P159" s="23" t="s">
        <v>40</v>
      </c>
      <c r="Q159" s="23" t="s">
        <v>40</v>
      </c>
      <c r="R159" s="23" t="s">
        <v>334</v>
      </c>
      <c r="S159" s="23" t="s">
        <v>1710</v>
      </c>
      <c r="T159" s="23" t="s">
        <v>40</v>
      </c>
    </row>
    <row r="160" spans="1:20" x14ac:dyDescent="0.25">
      <c r="A160" s="23" t="s">
        <v>11992</v>
      </c>
      <c r="B160" s="23" t="s">
        <v>333</v>
      </c>
      <c r="C160" s="23" t="s">
        <v>9147</v>
      </c>
      <c r="D160" s="23" t="s">
        <v>11993</v>
      </c>
      <c r="E160" s="23" t="s">
        <v>11994</v>
      </c>
      <c r="F160" s="23" t="s">
        <v>40</v>
      </c>
      <c r="G160" s="23" t="s">
        <v>11995</v>
      </c>
      <c r="H160" s="23" t="s">
        <v>11996</v>
      </c>
      <c r="I160" s="23" t="s">
        <v>11997</v>
      </c>
      <c r="J160" s="23" t="s">
        <v>14</v>
      </c>
      <c r="K160" s="24" t="s">
        <v>386</v>
      </c>
      <c r="L160" s="23" t="s">
        <v>405</v>
      </c>
      <c r="M160" s="25" t="s">
        <v>18</v>
      </c>
      <c r="N160" s="23" t="s">
        <v>40</v>
      </c>
      <c r="O160" s="23" t="s">
        <v>387</v>
      </c>
      <c r="P160" s="23" t="s">
        <v>40</v>
      </c>
      <c r="Q160" s="23" t="s">
        <v>40</v>
      </c>
      <c r="R160" s="23" t="s">
        <v>334</v>
      </c>
      <c r="S160" s="23" t="s">
        <v>1710</v>
      </c>
      <c r="T160" s="23" t="s">
        <v>40</v>
      </c>
    </row>
    <row r="161" spans="1:20" x14ac:dyDescent="0.25">
      <c r="A161" s="23" t="s">
        <v>11998</v>
      </c>
      <c r="B161" s="23" t="s">
        <v>333</v>
      </c>
      <c r="C161" s="23" t="s">
        <v>9147</v>
      </c>
      <c r="D161" s="23" t="s">
        <v>11999</v>
      </c>
      <c r="E161" s="23" t="s">
        <v>12000</v>
      </c>
      <c r="F161" s="23" t="s">
        <v>40</v>
      </c>
      <c r="G161" s="23" t="s">
        <v>12001</v>
      </c>
      <c r="H161" s="23" t="s">
        <v>12002</v>
      </c>
      <c r="I161" s="23" t="s">
        <v>12003</v>
      </c>
      <c r="J161" s="23" t="s">
        <v>15</v>
      </c>
      <c r="K161" s="27" t="s">
        <v>404</v>
      </c>
      <c r="L161" s="23" t="s">
        <v>405</v>
      </c>
      <c r="M161" s="25" t="s">
        <v>18</v>
      </c>
      <c r="N161" s="23" t="s">
        <v>40</v>
      </c>
      <c r="O161" s="23" t="s">
        <v>387</v>
      </c>
      <c r="P161" s="23" t="s">
        <v>40</v>
      </c>
      <c r="Q161" s="23" t="s">
        <v>40</v>
      </c>
      <c r="R161" s="23" t="s">
        <v>334</v>
      </c>
      <c r="S161" s="23" t="s">
        <v>1710</v>
      </c>
      <c r="T161" s="23" t="s">
        <v>40</v>
      </c>
    </row>
    <row r="162" spans="1:20" x14ac:dyDescent="0.25">
      <c r="A162" s="23" t="s">
        <v>12004</v>
      </c>
      <c r="B162" s="23" t="s">
        <v>333</v>
      </c>
      <c r="C162" s="23" t="s">
        <v>12005</v>
      </c>
      <c r="D162" s="23" t="s">
        <v>12006</v>
      </c>
      <c r="E162" s="23" t="s">
        <v>3835</v>
      </c>
      <c r="F162" s="23" t="s">
        <v>40</v>
      </c>
      <c r="G162" s="23" t="s">
        <v>12007</v>
      </c>
      <c r="H162" s="23" t="s">
        <v>12008</v>
      </c>
      <c r="I162" s="23" t="s">
        <v>12009</v>
      </c>
      <c r="J162" s="23" t="s">
        <v>385</v>
      </c>
      <c r="K162" s="32" t="s">
        <v>747</v>
      </c>
      <c r="L162" s="23" t="s">
        <v>490</v>
      </c>
      <c r="M162" s="25" t="s">
        <v>18</v>
      </c>
      <c r="N162" s="23" t="s">
        <v>40</v>
      </c>
      <c r="O162" s="23" t="s">
        <v>387</v>
      </c>
      <c r="P162" s="23" t="s">
        <v>40</v>
      </c>
      <c r="Q162" s="23" t="s">
        <v>40</v>
      </c>
      <c r="R162" s="23" t="s">
        <v>334</v>
      </c>
      <c r="S162" s="23" t="s">
        <v>12010</v>
      </c>
      <c r="T162" s="23" t="s">
        <v>40</v>
      </c>
    </row>
    <row r="163" spans="1:20" x14ac:dyDescent="0.25">
      <c r="A163" s="23" t="s">
        <v>12011</v>
      </c>
      <c r="B163" s="23" t="s">
        <v>335</v>
      </c>
      <c r="C163" s="23" t="s">
        <v>944</v>
      </c>
      <c r="D163" s="23" t="s">
        <v>12012</v>
      </c>
      <c r="E163" s="23" t="s">
        <v>3835</v>
      </c>
      <c r="F163" s="23" t="s">
        <v>12013</v>
      </c>
      <c r="G163" s="23" t="s">
        <v>12014</v>
      </c>
      <c r="H163" s="23" t="s">
        <v>12015</v>
      </c>
      <c r="I163" s="23" t="s">
        <v>12016</v>
      </c>
      <c r="J163" s="23" t="s">
        <v>385</v>
      </c>
      <c r="K163" s="24" t="s">
        <v>386</v>
      </c>
      <c r="L163" s="23" t="s">
        <v>13</v>
      </c>
      <c r="M163" s="31" t="s">
        <v>17</v>
      </c>
      <c r="N163" s="23" t="s">
        <v>12017</v>
      </c>
      <c r="O163" s="29" t="s">
        <v>87</v>
      </c>
      <c r="P163" s="23" t="s">
        <v>40</v>
      </c>
      <c r="Q163" s="23" t="s">
        <v>40</v>
      </c>
      <c r="R163" s="23" t="s">
        <v>336</v>
      </c>
      <c r="S163" s="23" t="s">
        <v>40</v>
      </c>
      <c r="T163" s="23" t="s">
        <v>40</v>
      </c>
    </row>
    <row r="164" spans="1:20" x14ac:dyDescent="0.25">
      <c r="A164" s="23" t="s">
        <v>12018</v>
      </c>
      <c r="B164" s="23" t="s">
        <v>335</v>
      </c>
      <c r="C164" s="23" t="s">
        <v>12019</v>
      </c>
      <c r="D164" s="23" t="s">
        <v>12020</v>
      </c>
      <c r="E164" s="23" t="s">
        <v>12021</v>
      </c>
      <c r="F164" s="23" t="s">
        <v>40</v>
      </c>
      <c r="G164" s="23" t="s">
        <v>12022</v>
      </c>
      <c r="H164" s="23" t="s">
        <v>12023</v>
      </c>
      <c r="I164" s="23" t="s">
        <v>5959</v>
      </c>
      <c r="J164" s="23" t="s">
        <v>14</v>
      </c>
      <c r="K164" s="26" t="s">
        <v>396</v>
      </c>
      <c r="L164" s="23" t="s">
        <v>13</v>
      </c>
      <c r="M164" s="33" t="s">
        <v>20</v>
      </c>
      <c r="N164" s="23" t="s">
        <v>40</v>
      </c>
      <c r="O164" s="23" t="s">
        <v>387</v>
      </c>
      <c r="P164" s="23" t="s">
        <v>40</v>
      </c>
      <c r="Q164" s="23" t="s">
        <v>40</v>
      </c>
      <c r="R164" s="23" t="s">
        <v>336</v>
      </c>
      <c r="S164" s="23" t="s">
        <v>12024</v>
      </c>
      <c r="T164" s="23" t="s">
        <v>40</v>
      </c>
    </row>
    <row r="165" spans="1:20" x14ac:dyDescent="0.25">
      <c r="A165" s="23" t="s">
        <v>12025</v>
      </c>
      <c r="B165" s="23" t="s">
        <v>335</v>
      </c>
      <c r="C165" s="23" t="s">
        <v>12019</v>
      </c>
      <c r="D165" s="23" t="s">
        <v>12026</v>
      </c>
      <c r="E165" s="23" t="s">
        <v>12027</v>
      </c>
      <c r="F165" s="23" t="s">
        <v>40</v>
      </c>
      <c r="G165" s="23" t="s">
        <v>12028</v>
      </c>
      <c r="H165" s="23" t="s">
        <v>12029</v>
      </c>
      <c r="I165" s="23" t="s">
        <v>12030</v>
      </c>
      <c r="J165" s="23" t="s">
        <v>14</v>
      </c>
      <c r="K165" s="24" t="s">
        <v>386</v>
      </c>
      <c r="L165" s="23" t="s">
        <v>405</v>
      </c>
      <c r="M165" s="25" t="s">
        <v>18</v>
      </c>
      <c r="N165" s="23" t="s">
        <v>40</v>
      </c>
      <c r="O165" s="23" t="s">
        <v>387</v>
      </c>
      <c r="P165" s="23" t="s">
        <v>40</v>
      </c>
      <c r="Q165" s="23" t="s">
        <v>40</v>
      </c>
      <c r="R165" s="23" t="s">
        <v>336</v>
      </c>
      <c r="S165" s="23" t="s">
        <v>1710</v>
      </c>
      <c r="T165" s="23" t="s">
        <v>40</v>
      </c>
    </row>
    <row r="166" spans="1:20" x14ac:dyDescent="0.25">
      <c r="A166" s="23" t="s">
        <v>12031</v>
      </c>
      <c r="B166" s="23" t="s">
        <v>335</v>
      </c>
      <c r="C166" s="23" t="s">
        <v>12019</v>
      </c>
      <c r="D166" s="23" t="s">
        <v>12032</v>
      </c>
      <c r="E166" s="23" t="s">
        <v>12033</v>
      </c>
      <c r="F166" s="23" t="s">
        <v>40</v>
      </c>
      <c r="G166" s="23" t="s">
        <v>12034</v>
      </c>
      <c r="H166" s="23" t="s">
        <v>12035</v>
      </c>
      <c r="I166" s="23" t="s">
        <v>12036</v>
      </c>
      <c r="J166" s="23" t="s">
        <v>385</v>
      </c>
      <c r="K166" s="27" t="s">
        <v>404</v>
      </c>
      <c r="L166" s="23" t="s">
        <v>405</v>
      </c>
      <c r="M166" s="33" t="s">
        <v>20</v>
      </c>
      <c r="N166" s="23" t="s">
        <v>40</v>
      </c>
      <c r="O166" s="23" t="s">
        <v>387</v>
      </c>
      <c r="P166" s="23" t="s">
        <v>40</v>
      </c>
      <c r="Q166" s="23" t="s">
        <v>40</v>
      </c>
      <c r="R166" s="23" t="s">
        <v>336</v>
      </c>
      <c r="S166" s="23" t="s">
        <v>12037</v>
      </c>
      <c r="T166" s="23" t="s">
        <v>40</v>
      </c>
    </row>
    <row r="167" spans="1:20" x14ac:dyDescent="0.25">
      <c r="A167" s="23" t="s">
        <v>12038</v>
      </c>
      <c r="B167" s="23" t="s">
        <v>335</v>
      </c>
      <c r="C167" s="23" t="s">
        <v>12019</v>
      </c>
      <c r="D167" s="23" t="s">
        <v>12039</v>
      </c>
      <c r="E167" s="23" t="s">
        <v>12040</v>
      </c>
      <c r="F167" s="23" t="s">
        <v>40</v>
      </c>
      <c r="G167" s="23" t="s">
        <v>12041</v>
      </c>
      <c r="H167" s="23" t="s">
        <v>12042</v>
      </c>
      <c r="I167" s="23" t="s">
        <v>12043</v>
      </c>
      <c r="J167" s="23" t="s">
        <v>385</v>
      </c>
      <c r="K167" s="32" t="s">
        <v>747</v>
      </c>
      <c r="L167" s="23" t="s">
        <v>490</v>
      </c>
      <c r="M167" s="25" t="s">
        <v>18</v>
      </c>
      <c r="N167" s="23" t="s">
        <v>40</v>
      </c>
      <c r="O167" s="23" t="s">
        <v>387</v>
      </c>
      <c r="P167" s="23" t="s">
        <v>40</v>
      </c>
      <c r="Q167" s="23" t="s">
        <v>40</v>
      </c>
      <c r="R167" s="23" t="s">
        <v>336</v>
      </c>
      <c r="S167" s="23" t="s">
        <v>12044</v>
      </c>
      <c r="T167" s="23" t="s">
        <v>40</v>
      </c>
    </row>
    <row r="168" spans="1:20" x14ac:dyDescent="0.25">
      <c r="A168" s="23" t="s">
        <v>12045</v>
      </c>
      <c r="B168" s="23" t="s">
        <v>335</v>
      </c>
      <c r="C168" s="23" t="s">
        <v>12019</v>
      </c>
      <c r="D168" s="23" t="s">
        <v>12046</v>
      </c>
      <c r="E168" s="23" t="s">
        <v>12047</v>
      </c>
      <c r="F168" s="23" t="s">
        <v>40</v>
      </c>
      <c r="G168" s="23" t="s">
        <v>12041</v>
      </c>
      <c r="H168" s="23" t="s">
        <v>12048</v>
      </c>
      <c r="I168" s="23" t="s">
        <v>6481</v>
      </c>
      <c r="J168" s="23" t="s">
        <v>385</v>
      </c>
      <c r="K168" s="32" t="s">
        <v>747</v>
      </c>
      <c r="L168" s="23" t="s">
        <v>490</v>
      </c>
      <c r="M168" s="25" t="s">
        <v>18</v>
      </c>
      <c r="N168" s="23" t="s">
        <v>40</v>
      </c>
      <c r="O168" s="23" t="s">
        <v>387</v>
      </c>
      <c r="P168" s="23" t="s">
        <v>40</v>
      </c>
      <c r="Q168" s="23" t="s">
        <v>40</v>
      </c>
      <c r="R168" s="23" t="s">
        <v>336</v>
      </c>
      <c r="S168" s="23" t="s">
        <v>1710</v>
      </c>
      <c r="T168" s="23" t="s">
        <v>40</v>
      </c>
    </row>
    <row r="169" spans="1:20" x14ac:dyDescent="0.25">
      <c r="A169" s="23" t="s">
        <v>12049</v>
      </c>
      <c r="B169" s="23" t="s">
        <v>337</v>
      </c>
      <c r="C169" s="23" t="s">
        <v>944</v>
      </c>
      <c r="D169" s="23" t="s">
        <v>12050</v>
      </c>
      <c r="E169" s="23" t="s">
        <v>3835</v>
      </c>
      <c r="F169" s="23" t="s">
        <v>12051</v>
      </c>
      <c r="G169" s="23" t="s">
        <v>12052</v>
      </c>
      <c r="H169" s="23" t="s">
        <v>12053</v>
      </c>
      <c r="I169" s="23" t="s">
        <v>12054</v>
      </c>
      <c r="J169" s="23" t="s">
        <v>385</v>
      </c>
      <c r="K169" s="24" t="s">
        <v>386</v>
      </c>
      <c r="L169" s="23" t="s">
        <v>13</v>
      </c>
      <c r="M169" s="31" t="s">
        <v>17</v>
      </c>
      <c r="N169" s="23" t="s">
        <v>12055</v>
      </c>
      <c r="O169" s="29" t="s">
        <v>87</v>
      </c>
      <c r="P169" s="23" t="s">
        <v>40</v>
      </c>
      <c r="Q169" s="23" t="s">
        <v>40</v>
      </c>
      <c r="R169" s="23" t="s">
        <v>338</v>
      </c>
      <c r="S169" s="23" t="s">
        <v>40</v>
      </c>
      <c r="T169" s="23" t="s">
        <v>40</v>
      </c>
    </row>
    <row r="170" spans="1:20" x14ac:dyDescent="0.25">
      <c r="A170" s="23" t="s">
        <v>12056</v>
      </c>
      <c r="B170" s="23" t="s">
        <v>337</v>
      </c>
      <c r="C170" s="23" t="s">
        <v>12057</v>
      </c>
      <c r="D170" s="23" t="s">
        <v>12058</v>
      </c>
      <c r="E170" s="23" t="s">
        <v>12059</v>
      </c>
      <c r="F170" s="23" t="s">
        <v>40</v>
      </c>
      <c r="G170" s="23" t="s">
        <v>12060</v>
      </c>
      <c r="H170" s="23" t="s">
        <v>12061</v>
      </c>
      <c r="I170" s="23" t="s">
        <v>12062</v>
      </c>
      <c r="J170" s="23" t="s">
        <v>14</v>
      </c>
      <c r="K170" s="26" t="s">
        <v>396</v>
      </c>
      <c r="L170" s="23" t="s">
        <v>13</v>
      </c>
      <c r="M170" s="25" t="s">
        <v>18</v>
      </c>
      <c r="N170" s="23" t="s">
        <v>40</v>
      </c>
      <c r="O170" s="23" t="s">
        <v>387</v>
      </c>
      <c r="P170" s="23" t="s">
        <v>40</v>
      </c>
      <c r="Q170" s="23" t="s">
        <v>40</v>
      </c>
      <c r="R170" s="23" t="s">
        <v>338</v>
      </c>
      <c r="S170" s="23" t="s">
        <v>1710</v>
      </c>
      <c r="T170" s="23" t="s">
        <v>12063</v>
      </c>
    </row>
    <row r="171" spans="1:20" x14ac:dyDescent="0.25">
      <c r="A171" s="23" t="s">
        <v>12064</v>
      </c>
      <c r="B171" s="23" t="s">
        <v>337</v>
      </c>
      <c r="C171" s="23" t="s">
        <v>12057</v>
      </c>
      <c r="D171" s="23" t="s">
        <v>12065</v>
      </c>
      <c r="E171" s="23" t="s">
        <v>12066</v>
      </c>
      <c r="F171" s="23" t="s">
        <v>40</v>
      </c>
      <c r="G171" s="23" t="s">
        <v>12067</v>
      </c>
      <c r="H171" s="23" t="s">
        <v>12068</v>
      </c>
      <c r="I171" s="23" t="s">
        <v>466</v>
      </c>
      <c r="J171" s="23" t="s">
        <v>466</v>
      </c>
      <c r="K171" s="27" t="s">
        <v>404</v>
      </c>
      <c r="L171" s="23" t="s">
        <v>405</v>
      </c>
      <c r="M171" s="25" t="s">
        <v>18</v>
      </c>
      <c r="N171" s="23" t="s">
        <v>40</v>
      </c>
      <c r="O171" s="23" t="s">
        <v>387</v>
      </c>
      <c r="P171" s="23" t="s">
        <v>40</v>
      </c>
      <c r="Q171" s="23" t="s">
        <v>40</v>
      </c>
      <c r="R171" s="23" t="s">
        <v>338</v>
      </c>
      <c r="S171" s="23" t="s">
        <v>12069</v>
      </c>
      <c r="T171" s="23" t="s">
        <v>40</v>
      </c>
    </row>
    <row r="172" spans="1:20" x14ac:dyDescent="0.25">
      <c r="A172" s="23" t="s">
        <v>12070</v>
      </c>
      <c r="B172" s="23" t="s">
        <v>337</v>
      </c>
      <c r="C172" s="23" t="s">
        <v>12071</v>
      </c>
      <c r="D172" s="23" t="s">
        <v>12072</v>
      </c>
      <c r="E172" s="23" t="s">
        <v>12073</v>
      </c>
      <c r="F172" s="23" t="s">
        <v>40</v>
      </c>
      <c r="G172" s="23" t="s">
        <v>12074</v>
      </c>
      <c r="H172" s="23" t="s">
        <v>12075</v>
      </c>
      <c r="I172" s="23" t="s">
        <v>12076</v>
      </c>
      <c r="J172" s="23" t="s">
        <v>466</v>
      </c>
      <c r="K172" s="27" t="s">
        <v>404</v>
      </c>
      <c r="L172" s="23" t="s">
        <v>405</v>
      </c>
      <c r="M172" s="25" t="s">
        <v>18</v>
      </c>
      <c r="N172" s="23" t="s">
        <v>40</v>
      </c>
      <c r="O172" s="23" t="s">
        <v>387</v>
      </c>
      <c r="P172" s="23" t="s">
        <v>40</v>
      </c>
      <c r="Q172" s="23" t="s">
        <v>40</v>
      </c>
      <c r="R172" s="23" t="s">
        <v>338</v>
      </c>
      <c r="S172" s="23" t="s">
        <v>1710</v>
      </c>
      <c r="T172" s="23" t="s">
        <v>6076</v>
      </c>
    </row>
    <row r="173" spans="1:20" x14ac:dyDescent="0.25">
      <c r="A173" s="23" t="s">
        <v>12077</v>
      </c>
      <c r="B173" s="23" t="s">
        <v>337</v>
      </c>
      <c r="C173" s="23" t="s">
        <v>12071</v>
      </c>
      <c r="D173" s="23" t="s">
        <v>12078</v>
      </c>
      <c r="E173" s="23" t="s">
        <v>12073</v>
      </c>
      <c r="F173" s="23" t="s">
        <v>40</v>
      </c>
      <c r="G173" s="23" t="s">
        <v>12079</v>
      </c>
      <c r="H173" s="23" t="s">
        <v>12080</v>
      </c>
      <c r="I173" s="23" t="s">
        <v>6120</v>
      </c>
      <c r="J173" s="23" t="s">
        <v>15</v>
      </c>
      <c r="K173" s="27" t="s">
        <v>404</v>
      </c>
      <c r="L173" s="23" t="s">
        <v>405</v>
      </c>
      <c r="M173" s="25" t="s">
        <v>18</v>
      </c>
      <c r="N173" s="23" t="s">
        <v>40</v>
      </c>
      <c r="O173" s="23" t="s">
        <v>387</v>
      </c>
      <c r="P173" s="23" t="s">
        <v>40</v>
      </c>
      <c r="Q173" s="23" t="s">
        <v>40</v>
      </c>
      <c r="R173" s="23" t="s">
        <v>338</v>
      </c>
      <c r="S173" s="23" t="s">
        <v>12081</v>
      </c>
      <c r="T173" s="23" t="s">
        <v>40</v>
      </c>
    </row>
    <row r="174" spans="1:20" x14ac:dyDescent="0.25">
      <c r="A174" s="23" t="s">
        <v>12082</v>
      </c>
      <c r="B174" s="23" t="s">
        <v>337</v>
      </c>
      <c r="C174" s="23" t="s">
        <v>5507</v>
      </c>
      <c r="D174" s="23" t="s">
        <v>12083</v>
      </c>
      <c r="E174" s="23" t="s">
        <v>12084</v>
      </c>
      <c r="F174" s="23" t="s">
        <v>40</v>
      </c>
      <c r="G174" s="23" t="s">
        <v>12085</v>
      </c>
      <c r="H174" s="23" t="s">
        <v>12086</v>
      </c>
      <c r="I174" s="23" t="s">
        <v>6120</v>
      </c>
      <c r="J174" s="23" t="s">
        <v>15</v>
      </c>
      <c r="K174" s="27" t="s">
        <v>404</v>
      </c>
      <c r="L174" s="23" t="s">
        <v>490</v>
      </c>
      <c r="M174" s="25" t="s">
        <v>18</v>
      </c>
      <c r="N174" s="23" t="s">
        <v>40</v>
      </c>
      <c r="O174" s="23" t="s">
        <v>387</v>
      </c>
      <c r="P174" s="23" t="s">
        <v>40</v>
      </c>
      <c r="Q174" s="23" t="s">
        <v>40</v>
      </c>
      <c r="R174" s="23" t="s">
        <v>338</v>
      </c>
      <c r="S174" s="23" t="s">
        <v>1710</v>
      </c>
      <c r="T174" s="23" t="s">
        <v>6076</v>
      </c>
    </row>
    <row r="175" spans="1:20" x14ac:dyDescent="0.25">
      <c r="A175" s="23" t="s">
        <v>12087</v>
      </c>
      <c r="B175" s="23" t="s">
        <v>337</v>
      </c>
      <c r="C175" s="23" t="s">
        <v>12088</v>
      </c>
      <c r="D175" s="23" t="s">
        <v>12089</v>
      </c>
      <c r="E175" s="23" t="s">
        <v>9402</v>
      </c>
      <c r="F175" s="23" t="s">
        <v>40</v>
      </c>
      <c r="G175" s="23" t="s">
        <v>12090</v>
      </c>
      <c r="H175" s="23" t="s">
        <v>12091</v>
      </c>
      <c r="I175" s="23" t="s">
        <v>6481</v>
      </c>
      <c r="J175" s="23" t="s">
        <v>385</v>
      </c>
      <c r="K175" s="32" t="s">
        <v>747</v>
      </c>
      <c r="L175" s="23" t="s">
        <v>490</v>
      </c>
      <c r="M175" s="25" t="s">
        <v>18</v>
      </c>
      <c r="N175" s="23" t="s">
        <v>40</v>
      </c>
      <c r="O175" s="23" t="s">
        <v>387</v>
      </c>
      <c r="P175" s="23" t="s">
        <v>40</v>
      </c>
      <c r="Q175" s="23" t="s">
        <v>40</v>
      </c>
      <c r="R175" s="23" t="s">
        <v>338</v>
      </c>
      <c r="S175" s="23" t="s">
        <v>1710</v>
      </c>
      <c r="T175" s="23" t="s">
        <v>40</v>
      </c>
    </row>
    <row r="176" spans="1:20" x14ac:dyDescent="0.25">
      <c r="A176" s="23" t="s">
        <v>12092</v>
      </c>
      <c r="B176" s="23" t="s">
        <v>12093</v>
      </c>
      <c r="C176" s="23" t="s">
        <v>563</v>
      </c>
      <c r="D176" s="23" t="s">
        <v>12094</v>
      </c>
      <c r="E176" s="23" t="s">
        <v>11193</v>
      </c>
      <c r="F176" s="23" t="s">
        <v>40</v>
      </c>
      <c r="G176" s="23" t="s">
        <v>12095</v>
      </c>
      <c r="H176" s="23" t="s">
        <v>12096</v>
      </c>
      <c r="I176" s="23" t="s">
        <v>12097</v>
      </c>
      <c r="J176" s="23" t="s">
        <v>563</v>
      </c>
      <c r="K176" s="26" t="s">
        <v>396</v>
      </c>
      <c r="L176" s="23" t="s">
        <v>13</v>
      </c>
      <c r="M176" s="33" t="s">
        <v>20</v>
      </c>
      <c r="N176" s="23" t="s">
        <v>40</v>
      </c>
      <c r="O176" s="23" t="s">
        <v>387</v>
      </c>
      <c r="P176" s="23" t="s">
        <v>40</v>
      </c>
      <c r="Q176" s="23" t="s">
        <v>40</v>
      </c>
      <c r="R176" s="23" t="s">
        <v>40</v>
      </c>
      <c r="S176" s="23" t="s">
        <v>12098</v>
      </c>
      <c r="T176" s="23" t="s">
        <v>40</v>
      </c>
    </row>
    <row r="177" spans="1:20" x14ac:dyDescent="0.25">
      <c r="A177" s="23" t="s">
        <v>12099</v>
      </c>
      <c r="B177" s="23" t="s">
        <v>12093</v>
      </c>
      <c r="C177" s="23" t="s">
        <v>563</v>
      </c>
      <c r="D177" s="23" t="s">
        <v>12100</v>
      </c>
      <c r="E177" s="23" t="s">
        <v>11193</v>
      </c>
      <c r="F177" s="23" t="s">
        <v>40</v>
      </c>
      <c r="G177" s="23" t="s">
        <v>12101</v>
      </c>
      <c r="H177" s="23" t="s">
        <v>12102</v>
      </c>
      <c r="I177" s="23" t="s">
        <v>12103</v>
      </c>
      <c r="J177" s="23" t="s">
        <v>563</v>
      </c>
      <c r="K177" s="26" t="s">
        <v>396</v>
      </c>
      <c r="L177" s="23" t="s">
        <v>13</v>
      </c>
      <c r="M177" s="25" t="s">
        <v>18</v>
      </c>
      <c r="N177" s="23" t="s">
        <v>40</v>
      </c>
      <c r="O177" s="23" t="s">
        <v>387</v>
      </c>
      <c r="P177" s="23" t="s">
        <v>40</v>
      </c>
      <c r="Q177" s="23" t="s">
        <v>40</v>
      </c>
      <c r="R177" s="23" t="s">
        <v>40</v>
      </c>
      <c r="S177" s="23" t="s">
        <v>11198</v>
      </c>
      <c r="T177" s="23" t="s">
        <v>40</v>
      </c>
    </row>
    <row r="178" spans="1:20" x14ac:dyDescent="0.25">
      <c r="A178" s="23" t="s">
        <v>12104</v>
      </c>
      <c r="B178" s="23" t="s">
        <v>12093</v>
      </c>
      <c r="C178" s="23" t="s">
        <v>12105</v>
      </c>
      <c r="D178" s="23" t="s">
        <v>12106</v>
      </c>
      <c r="E178" s="23" t="s">
        <v>12107</v>
      </c>
      <c r="F178" s="23" t="s">
        <v>40</v>
      </c>
      <c r="G178" s="23" t="s">
        <v>12108</v>
      </c>
      <c r="H178" s="23" t="s">
        <v>12109</v>
      </c>
      <c r="I178" s="23" t="s">
        <v>12110</v>
      </c>
      <c r="J178" s="23" t="s">
        <v>395</v>
      </c>
      <c r="K178" s="26" t="s">
        <v>396</v>
      </c>
      <c r="L178" s="23" t="s">
        <v>13</v>
      </c>
      <c r="M178" s="30" t="s">
        <v>19</v>
      </c>
      <c r="N178" s="23" t="s">
        <v>40</v>
      </c>
      <c r="O178" s="23" t="s">
        <v>387</v>
      </c>
      <c r="P178" s="23" t="s">
        <v>40</v>
      </c>
      <c r="Q178" s="23" t="s">
        <v>40</v>
      </c>
      <c r="R178" s="23" t="s">
        <v>40</v>
      </c>
      <c r="S178" s="23" t="s">
        <v>12111</v>
      </c>
      <c r="T178" s="23" t="s">
        <v>40</v>
      </c>
    </row>
    <row r="179" spans="1:20" x14ac:dyDescent="0.25">
      <c r="A179" s="23" t="s">
        <v>12112</v>
      </c>
      <c r="B179" s="23" t="s">
        <v>12093</v>
      </c>
      <c r="C179" s="23" t="s">
        <v>801</v>
      </c>
      <c r="D179" s="23" t="s">
        <v>12113</v>
      </c>
      <c r="E179" s="23" t="s">
        <v>11404</v>
      </c>
      <c r="F179" s="23" t="s">
        <v>40</v>
      </c>
      <c r="G179" s="23" t="s">
        <v>12114</v>
      </c>
      <c r="H179" s="23" t="s">
        <v>12115</v>
      </c>
      <c r="I179" s="23" t="s">
        <v>12116</v>
      </c>
      <c r="J179" s="23" t="s">
        <v>801</v>
      </c>
      <c r="K179" s="26" t="s">
        <v>396</v>
      </c>
      <c r="L179" s="23" t="s">
        <v>13</v>
      </c>
      <c r="M179" s="25" t="s">
        <v>18</v>
      </c>
      <c r="N179" s="23" t="s">
        <v>40</v>
      </c>
      <c r="O179" s="23" t="s">
        <v>387</v>
      </c>
      <c r="P179" s="23" t="s">
        <v>40</v>
      </c>
      <c r="Q179" s="23" t="s">
        <v>40</v>
      </c>
      <c r="R179" s="23" t="s">
        <v>40</v>
      </c>
      <c r="S179" s="23" t="s">
        <v>1710</v>
      </c>
      <c r="T179" s="23" t="s">
        <v>40</v>
      </c>
    </row>
    <row r="180" spans="1:20" x14ac:dyDescent="0.25">
      <c r="A180" s="23" t="s">
        <v>12117</v>
      </c>
      <c r="B180" s="23" t="s">
        <v>12093</v>
      </c>
      <c r="C180" s="23" t="s">
        <v>801</v>
      </c>
      <c r="D180" s="23" t="s">
        <v>12118</v>
      </c>
      <c r="E180" s="23" t="s">
        <v>12119</v>
      </c>
      <c r="F180" s="23" t="s">
        <v>40</v>
      </c>
      <c r="G180" s="23" t="s">
        <v>12120</v>
      </c>
      <c r="H180" s="23" t="s">
        <v>12121</v>
      </c>
      <c r="I180" s="23" t="s">
        <v>12122</v>
      </c>
      <c r="J180" s="23" t="s">
        <v>801</v>
      </c>
      <c r="K180" s="24" t="s">
        <v>386</v>
      </c>
      <c r="L180" s="23" t="s">
        <v>405</v>
      </c>
      <c r="M180" s="25" t="s">
        <v>18</v>
      </c>
      <c r="N180" s="23" t="s">
        <v>40</v>
      </c>
      <c r="O180" s="23" t="s">
        <v>387</v>
      </c>
      <c r="P180" s="23" t="s">
        <v>40</v>
      </c>
      <c r="Q180" s="23" t="s">
        <v>40</v>
      </c>
      <c r="R180" s="23" t="s">
        <v>40</v>
      </c>
      <c r="S180" s="23" t="s">
        <v>1710</v>
      </c>
      <c r="T180" s="23" t="s">
        <v>40</v>
      </c>
    </row>
    <row r="181" spans="1:20" x14ac:dyDescent="0.25">
      <c r="A181" s="23" t="s">
        <v>12123</v>
      </c>
      <c r="B181" s="23" t="s">
        <v>12093</v>
      </c>
      <c r="C181" s="23" t="s">
        <v>801</v>
      </c>
      <c r="D181" s="23" t="s">
        <v>12124</v>
      </c>
      <c r="E181" s="23" t="s">
        <v>12125</v>
      </c>
      <c r="F181" s="23" t="s">
        <v>40</v>
      </c>
      <c r="G181" s="23" t="s">
        <v>12126</v>
      </c>
      <c r="H181" s="23" t="s">
        <v>12127</v>
      </c>
      <c r="I181" s="23" t="s">
        <v>12128</v>
      </c>
      <c r="J181" s="23" t="s">
        <v>801</v>
      </c>
      <c r="K181" s="27" t="s">
        <v>404</v>
      </c>
      <c r="L181" s="23" t="s">
        <v>490</v>
      </c>
      <c r="M181" s="25" t="s">
        <v>18</v>
      </c>
      <c r="N181" s="23" t="s">
        <v>40</v>
      </c>
      <c r="O181" s="23" t="s">
        <v>387</v>
      </c>
      <c r="P181" s="23" t="s">
        <v>40</v>
      </c>
      <c r="Q181" s="23" t="s">
        <v>40</v>
      </c>
      <c r="R181" s="23" t="s">
        <v>40</v>
      </c>
      <c r="S181" s="23" t="s">
        <v>1710</v>
      </c>
      <c r="T181" s="23" t="s">
        <v>11360</v>
      </c>
    </row>
    <row r="182" spans="1:20" x14ac:dyDescent="0.25">
      <c r="A182" s="23" t="s">
        <v>12129</v>
      </c>
      <c r="B182" s="23" t="s">
        <v>12093</v>
      </c>
      <c r="C182" s="23" t="s">
        <v>12088</v>
      </c>
      <c r="D182" s="23" t="s">
        <v>12130</v>
      </c>
      <c r="E182" s="23" t="s">
        <v>12131</v>
      </c>
      <c r="F182" s="23" t="s">
        <v>40</v>
      </c>
      <c r="G182" s="23" t="s">
        <v>12132</v>
      </c>
      <c r="H182" s="23" t="s">
        <v>12133</v>
      </c>
      <c r="I182" s="23" t="s">
        <v>12134</v>
      </c>
      <c r="J182" s="23" t="s">
        <v>395</v>
      </c>
      <c r="K182" s="26" t="s">
        <v>396</v>
      </c>
      <c r="L182" s="23" t="s">
        <v>13</v>
      </c>
      <c r="M182" s="25" t="s">
        <v>18</v>
      </c>
      <c r="N182" s="23" t="s">
        <v>40</v>
      </c>
      <c r="O182" s="23" t="s">
        <v>387</v>
      </c>
      <c r="P182" s="23" t="s">
        <v>40</v>
      </c>
      <c r="Q182" s="23" t="s">
        <v>40</v>
      </c>
      <c r="R182" s="23" t="s">
        <v>40</v>
      </c>
      <c r="S182" s="23" t="s">
        <v>1710</v>
      </c>
      <c r="T182" s="23" t="s">
        <v>12135</v>
      </c>
    </row>
  </sheetData>
  <autoFilter ref="A1:T182"/>
  <dataValidations count="2">
    <dataValidation type="list" allowBlank="1" sqref="O10:O182">
      <formula1>"Passed,Failed,Blocked,Not Executed,Passed (19 Oct 2026)"</formula1>
    </dataValidation>
    <dataValidation type="list" allowBlank="1" sqref="O2:O182">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0"/>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12136</v>
      </c>
      <c r="B2" s="23" t="s">
        <v>315</v>
      </c>
      <c r="C2" s="23" t="s">
        <v>944</v>
      </c>
      <c r="D2" s="23" t="s">
        <v>12137</v>
      </c>
      <c r="E2" s="23" t="s">
        <v>647</v>
      </c>
      <c r="F2" s="23" t="s">
        <v>40</v>
      </c>
      <c r="G2" s="23" t="s">
        <v>12138</v>
      </c>
      <c r="H2" s="23" t="s">
        <v>12139</v>
      </c>
      <c r="I2" s="23" t="s">
        <v>12140</v>
      </c>
      <c r="J2" s="23" t="s">
        <v>385</v>
      </c>
      <c r="K2" s="24" t="s">
        <v>386</v>
      </c>
      <c r="L2" s="23" t="s">
        <v>13</v>
      </c>
      <c r="M2" s="31" t="s">
        <v>17</v>
      </c>
      <c r="N2" s="23" t="s">
        <v>12141</v>
      </c>
      <c r="O2" s="29" t="s">
        <v>87</v>
      </c>
      <c r="P2" s="23" t="s">
        <v>40</v>
      </c>
      <c r="Q2" s="23" t="s">
        <v>40</v>
      </c>
      <c r="R2" s="23" t="s">
        <v>316</v>
      </c>
      <c r="S2" s="23" t="s">
        <v>40</v>
      </c>
      <c r="T2" s="23" t="s">
        <v>40</v>
      </c>
    </row>
    <row r="3" spans="1:20" x14ac:dyDescent="0.25">
      <c r="A3" s="23" t="s">
        <v>12142</v>
      </c>
      <c r="B3" s="23" t="s">
        <v>315</v>
      </c>
      <c r="C3" s="23" t="s">
        <v>12143</v>
      </c>
      <c r="D3" s="23" t="s">
        <v>12144</v>
      </c>
      <c r="E3" s="23" t="s">
        <v>647</v>
      </c>
      <c r="F3" s="23" t="s">
        <v>12145</v>
      </c>
      <c r="G3" s="23" t="s">
        <v>12146</v>
      </c>
      <c r="H3" s="23" t="s">
        <v>12147</v>
      </c>
      <c r="I3" s="23" t="s">
        <v>12148</v>
      </c>
      <c r="J3" s="23" t="s">
        <v>14</v>
      </c>
      <c r="K3" s="26" t="s">
        <v>396</v>
      </c>
      <c r="L3" s="23" t="s">
        <v>13</v>
      </c>
      <c r="M3" s="25" t="s">
        <v>18</v>
      </c>
      <c r="N3" s="23" t="s">
        <v>40</v>
      </c>
      <c r="O3" s="23" t="s">
        <v>387</v>
      </c>
      <c r="P3" s="23" t="s">
        <v>40</v>
      </c>
      <c r="Q3" s="23" t="s">
        <v>40</v>
      </c>
      <c r="R3" s="23" t="s">
        <v>316</v>
      </c>
      <c r="S3" s="23" t="s">
        <v>40</v>
      </c>
      <c r="T3" s="23" t="s">
        <v>40</v>
      </c>
    </row>
    <row r="4" spans="1:20" x14ac:dyDescent="0.25">
      <c r="A4" s="23" t="s">
        <v>12149</v>
      </c>
      <c r="B4" s="23" t="s">
        <v>315</v>
      </c>
      <c r="C4" s="23" t="s">
        <v>12143</v>
      </c>
      <c r="D4" s="23" t="s">
        <v>12150</v>
      </c>
      <c r="E4" s="23" t="s">
        <v>12151</v>
      </c>
      <c r="F4" s="23" t="s">
        <v>40</v>
      </c>
      <c r="G4" s="23" t="s">
        <v>12152</v>
      </c>
      <c r="H4" s="23" t="s">
        <v>12153</v>
      </c>
      <c r="I4" s="23" t="s">
        <v>12154</v>
      </c>
      <c r="J4" s="23" t="s">
        <v>801</v>
      </c>
      <c r="K4" s="24" t="s">
        <v>386</v>
      </c>
      <c r="L4" s="23" t="s">
        <v>405</v>
      </c>
      <c r="M4" s="25" t="s">
        <v>18</v>
      </c>
      <c r="N4" s="23" t="s">
        <v>40</v>
      </c>
      <c r="O4" s="23" t="s">
        <v>387</v>
      </c>
      <c r="P4" s="23" t="s">
        <v>40</v>
      </c>
      <c r="Q4" s="23" t="s">
        <v>40</v>
      </c>
      <c r="R4" s="23" t="s">
        <v>316</v>
      </c>
      <c r="S4" s="23" t="s">
        <v>40</v>
      </c>
      <c r="T4" s="23" t="s">
        <v>40</v>
      </c>
    </row>
    <row r="5" spans="1:20" x14ac:dyDescent="0.25">
      <c r="A5" s="23" t="s">
        <v>12155</v>
      </c>
      <c r="B5" s="23" t="s">
        <v>315</v>
      </c>
      <c r="C5" s="23" t="s">
        <v>1788</v>
      </c>
      <c r="D5" s="23" t="s">
        <v>12156</v>
      </c>
      <c r="E5" s="23" t="s">
        <v>647</v>
      </c>
      <c r="F5" s="23" t="s">
        <v>40</v>
      </c>
      <c r="G5" s="23" t="s">
        <v>12157</v>
      </c>
      <c r="H5" s="23" t="s">
        <v>12158</v>
      </c>
      <c r="I5" s="23" t="s">
        <v>12159</v>
      </c>
      <c r="J5" s="23" t="s">
        <v>14</v>
      </c>
      <c r="K5" s="24" t="s">
        <v>386</v>
      </c>
      <c r="L5" s="23" t="s">
        <v>405</v>
      </c>
      <c r="M5" s="25" t="s">
        <v>18</v>
      </c>
      <c r="N5" s="23" t="s">
        <v>40</v>
      </c>
      <c r="O5" s="23" t="s">
        <v>387</v>
      </c>
      <c r="P5" s="23" t="s">
        <v>40</v>
      </c>
      <c r="Q5" s="23" t="s">
        <v>40</v>
      </c>
      <c r="R5" s="23" t="s">
        <v>316</v>
      </c>
      <c r="S5" s="23" t="s">
        <v>40</v>
      </c>
      <c r="T5" s="23" t="s">
        <v>40</v>
      </c>
    </row>
    <row r="6" spans="1:20" x14ac:dyDescent="0.25">
      <c r="A6" s="23" t="s">
        <v>12160</v>
      </c>
      <c r="B6" s="23" t="s">
        <v>315</v>
      </c>
      <c r="C6" s="23" t="s">
        <v>1788</v>
      </c>
      <c r="D6" s="23" t="s">
        <v>12161</v>
      </c>
      <c r="E6" s="23" t="s">
        <v>647</v>
      </c>
      <c r="F6" s="23" t="s">
        <v>40</v>
      </c>
      <c r="G6" s="23" t="s">
        <v>12162</v>
      </c>
      <c r="H6" s="23" t="s">
        <v>12163</v>
      </c>
      <c r="I6" s="23" t="s">
        <v>12164</v>
      </c>
      <c r="J6" s="23" t="s">
        <v>385</v>
      </c>
      <c r="K6" s="32" t="s">
        <v>747</v>
      </c>
      <c r="L6" s="23" t="s">
        <v>490</v>
      </c>
      <c r="M6" s="25" t="s">
        <v>18</v>
      </c>
      <c r="N6" s="23" t="s">
        <v>40</v>
      </c>
      <c r="O6" s="23" t="s">
        <v>387</v>
      </c>
      <c r="P6" s="23" t="s">
        <v>40</v>
      </c>
      <c r="Q6" s="23" t="s">
        <v>40</v>
      </c>
      <c r="R6" s="23" t="s">
        <v>316</v>
      </c>
      <c r="S6" s="23" t="s">
        <v>40</v>
      </c>
      <c r="T6" s="23" t="s">
        <v>40</v>
      </c>
    </row>
    <row r="7" spans="1:20" x14ac:dyDescent="0.25">
      <c r="A7" s="23" t="s">
        <v>12165</v>
      </c>
      <c r="B7" s="23" t="s">
        <v>315</v>
      </c>
      <c r="C7" s="23" t="s">
        <v>1788</v>
      </c>
      <c r="D7" s="23" t="s">
        <v>12166</v>
      </c>
      <c r="E7" s="23" t="s">
        <v>647</v>
      </c>
      <c r="F7" s="23" t="s">
        <v>12167</v>
      </c>
      <c r="G7" s="23" t="s">
        <v>12168</v>
      </c>
      <c r="H7" s="23" t="s">
        <v>12169</v>
      </c>
      <c r="I7" s="23" t="s">
        <v>12170</v>
      </c>
      <c r="J7" s="23" t="s">
        <v>385</v>
      </c>
      <c r="K7" s="32" t="s">
        <v>747</v>
      </c>
      <c r="L7" s="23" t="s">
        <v>490</v>
      </c>
      <c r="M7" s="25" t="s">
        <v>18</v>
      </c>
      <c r="N7" s="23" t="s">
        <v>40</v>
      </c>
      <c r="O7" s="23" t="s">
        <v>387</v>
      </c>
      <c r="P7" s="23" t="s">
        <v>40</v>
      </c>
      <c r="Q7" s="23" t="s">
        <v>40</v>
      </c>
      <c r="R7" s="23" t="s">
        <v>316</v>
      </c>
      <c r="S7" s="23" t="s">
        <v>40</v>
      </c>
      <c r="T7" s="23" t="s">
        <v>40</v>
      </c>
    </row>
    <row r="8" spans="1:20" x14ac:dyDescent="0.25">
      <c r="A8" s="23" t="s">
        <v>12171</v>
      </c>
      <c r="B8" s="23" t="s">
        <v>315</v>
      </c>
      <c r="C8" s="23" t="s">
        <v>12172</v>
      </c>
      <c r="D8" s="23" t="s">
        <v>12173</v>
      </c>
      <c r="E8" s="23" t="s">
        <v>647</v>
      </c>
      <c r="F8" s="23" t="s">
        <v>40</v>
      </c>
      <c r="G8" s="23" t="s">
        <v>12174</v>
      </c>
      <c r="H8" s="23" t="s">
        <v>12175</v>
      </c>
      <c r="I8" s="23" t="s">
        <v>12176</v>
      </c>
      <c r="J8" s="23" t="s">
        <v>525</v>
      </c>
      <c r="K8" s="24" t="s">
        <v>386</v>
      </c>
      <c r="L8" s="23" t="s">
        <v>13</v>
      </c>
      <c r="M8" s="25" t="s">
        <v>18</v>
      </c>
      <c r="N8" s="23" t="s">
        <v>40</v>
      </c>
      <c r="O8" s="23" t="s">
        <v>387</v>
      </c>
      <c r="P8" s="23" t="s">
        <v>40</v>
      </c>
      <c r="Q8" s="23" t="s">
        <v>40</v>
      </c>
      <c r="R8" s="23" t="s">
        <v>316</v>
      </c>
      <c r="S8" s="23" t="s">
        <v>40</v>
      </c>
      <c r="T8" s="23" t="s">
        <v>40</v>
      </c>
    </row>
    <row r="9" spans="1:20" x14ac:dyDescent="0.25">
      <c r="A9" s="23" t="s">
        <v>12177</v>
      </c>
      <c r="B9" s="23" t="s">
        <v>315</v>
      </c>
      <c r="C9" s="23" t="s">
        <v>12172</v>
      </c>
      <c r="D9" s="23" t="s">
        <v>12178</v>
      </c>
      <c r="E9" s="23" t="s">
        <v>12179</v>
      </c>
      <c r="F9" s="23" t="s">
        <v>40</v>
      </c>
      <c r="G9" s="23" t="s">
        <v>12180</v>
      </c>
      <c r="H9" s="23" t="s">
        <v>12181</v>
      </c>
      <c r="I9" s="23" t="s">
        <v>12182</v>
      </c>
      <c r="J9" s="23" t="s">
        <v>525</v>
      </c>
      <c r="K9" s="24" t="s">
        <v>386</v>
      </c>
      <c r="L9" s="23" t="s">
        <v>13</v>
      </c>
      <c r="M9" s="25" t="s">
        <v>18</v>
      </c>
      <c r="N9" s="23" t="s">
        <v>40</v>
      </c>
      <c r="O9" s="23" t="s">
        <v>387</v>
      </c>
      <c r="P9" s="23" t="s">
        <v>40</v>
      </c>
      <c r="Q9" s="23" t="s">
        <v>40</v>
      </c>
      <c r="R9" s="23" t="s">
        <v>316</v>
      </c>
      <c r="S9" s="23" t="s">
        <v>40</v>
      </c>
      <c r="T9" s="23" t="s">
        <v>40</v>
      </c>
    </row>
    <row r="10" spans="1:20" x14ac:dyDescent="0.25">
      <c r="A10" s="23" t="s">
        <v>12183</v>
      </c>
      <c r="B10" s="23" t="s">
        <v>315</v>
      </c>
      <c r="C10" s="23" t="s">
        <v>610</v>
      </c>
      <c r="D10" s="23" t="s">
        <v>12184</v>
      </c>
      <c r="E10" s="23" t="s">
        <v>12185</v>
      </c>
      <c r="F10" s="23" t="s">
        <v>40</v>
      </c>
      <c r="G10" s="23" t="s">
        <v>12186</v>
      </c>
      <c r="H10" s="23" t="s">
        <v>12187</v>
      </c>
      <c r="I10" s="23" t="s">
        <v>12188</v>
      </c>
      <c r="J10" s="23" t="s">
        <v>395</v>
      </c>
      <c r="K10" s="26" t="s">
        <v>396</v>
      </c>
      <c r="L10" s="23" t="s">
        <v>13</v>
      </c>
      <c r="M10" s="25" t="s">
        <v>18</v>
      </c>
      <c r="N10" s="23" t="s">
        <v>40</v>
      </c>
      <c r="O10" s="23" t="s">
        <v>387</v>
      </c>
      <c r="P10" s="23" t="s">
        <v>40</v>
      </c>
      <c r="Q10" s="23" t="s">
        <v>40</v>
      </c>
      <c r="R10" s="23" t="s">
        <v>316</v>
      </c>
      <c r="S10" s="23" t="s">
        <v>40</v>
      </c>
      <c r="T10" s="23" t="s">
        <v>40</v>
      </c>
    </row>
    <row r="11" spans="1:20" x14ac:dyDescent="0.25">
      <c r="A11" s="23" t="s">
        <v>12189</v>
      </c>
      <c r="B11" s="23" t="s">
        <v>315</v>
      </c>
      <c r="C11" s="23" t="s">
        <v>12190</v>
      </c>
      <c r="D11" s="23" t="s">
        <v>12191</v>
      </c>
      <c r="E11" s="23" t="s">
        <v>647</v>
      </c>
      <c r="F11" s="23" t="s">
        <v>12192</v>
      </c>
      <c r="G11" s="23" t="s">
        <v>12193</v>
      </c>
      <c r="H11" s="23" t="s">
        <v>12194</v>
      </c>
      <c r="I11" s="23" t="s">
        <v>12195</v>
      </c>
      <c r="J11" s="23" t="s">
        <v>385</v>
      </c>
      <c r="K11" s="32" t="s">
        <v>747</v>
      </c>
      <c r="L11" s="23" t="s">
        <v>490</v>
      </c>
      <c r="M11" s="25" t="s">
        <v>18</v>
      </c>
      <c r="N11" s="23" t="s">
        <v>40</v>
      </c>
      <c r="O11" s="23" t="s">
        <v>387</v>
      </c>
      <c r="P11" s="23" t="s">
        <v>40</v>
      </c>
      <c r="Q11" s="23" t="s">
        <v>40</v>
      </c>
      <c r="R11" s="23" t="s">
        <v>316</v>
      </c>
      <c r="S11" s="23" t="s">
        <v>40</v>
      </c>
      <c r="T11" s="23" t="s">
        <v>40</v>
      </c>
    </row>
    <row r="12" spans="1:20" x14ac:dyDescent="0.25">
      <c r="A12" s="23" t="s">
        <v>12196</v>
      </c>
      <c r="B12" s="23" t="s">
        <v>317</v>
      </c>
      <c r="C12" s="23" t="s">
        <v>944</v>
      </c>
      <c r="D12" s="23" t="s">
        <v>12197</v>
      </c>
      <c r="E12" s="23" t="s">
        <v>647</v>
      </c>
      <c r="F12" s="23" t="s">
        <v>40</v>
      </c>
      <c r="G12" s="23" t="s">
        <v>12198</v>
      </c>
      <c r="H12" s="23" t="s">
        <v>12199</v>
      </c>
      <c r="I12" s="23" t="s">
        <v>12200</v>
      </c>
      <c r="J12" s="23" t="s">
        <v>385</v>
      </c>
      <c r="K12" s="24" t="s">
        <v>386</v>
      </c>
      <c r="L12" s="23" t="s">
        <v>13</v>
      </c>
      <c r="M12" s="31" t="s">
        <v>17</v>
      </c>
      <c r="N12" s="23" t="s">
        <v>12201</v>
      </c>
      <c r="O12" s="29" t="s">
        <v>87</v>
      </c>
      <c r="P12" s="23" t="s">
        <v>40</v>
      </c>
      <c r="Q12" s="23" t="s">
        <v>40</v>
      </c>
      <c r="R12" s="23" t="s">
        <v>318</v>
      </c>
      <c r="S12" s="23" t="s">
        <v>40</v>
      </c>
      <c r="T12" s="23" t="s">
        <v>40</v>
      </c>
    </row>
    <row r="13" spans="1:20" x14ac:dyDescent="0.25">
      <c r="A13" s="23" t="s">
        <v>12202</v>
      </c>
      <c r="B13" s="23" t="s">
        <v>317</v>
      </c>
      <c r="C13" s="23" t="s">
        <v>12203</v>
      </c>
      <c r="D13" s="23" t="s">
        <v>12204</v>
      </c>
      <c r="E13" s="23" t="s">
        <v>647</v>
      </c>
      <c r="F13" s="23" t="s">
        <v>40</v>
      </c>
      <c r="G13" s="23" t="s">
        <v>12205</v>
      </c>
      <c r="H13" s="23" t="s">
        <v>12206</v>
      </c>
      <c r="I13" s="23" t="s">
        <v>12207</v>
      </c>
      <c r="J13" s="23" t="s">
        <v>14</v>
      </c>
      <c r="K13" s="26" t="s">
        <v>396</v>
      </c>
      <c r="L13" s="23" t="s">
        <v>13</v>
      </c>
      <c r="M13" s="25" t="s">
        <v>18</v>
      </c>
      <c r="N13" s="23" t="s">
        <v>40</v>
      </c>
      <c r="O13" s="23" t="s">
        <v>387</v>
      </c>
      <c r="P13" s="23" t="s">
        <v>40</v>
      </c>
      <c r="Q13" s="23" t="s">
        <v>40</v>
      </c>
      <c r="R13" s="23" t="s">
        <v>318</v>
      </c>
      <c r="S13" s="23" t="s">
        <v>40</v>
      </c>
      <c r="T13" s="23" t="s">
        <v>40</v>
      </c>
    </row>
    <row r="14" spans="1:20" x14ac:dyDescent="0.25">
      <c r="A14" s="23" t="s">
        <v>12208</v>
      </c>
      <c r="B14" s="23" t="s">
        <v>317</v>
      </c>
      <c r="C14" s="23" t="s">
        <v>12203</v>
      </c>
      <c r="D14" s="23" t="s">
        <v>12209</v>
      </c>
      <c r="E14" s="23" t="s">
        <v>12210</v>
      </c>
      <c r="F14" s="23" t="s">
        <v>12211</v>
      </c>
      <c r="G14" s="23" t="s">
        <v>12212</v>
      </c>
      <c r="H14" s="23" t="s">
        <v>12213</v>
      </c>
      <c r="I14" s="23" t="s">
        <v>12214</v>
      </c>
      <c r="J14" s="23" t="s">
        <v>801</v>
      </c>
      <c r="K14" s="24" t="s">
        <v>386</v>
      </c>
      <c r="L14" s="23" t="s">
        <v>405</v>
      </c>
      <c r="M14" s="25" t="s">
        <v>18</v>
      </c>
      <c r="N14" s="23" t="s">
        <v>40</v>
      </c>
      <c r="O14" s="23" t="s">
        <v>387</v>
      </c>
      <c r="P14" s="23" t="s">
        <v>40</v>
      </c>
      <c r="Q14" s="23" t="s">
        <v>40</v>
      </c>
      <c r="R14" s="23" t="s">
        <v>318</v>
      </c>
      <c r="S14" s="23" t="s">
        <v>40</v>
      </c>
      <c r="T14" s="23" t="s">
        <v>40</v>
      </c>
    </row>
    <row r="15" spans="1:20" x14ac:dyDescent="0.25">
      <c r="A15" s="23" t="s">
        <v>12215</v>
      </c>
      <c r="B15" s="23" t="s">
        <v>317</v>
      </c>
      <c r="C15" s="23" t="s">
        <v>12216</v>
      </c>
      <c r="D15" s="23" t="s">
        <v>12217</v>
      </c>
      <c r="E15" s="23" t="s">
        <v>647</v>
      </c>
      <c r="F15" s="23" t="s">
        <v>12218</v>
      </c>
      <c r="G15" s="23" t="s">
        <v>12219</v>
      </c>
      <c r="H15" s="23" t="s">
        <v>12220</v>
      </c>
      <c r="I15" s="23" t="s">
        <v>12221</v>
      </c>
      <c r="J15" s="23" t="s">
        <v>14</v>
      </c>
      <c r="K15" s="26" t="s">
        <v>396</v>
      </c>
      <c r="L15" s="23" t="s">
        <v>13</v>
      </c>
      <c r="M15" s="25" t="s">
        <v>18</v>
      </c>
      <c r="N15" s="23" t="s">
        <v>40</v>
      </c>
      <c r="O15" s="23" t="s">
        <v>387</v>
      </c>
      <c r="P15" s="23" t="s">
        <v>40</v>
      </c>
      <c r="Q15" s="23" t="s">
        <v>40</v>
      </c>
      <c r="R15" s="23" t="s">
        <v>318</v>
      </c>
      <c r="S15" s="23" t="s">
        <v>40</v>
      </c>
      <c r="T15" s="23" t="s">
        <v>40</v>
      </c>
    </row>
    <row r="16" spans="1:20" x14ac:dyDescent="0.25">
      <c r="A16" s="23" t="s">
        <v>12222</v>
      </c>
      <c r="B16" s="23" t="s">
        <v>317</v>
      </c>
      <c r="C16" s="23" t="s">
        <v>12216</v>
      </c>
      <c r="D16" s="23" t="s">
        <v>12223</v>
      </c>
      <c r="E16" s="23" t="s">
        <v>12224</v>
      </c>
      <c r="F16" s="23" t="s">
        <v>40</v>
      </c>
      <c r="G16" s="23" t="s">
        <v>12225</v>
      </c>
      <c r="H16" s="23" t="s">
        <v>12226</v>
      </c>
      <c r="I16" s="23" t="s">
        <v>12227</v>
      </c>
      <c r="J16" s="23" t="s">
        <v>14</v>
      </c>
      <c r="K16" s="26" t="s">
        <v>396</v>
      </c>
      <c r="L16" s="23" t="s">
        <v>13</v>
      </c>
      <c r="M16" s="25" t="s">
        <v>18</v>
      </c>
      <c r="N16" s="23" t="s">
        <v>40</v>
      </c>
      <c r="O16" s="23" t="s">
        <v>387</v>
      </c>
      <c r="P16" s="23" t="s">
        <v>40</v>
      </c>
      <c r="Q16" s="23" t="s">
        <v>40</v>
      </c>
      <c r="R16" s="23" t="s">
        <v>318</v>
      </c>
      <c r="S16" s="23" t="s">
        <v>40</v>
      </c>
      <c r="T16" s="23" t="s">
        <v>40</v>
      </c>
    </row>
    <row r="17" spans="1:20" x14ac:dyDescent="0.25">
      <c r="A17" s="23" t="s">
        <v>12228</v>
      </c>
      <c r="B17" s="23" t="s">
        <v>317</v>
      </c>
      <c r="C17" s="23" t="s">
        <v>12216</v>
      </c>
      <c r="D17" s="23" t="s">
        <v>12229</v>
      </c>
      <c r="E17" s="23" t="s">
        <v>12230</v>
      </c>
      <c r="F17" s="23" t="s">
        <v>40</v>
      </c>
      <c r="G17" s="23" t="s">
        <v>12231</v>
      </c>
      <c r="H17" s="23" t="s">
        <v>12232</v>
      </c>
      <c r="I17" s="23" t="s">
        <v>12233</v>
      </c>
      <c r="J17" s="23" t="s">
        <v>801</v>
      </c>
      <c r="K17" s="26" t="s">
        <v>396</v>
      </c>
      <c r="L17" s="23" t="s">
        <v>13</v>
      </c>
      <c r="M17" s="25" t="s">
        <v>18</v>
      </c>
      <c r="N17" s="23" t="s">
        <v>40</v>
      </c>
      <c r="O17" s="23" t="s">
        <v>387</v>
      </c>
      <c r="P17" s="23" t="s">
        <v>40</v>
      </c>
      <c r="Q17" s="23" t="s">
        <v>40</v>
      </c>
      <c r="R17" s="23" t="s">
        <v>318</v>
      </c>
      <c r="S17" s="23" t="s">
        <v>40</v>
      </c>
      <c r="T17" s="23" t="s">
        <v>12234</v>
      </c>
    </row>
    <row r="18" spans="1:20" x14ac:dyDescent="0.25">
      <c r="A18" s="23" t="s">
        <v>12235</v>
      </c>
      <c r="B18" s="23" t="s">
        <v>317</v>
      </c>
      <c r="C18" s="23" t="s">
        <v>12216</v>
      </c>
      <c r="D18" s="23" t="s">
        <v>12236</v>
      </c>
      <c r="E18" s="23" t="s">
        <v>12230</v>
      </c>
      <c r="F18" s="23" t="s">
        <v>12237</v>
      </c>
      <c r="G18" s="23" t="s">
        <v>12238</v>
      </c>
      <c r="H18" s="23" t="s">
        <v>12239</v>
      </c>
      <c r="I18" s="23" t="s">
        <v>12240</v>
      </c>
      <c r="J18" s="23" t="s">
        <v>15</v>
      </c>
      <c r="K18" s="24" t="s">
        <v>386</v>
      </c>
      <c r="L18" s="23" t="s">
        <v>13</v>
      </c>
      <c r="M18" s="25" t="s">
        <v>18</v>
      </c>
      <c r="N18" s="23" t="s">
        <v>40</v>
      </c>
      <c r="O18" s="23" t="s">
        <v>387</v>
      </c>
      <c r="P18" s="23" t="s">
        <v>40</v>
      </c>
      <c r="Q18" s="23" t="s">
        <v>40</v>
      </c>
      <c r="R18" s="23" t="s">
        <v>318</v>
      </c>
      <c r="S18" s="23" t="s">
        <v>40</v>
      </c>
      <c r="T18" s="23" t="s">
        <v>12241</v>
      </c>
    </row>
    <row r="19" spans="1:20" x14ac:dyDescent="0.25">
      <c r="A19" s="23" t="s">
        <v>12242</v>
      </c>
      <c r="B19" s="23" t="s">
        <v>317</v>
      </c>
      <c r="C19" s="23" t="s">
        <v>12216</v>
      </c>
      <c r="D19" s="23" t="s">
        <v>12243</v>
      </c>
      <c r="E19" s="23" t="s">
        <v>12244</v>
      </c>
      <c r="F19" s="23" t="s">
        <v>40</v>
      </c>
      <c r="G19" s="23" t="s">
        <v>12245</v>
      </c>
      <c r="H19" s="23" t="s">
        <v>12246</v>
      </c>
      <c r="I19" s="23" t="s">
        <v>12247</v>
      </c>
      <c r="J19" s="23" t="s">
        <v>466</v>
      </c>
      <c r="K19" s="27" t="s">
        <v>404</v>
      </c>
      <c r="L19" s="23" t="s">
        <v>405</v>
      </c>
      <c r="M19" s="25" t="s">
        <v>18</v>
      </c>
      <c r="N19" s="23" t="s">
        <v>40</v>
      </c>
      <c r="O19" s="23" t="s">
        <v>387</v>
      </c>
      <c r="P19" s="23" t="s">
        <v>40</v>
      </c>
      <c r="Q19" s="23" t="s">
        <v>40</v>
      </c>
      <c r="R19" s="23" t="s">
        <v>318</v>
      </c>
      <c r="S19" s="23" t="s">
        <v>40</v>
      </c>
      <c r="T19" s="23" t="s">
        <v>12241</v>
      </c>
    </row>
    <row r="20" spans="1:20" x14ac:dyDescent="0.25">
      <c r="A20" s="23" t="s">
        <v>12248</v>
      </c>
      <c r="B20" s="23" t="s">
        <v>317</v>
      </c>
      <c r="C20" s="23" t="s">
        <v>12216</v>
      </c>
      <c r="D20" s="23" t="s">
        <v>12249</v>
      </c>
      <c r="E20" s="23" t="s">
        <v>647</v>
      </c>
      <c r="F20" s="23" t="s">
        <v>40</v>
      </c>
      <c r="G20" s="23" t="s">
        <v>12250</v>
      </c>
      <c r="H20" s="23" t="s">
        <v>12251</v>
      </c>
      <c r="I20" s="23" t="s">
        <v>12252</v>
      </c>
      <c r="J20" s="23" t="s">
        <v>466</v>
      </c>
      <c r="K20" s="27" t="s">
        <v>404</v>
      </c>
      <c r="L20" s="23" t="s">
        <v>405</v>
      </c>
      <c r="M20" s="25" t="s">
        <v>18</v>
      </c>
      <c r="N20" s="23" t="s">
        <v>40</v>
      </c>
      <c r="O20" s="23" t="s">
        <v>387</v>
      </c>
      <c r="P20" s="23" t="s">
        <v>40</v>
      </c>
      <c r="Q20" s="23" t="s">
        <v>40</v>
      </c>
      <c r="R20" s="23" t="s">
        <v>318</v>
      </c>
      <c r="S20" s="23" t="s">
        <v>40</v>
      </c>
      <c r="T20" s="23" t="s">
        <v>40</v>
      </c>
    </row>
    <row r="21" spans="1:20" x14ac:dyDescent="0.25">
      <c r="A21" s="23" t="s">
        <v>12253</v>
      </c>
      <c r="B21" s="23" t="s">
        <v>317</v>
      </c>
      <c r="C21" s="23" t="s">
        <v>12216</v>
      </c>
      <c r="D21" s="23" t="s">
        <v>12254</v>
      </c>
      <c r="E21" s="23" t="s">
        <v>647</v>
      </c>
      <c r="F21" s="23" t="s">
        <v>40</v>
      </c>
      <c r="G21" s="23" t="s">
        <v>12255</v>
      </c>
      <c r="H21" s="23" t="s">
        <v>12256</v>
      </c>
      <c r="I21" s="23" t="s">
        <v>12257</v>
      </c>
      <c r="J21" s="23" t="s">
        <v>15</v>
      </c>
      <c r="K21" s="27" t="s">
        <v>404</v>
      </c>
      <c r="L21" s="23" t="s">
        <v>490</v>
      </c>
      <c r="M21" s="25" t="s">
        <v>18</v>
      </c>
      <c r="N21" s="23" t="s">
        <v>40</v>
      </c>
      <c r="O21" s="23" t="s">
        <v>387</v>
      </c>
      <c r="P21" s="23" t="s">
        <v>40</v>
      </c>
      <c r="Q21" s="23" t="s">
        <v>40</v>
      </c>
      <c r="R21" s="23" t="s">
        <v>318</v>
      </c>
      <c r="S21" s="23" t="s">
        <v>40</v>
      </c>
      <c r="T21" s="23" t="s">
        <v>40</v>
      </c>
    </row>
    <row r="22" spans="1:20" x14ac:dyDescent="0.25">
      <c r="A22" s="23" t="s">
        <v>12258</v>
      </c>
      <c r="B22" s="23" t="s">
        <v>317</v>
      </c>
      <c r="C22" s="23" t="s">
        <v>12216</v>
      </c>
      <c r="D22" s="23" t="s">
        <v>12259</v>
      </c>
      <c r="E22" s="23" t="s">
        <v>647</v>
      </c>
      <c r="F22" s="23" t="s">
        <v>12260</v>
      </c>
      <c r="G22" s="23" t="s">
        <v>12261</v>
      </c>
      <c r="H22" s="23" t="s">
        <v>12262</v>
      </c>
      <c r="I22" s="23" t="s">
        <v>12263</v>
      </c>
      <c r="J22" s="23" t="s">
        <v>466</v>
      </c>
      <c r="K22" s="27" t="s">
        <v>404</v>
      </c>
      <c r="L22" s="23" t="s">
        <v>405</v>
      </c>
      <c r="M22" s="25" t="s">
        <v>18</v>
      </c>
      <c r="N22" s="23" t="s">
        <v>40</v>
      </c>
      <c r="O22" s="23" t="s">
        <v>387</v>
      </c>
      <c r="P22" s="23" t="s">
        <v>40</v>
      </c>
      <c r="Q22" s="23" t="s">
        <v>40</v>
      </c>
      <c r="R22" s="23" t="s">
        <v>318</v>
      </c>
      <c r="S22" s="23" t="s">
        <v>40</v>
      </c>
      <c r="T22" s="23" t="s">
        <v>40</v>
      </c>
    </row>
    <row r="23" spans="1:20" x14ac:dyDescent="0.25">
      <c r="A23" s="23" t="s">
        <v>12264</v>
      </c>
      <c r="B23" s="23" t="s">
        <v>317</v>
      </c>
      <c r="C23" s="23" t="s">
        <v>12216</v>
      </c>
      <c r="D23" s="23" t="s">
        <v>12265</v>
      </c>
      <c r="E23" s="23" t="s">
        <v>647</v>
      </c>
      <c r="F23" s="23" t="s">
        <v>12266</v>
      </c>
      <c r="G23" s="23" t="s">
        <v>12267</v>
      </c>
      <c r="H23" s="23" t="s">
        <v>12268</v>
      </c>
      <c r="I23" s="23" t="s">
        <v>12269</v>
      </c>
      <c r="J23" s="23" t="s">
        <v>15</v>
      </c>
      <c r="K23" s="27" t="s">
        <v>404</v>
      </c>
      <c r="L23" s="23" t="s">
        <v>405</v>
      </c>
      <c r="M23" s="25" t="s">
        <v>18</v>
      </c>
      <c r="N23" s="23" t="s">
        <v>40</v>
      </c>
      <c r="O23" s="23" t="s">
        <v>387</v>
      </c>
      <c r="P23" s="23" t="s">
        <v>40</v>
      </c>
      <c r="Q23" s="23" t="s">
        <v>40</v>
      </c>
      <c r="R23" s="23" t="s">
        <v>318</v>
      </c>
      <c r="S23" s="23" t="s">
        <v>40</v>
      </c>
      <c r="T23" s="23" t="s">
        <v>12270</v>
      </c>
    </row>
    <row r="24" spans="1:20" x14ac:dyDescent="0.25">
      <c r="A24" s="23" t="s">
        <v>12271</v>
      </c>
      <c r="B24" s="23" t="s">
        <v>317</v>
      </c>
      <c r="C24" s="23" t="s">
        <v>12216</v>
      </c>
      <c r="D24" s="23" t="s">
        <v>12272</v>
      </c>
      <c r="E24" s="23" t="s">
        <v>12273</v>
      </c>
      <c r="F24" s="23" t="s">
        <v>40</v>
      </c>
      <c r="G24" s="23" t="s">
        <v>12274</v>
      </c>
      <c r="H24" s="23" t="s">
        <v>12275</v>
      </c>
      <c r="I24" s="23" t="s">
        <v>12276</v>
      </c>
      <c r="J24" s="23" t="s">
        <v>15</v>
      </c>
      <c r="K24" s="27" t="s">
        <v>404</v>
      </c>
      <c r="L24" s="23" t="s">
        <v>490</v>
      </c>
      <c r="M24" s="25" t="s">
        <v>18</v>
      </c>
      <c r="N24" s="23" t="s">
        <v>40</v>
      </c>
      <c r="O24" s="23" t="s">
        <v>387</v>
      </c>
      <c r="P24" s="23" t="s">
        <v>40</v>
      </c>
      <c r="Q24" s="23" t="s">
        <v>40</v>
      </c>
      <c r="R24" s="23" t="s">
        <v>318</v>
      </c>
      <c r="S24" s="23" t="s">
        <v>40</v>
      </c>
      <c r="T24" s="23" t="s">
        <v>40</v>
      </c>
    </row>
    <row r="25" spans="1:20" x14ac:dyDescent="0.25">
      <c r="A25" s="23" t="s">
        <v>12277</v>
      </c>
      <c r="B25" s="23" t="s">
        <v>317</v>
      </c>
      <c r="C25" s="23" t="s">
        <v>12216</v>
      </c>
      <c r="D25" s="23" t="s">
        <v>12278</v>
      </c>
      <c r="E25" s="23" t="s">
        <v>12279</v>
      </c>
      <c r="F25" s="23" t="s">
        <v>40</v>
      </c>
      <c r="G25" s="23" t="s">
        <v>12280</v>
      </c>
      <c r="H25" s="23" t="s">
        <v>12281</v>
      </c>
      <c r="I25" s="23" t="s">
        <v>12282</v>
      </c>
      <c r="J25" s="23" t="s">
        <v>14</v>
      </c>
      <c r="K25" s="24" t="s">
        <v>386</v>
      </c>
      <c r="L25" s="23" t="s">
        <v>405</v>
      </c>
      <c r="M25" s="25" t="s">
        <v>18</v>
      </c>
      <c r="N25" s="23" t="s">
        <v>40</v>
      </c>
      <c r="O25" s="23" t="s">
        <v>387</v>
      </c>
      <c r="P25" s="23" t="s">
        <v>40</v>
      </c>
      <c r="Q25" s="23" t="s">
        <v>40</v>
      </c>
      <c r="R25" s="23" t="s">
        <v>318</v>
      </c>
      <c r="S25" s="23" t="s">
        <v>40</v>
      </c>
      <c r="T25" s="23" t="s">
        <v>40</v>
      </c>
    </row>
    <row r="26" spans="1:20" x14ac:dyDescent="0.25">
      <c r="A26" s="23" t="s">
        <v>12283</v>
      </c>
      <c r="B26" s="23" t="s">
        <v>317</v>
      </c>
      <c r="C26" s="23" t="s">
        <v>12216</v>
      </c>
      <c r="D26" s="23" t="s">
        <v>12284</v>
      </c>
      <c r="E26" s="23" t="s">
        <v>647</v>
      </c>
      <c r="F26" s="23" t="s">
        <v>40</v>
      </c>
      <c r="G26" s="23" t="s">
        <v>12285</v>
      </c>
      <c r="H26" s="23" t="s">
        <v>12286</v>
      </c>
      <c r="I26" s="23" t="s">
        <v>12287</v>
      </c>
      <c r="J26" s="23" t="s">
        <v>525</v>
      </c>
      <c r="K26" s="24" t="s">
        <v>386</v>
      </c>
      <c r="L26" s="23" t="s">
        <v>13</v>
      </c>
      <c r="M26" s="25" t="s">
        <v>18</v>
      </c>
      <c r="N26" s="23" t="s">
        <v>40</v>
      </c>
      <c r="O26" s="23" t="s">
        <v>387</v>
      </c>
      <c r="P26" s="23" t="s">
        <v>40</v>
      </c>
      <c r="Q26" s="23" t="s">
        <v>40</v>
      </c>
      <c r="R26" s="23" t="s">
        <v>318</v>
      </c>
      <c r="S26" s="23" t="s">
        <v>40</v>
      </c>
      <c r="T26" s="23" t="s">
        <v>40</v>
      </c>
    </row>
    <row r="27" spans="1:20" x14ac:dyDescent="0.25">
      <c r="A27" s="23" t="s">
        <v>12288</v>
      </c>
      <c r="B27" s="23" t="s">
        <v>317</v>
      </c>
      <c r="C27" s="23" t="s">
        <v>12216</v>
      </c>
      <c r="D27" s="23" t="s">
        <v>12289</v>
      </c>
      <c r="E27" s="23" t="s">
        <v>647</v>
      </c>
      <c r="F27" s="23" t="s">
        <v>12290</v>
      </c>
      <c r="G27" s="23" t="s">
        <v>12291</v>
      </c>
      <c r="H27" s="23" t="s">
        <v>12292</v>
      </c>
      <c r="I27" s="23" t="s">
        <v>12293</v>
      </c>
      <c r="J27" s="23" t="s">
        <v>395</v>
      </c>
      <c r="K27" s="24" t="s">
        <v>386</v>
      </c>
      <c r="L27" s="23" t="s">
        <v>405</v>
      </c>
      <c r="M27" s="25" t="s">
        <v>18</v>
      </c>
      <c r="N27" s="23" t="s">
        <v>40</v>
      </c>
      <c r="O27" s="23" t="s">
        <v>387</v>
      </c>
      <c r="P27" s="23" t="s">
        <v>40</v>
      </c>
      <c r="Q27" s="23" t="s">
        <v>40</v>
      </c>
      <c r="R27" s="23" t="s">
        <v>318</v>
      </c>
      <c r="S27" s="23" t="s">
        <v>40</v>
      </c>
      <c r="T27" s="23" t="s">
        <v>40</v>
      </c>
    </row>
    <row r="28" spans="1:20" x14ac:dyDescent="0.25">
      <c r="A28" s="23" t="s">
        <v>12294</v>
      </c>
      <c r="B28" s="23" t="s">
        <v>317</v>
      </c>
      <c r="C28" s="23" t="s">
        <v>12295</v>
      </c>
      <c r="D28" s="23" t="s">
        <v>12296</v>
      </c>
      <c r="E28" s="23" t="s">
        <v>647</v>
      </c>
      <c r="F28" s="23" t="s">
        <v>12297</v>
      </c>
      <c r="G28" s="23" t="s">
        <v>12298</v>
      </c>
      <c r="H28" s="23" t="s">
        <v>12299</v>
      </c>
      <c r="I28" s="23" t="s">
        <v>12300</v>
      </c>
      <c r="J28" s="23" t="s">
        <v>395</v>
      </c>
      <c r="K28" s="26" t="s">
        <v>396</v>
      </c>
      <c r="L28" s="23" t="s">
        <v>13</v>
      </c>
      <c r="M28" s="25" t="s">
        <v>18</v>
      </c>
      <c r="N28" s="23" t="s">
        <v>40</v>
      </c>
      <c r="O28" s="23" t="s">
        <v>387</v>
      </c>
      <c r="P28" s="23" t="s">
        <v>40</v>
      </c>
      <c r="Q28" s="23" t="s">
        <v>40</v>
      </c>
      <c r="R28" s="23" t="s">
        <v>318</v>
      </c>
      <c r="S28" s="23" t="s">
        <v>40</v>
      </c>
      <c r="T28" s="23" t="s">
        <v>12301</v>
      </c>
    </row>
    <row r="29" spans="1:20" x14ac:dyDescent="0.25">
      <c r="A29" s="23" t="s">
        <v>12302</v>
      </c>
      <c r="B29" s="23" t="s">
        <v>317</v>
      </c>
      <c r="C29" s="23" t="s">
        <v>12172</v>
      </c>
      <c r="D29" s="23" t="s">
        <v>12303</v>
      </c>
      <c r="E29" s="23" t="s">
        <v>835</v>
      </c>
      <c r="F29" s="23" t="s">
        <v>40</v>
      </c>
      <c r="G29" s="23" t="s">
        <v>12304</v>
      </c>
      <c r="H29" s="23" t="s">
        <v>12305</v>
      </c>
      <c r="I29" s="23" t="s">
        <v>12306</v>
      </c>
      <c r="J29" s="23" t="s">
        <v>525</v>
      </c>
      <c r="K29" s="24" t="s">
        <v>386</v>
      </c>
      <c r="L29" s="23" t="s">
        <v>405</v>
      </c>
      <c r="M29" s="25" t="s">
        <v>18</v>
      </c>
      <c r="N29" s="23" t="s">
        <v>40</v>
      </c>
      <c r="O29" s="23" t="s">
        <v>387</v>
      </c>
      <c r="P29" s="23" t="s">
        <v>40</v>
      </c>
      <c r="Q29" s="23" t="s">
        <v>40</v>
      </c>
      <c r="R29" s="23" t="s">
        <v>318</v>
      </c>
      <c r="S29" s="23" t="s">
        <v>40</v>
      </c>
      <c r="T29" s="23" t="s">
        <v>40</v>
      </c>
    </row>
    <row r="30" spans="1:20" x14ac:dyDescent="0.25">
      <c r="A30" s="23" t="s">
        <v>12307</v>
      </c>
      <c r="B30" s="23" t="s">
        <v>319</v>
      </c>
      <c r="C30" s="23" t="s">
        <v>944</v>
      </c>
      <c r="D30" s="23" t="s">
        <v>12308</v>
      </c>
      <c r="E30" s="23" t="s">
        <v>647</v>
      </c>
      <c r="F30" s="23" t="s">
        <v>40</v>
      </c>
      <c r="G30" s="23" t="s">
        <v>12309</v>
      </c>
      <c r="H30" s="23" t="s">
        <v>12310</v>
      </c>
      <c r="I30" s="23" t="s">
        <v>12311</v>
      </c>
      <c r="J30" s="23" t="s">
        <v>385</v>
      </c>
      <c r="K30" s="24" t="s">
        <v>386</v>
      </c>
      <c r="L30" s="23" t="s">
        <v>13</v>
      </c>
      <c r="M30" s="31" t="s">
        <v>17</v>
      </c>
      <c r="N30" s="23" t="s">
        <v>12312</v>
      </c>
      <c r="O30" s="29" t="s">
        <v>87</v>
      </c>
      <c r="P30" s="23" t="s">
        <v>40</v>
      </c>
      <c r="Q30" s="23" t="s">
        <v>40</v>
      </c>
      <c r="R30" s="23" t="s">
        <v>320</v>
      </c>
      <c r="S30" s="23" t="s">
        <v>40</v>
      </c>
      <c r="T30" s="23" t="s">
        <v>40</v>
      </c>
    </row>
    <row r="31" spans="1:20" x14ac:dyDescent="0.25">
      <c r="A31" s="23" t="s">
        <v>12313</v>
      </c>
      <c r="B31" s="23" t="s">
        <v>319</v>
      </c>
      <c r="C31" s="23" t="s">
        <v>12314</v>
      </c>
      <c r="D31" s="23" t="s">
        <v>12315</v>
      </c>
      <c r="E31" s="23" t="s">
        <v>647</v>
      </c>
      <c r="F31" s="23" t="s">
        <v>40</v>
      </c>
      <c r="G31" s="23" t="s">
        <v>12316</v>
      </c>
      <c r="H31" s="23" t="s">
        <v>12317</v>
      </c>
      <c r="I31" s="23" t="s">
        <v>12318</v>
      </c>
      <c r="J31" s="23" t="s">
        <v>14</v>
      </c>
      <c r="K31" s="26" t="s">
        <v>396</v>
      </c>
      <c r="L31" s="23" t="s">
        <v>13</v>
      </c>
      <c r="M31" s="25" t="s">
        <v>18</v>
      </c>
      <c r="N31" s="23" t="s">
        <v>40</v>
      </c>
      <c r="O31" s="23" t="s">
        <v>387</v>
      </c>
      <c r="P31" s="23" t="s">
        <v>40</v>
      </c>
      <c r="Q31" s="23" t="s">
        <v>40</v>
      </c>
      <c r="R31" s="23" t="s">
        <v>320</v>
      </c>
      <c r="S31" s="23" t="s">
        <v>40</v>
      </c>
      <c r="T31" s="23" t="s">
        <v>40</v>
      </c>
    </row>
    <row r="32" spans="1:20" x14ac:dyDescent="0.25">
      <c r="A32" s="23" t="s">
        <v>12319</v>
      </c>
      <c r="B32" s="23" t="s">
        <v>319</v>
      </c>
      <c r="C32" s="23" t="s">
        <v>12314</v>
      </c>
      <c r="D32" s="23" t="s">
        <v>12320</v>
      </c>
      <c r="E32" s="23" t="s">
        <v>12321</v>
      </c>
      <c r="F32" s="23" t="s">
        <v>40</v>
      </c>
      <c r="G32" s="23" t="s">
        <v>12322</v>
      </c>
      <c r="H32" s="23" t="s">
        <v>12323</v>
      </c>
      <c r="I32" s="23" t="s">
        <v>12324</v>
      </c>
      <c r="J32" s="23" t="s">
        <v>489</v>
      </c>
      <c r="K32" s="27" t="s">
        <v>404</v>
      </c>
      <c r="L32" s="23" t="s">
        <v>490</v>
      </c>
      <c r="M32" s="25" t="s">
        <v>18</v>
      </c>
      <c r="N32" s="23" t="s">
        <v>40</v>
      </c>
      <c r="O32" s="23" t="s">
        <v>387</v>
      </c>
      <c r="P32" s="23" t="s">
        <v>40</v>
      </c>
      <c r="Q32" s="23" t="s">
        <v>40</v>
      </c>
      <c r="R32" s="23" t="s">
        <v>320</v>
      </c>
      <c r="S32" s="23" t="s">
        <v>40</v>
      </c>
      <c r="T32" s="23" t="s">
        <v>40</v>
      </c>
    </row>
    <row r="33" spans="1:20" x14ac:dyDescent="0.25">
      <c r="A33" s="23" t="s">
        <v>12325</v>
      </c>
      <c r="B33" s="23" t="s">
        <v>319</v>
      </c>
      <c r="C33" s="23" t="s">
        <v>12314</v>
      </c>
      <c r="D33" s="23" t="s">
        <v>12326</v>
      </c>
      <c r="E33" s="23" t="s">
        <v>647</v>
      </c>
      <c r="F33" s="23" t="s">
        <v>40</v>
      </c>
      <c r="G33" s="23" t="s">
        <v>12327</v>
      </c>
      <c r="H33" s="23" t="s">
        <v>12328</v>
      </c>
      <c r="I33" s="23" t="s">
        <v>12329</v>
      </c>
      <c r="J33" s="23" t="s">
        <v>395</v>
      </c>
      <c r="K33" s="24" t="s">
        <v>386</v>
      </c>
      <c r="L33" s="23" t="s">
        <v>405</v>
      </c>
      <c r="M33" s="25" t="s">
        <v>18</v>
      </c>
      <c r="N33" s="23" t="s">
        <v>40</v>
      </c>
      <c r="O33" s="23" t="s">
        <v>387</v>
      </c>
      <c r="P33" s="23" t="s">
        <v>40</v>
      </c>
      <c r="Q33" s="23" t="s">
        <v>40</v>
      </c>
      <c r="R33" s="23" t="s">
        <v>320</v>
      </c>
      <c r="S33" s="23" t="s">
        <v>40</v>
      </c>
      <c r="T33" s="23" t="s">
        <v>40</v>
      </c>
    </row>
    <row r="34" spans="1:20" x14ac:dyDescent="0.25">
      <c r="A34" s="23" t="s">
        <v>12330</v>
      </c>
      <c r="B34" s="23" t="s">
        <v>319</v>
      </c>
      <c r="C34" s="23" t="s">
        <v>12331</v>
      </c>
      <c r="D34" s="23" t="s">
        <v>12332</v>
      </c>
      <c r="E34" s="23" t="s">
        <v>647</v>
      </c>
      <c r="F34" s="23" t="s">
        <v>40</v>
      </c>
      <c r="G34" s="23" t="s">
        <v>12333</v>
      </c>
      <c r="H34" s="23" t="s">
        <v>12334</v>
      </c>
      <c r="I34" s="23" t="s">
        <v>12335</v>
      </c>
      <c r="J34" s="23" t="s">
        <v>14</v>
      </c>
      <c r="K34" s="27" t="s">
        <v>404</v>
      </c>
      <c r="L34" s="23" t="s">
        <v>490</v>
      </c>
      <c r="M34" s="25" t="s">
        <v>18</v>
      </c>
      <c r="N34" s="23" t="s">
        <v>40</v>
      </c>
      <c r="O34" s="23" t="s">
        <v>387</v>
      </c>
      <c r="P34" s="23" t="s">
        <v>40</v>
      </c>
      <c r="Q34" s="23" t="s">
        <v>40</v>
      </c>
      <c r="R34" s="23" t="s">
        <v>320</v>
      </c>
      <c r="S34" s="23" t="s">
        <v>40</v>
      </c>
      <c r="T34" s="23" t="s">
        <v>40</v>
      </c>
    </row>
    <row r="35" spans="1:20" x14ac:dyDescent="0.25">
      <c r="A35" s="23" t="s">
        <v>12336</v>
      </c>
      <c r="B35" s="23" t="s">
        <v>319</v>
      </c>
      <c r="C35" s="23" t="s">
        <v>12314</v>
      </c>
      <c r="D35" s="23" t="s">
        <v>12337</v>
      </c>
      <c r="E35" s="23" t="s">
        <v>12338</v>
      </c>
      <c r="F35" s="23" t="s">
        <v>40</v>
      </c>
      <c r="G35" s="23" t="s">
        <v>12339</v>
      </c>
      <c r="H35" s="23" t="s">
        <v>12340</v>
      </c>
      <c r="I35" s="23" t="s">
        <v>12341</v>
      </c>
      <c r="J35" s="23" t="s">
        <v>801</v>
      </c>
      <c r="K35" s="27" t="s">
        <v>404</v>
      </c>
      <c r="L35" s="23" t="s">
        <v>490</v>
      </c>
      <c r="M35" s="25" t="s">
        <v>18</v>
      </c>
      <c r="N35" s="23" t="s">
        <v>40</v>
      </c>
      <c r="O35" s="23" t="s">
        <v>387</v>
      </c>
      <c r="P35" s="23" t="s">
        <v>40</v>
      </c>
      <c r="Q35" s="23" t="s">
        <v>40</v>
      </c>
      <c r="R35" s="23" t="s">
        <v>320</v>
      </c>
      <c r="S35" s="23" t="s">
        <v>40</v>
      </c>
      <c r="T35" s="23" t="s">
        <v>40</v>
      </c>
    </row>
    <row r="36" spans="1:20" x14ac:dyDescent="0.25">
      <c r="A36" s="23" t="s">
        <v>12342</v>
      </c>
      <c r="B36" s="23" t="s">
        <v>321</v>
      </c>
      <c r="C36" s="23" t="s">
        <v>944</v>
      </c>
      <c r="D36" s="23" t="s">
        <v>12343</v>
      </c>
      <c r="E36" s="23" t="s">
        <v>647</v>
      </c>
      <c r="F36" s="23" t="s">
        <v>40</v>
      </c>
      <c r="G36" s="23" t="s">
        <v>12344</v>
      </c>
      <c r="H36" s="23" t="s">
        <v>12345</v>
      </c>
      <c r="I36" s="23" t="s">
        <v>12346</v>
      </c>
      <c r="J36" s="23" t="s">
        <v>385</v>
      </c>
      <c r="K36" s="24" t="s">
        <v>386</v>
      </c>
      <c r="L36" s="23" t="s">
        <v>13</v>
      </c>
      <c r="M36" s="31" t="s">
        <v>17</v>
      </c>
      <c r="N36" s="23" t="s">
        <v>12347</v>
      </c>
      <c r="O36" s="29" t="s">
        <v>87</v>
      </c>
      <c r="P36" s="23" t="s">
        <v>40</v>
      </c>
      <c r="Q36" s="23" t="s">
        <v>40</v>
      </c>
      <c r="R36" s="23" t="s">
        <v>322</v>
      </c>
      <c r="S36" s="23" t="s">
        <v>40</v>
      </c>
      <c r="T36" s="23" t="s">
        <v>40</v>
      </c>
    </row>
    <row r="37" spans="1:20" x14ac:dyDescent="0.25">
      <c r="A37" s="23" t="s">
        <v>12348</v>
      </c>
      <c r="B37" s="23" t="s">
        <v>321</v>
      </c>
      <c r="C37" s="23" t="s">
        <v>12349</v>
      </c>
      <c r="D37" s="23" t="s">
        <v>12350</v>
      </c>
      <c r="E37" s="23" t="s">
        <v>647</v>
      </c>
      <c r="F37" s="23" t="s">
        <v>40</v>
      </c>
      <c r="G37" s="23" t="s">
        <v>12351</v>
      </c>
      <c r="H37" s="23" t="s">
        <v>12352</v>
      </c>
      <c r="I37" s="23" t="s">
        <v>12353</v>
      </c>
      <c r="J37" s="23" t="s">
        <v>14</v>
      </c>
      <c r="K37" s="26" t="s">
        <v>396</v>
      </c>
      <c r="L37" s="23" t="s">
        <v>13</v>
      </c>
      <c r="M37" s="25" t="s">
        <v>18</v>
      </c>
      <c r="N37" s="23" t="s">
        <v>40</v>
      </c>
      <c r="O37" s="23" t="s">
        <v>387</v>
      </c>
      <c r="P37" s="23" t="s">
        <v>40</v>
      </c>
      <c r="Q37" s="23" t="s">
        <v>40</v>
      </c>
      <c r="R37" s="23" t="s">
        <v>322</v>
      </c>
      <c r="S37" s="23" t="s">
        <v>40</v>
      </c>
      <c r="T37" s="23" t="s">
        <v>40</v>
      </c>
    </row>
    <row r="38" spans="1:20" x14ac:dyDescent="0.25">
      <c r="A38" s="23" t="s">
        <v>12354</v>
      </c>
      <c r="B38" s="23" t="s">
        <v>321</v>
      </c>
      <c r="C38" s="23" t="s">
        <v>12355</v>
      </c>
      <c r="D38" s="23" t="s">
        <v>12356</v>
      </c>
      <c r="E38" s="23" t="s">
        <v>647</v>
      </c>
      <c r="F38" s="23" t="s">
        <v>12357</v>
      </c>
      <c r="G38" s="23" t="s">
        <v>12358</v>
      </c>
      <c r="H38" s="23" t="s">
        <v>12359</v>
      </c>
      <c r="I38" s="23" t="s">
        <v>12360</v>
      </c>
      <c r="J38" s="23" t="s">
        <v>14</v>
      </c>
      <c r="K38" s="24" t="s">
        <v>386</v>
      </c>
      <c r="L38" s="23" t="s">
        <v>405</v>
      </c>
      <c r="M38" s="25" t="s">
        <v>18</v>
      </c>
      <c r="N38" s="23" t="s">
        <v>40</v>
      </c>
      <c r="O38" s="23" t="s">
        <v>387</v>
      </c>
      <c r="P38" s="23" t="s">
        <v>40</v>
      </c>
      <c r="Q38" s="23" t="s">
        <v>40</v>
      </c>
      <c r="R38" s="23" t="s">
        <v>322</v>
      </c>
      <c r="S38" s="23" t="s">
        <v>40</v>
      </c>
      <c r="T38" s="23" t="s">
        <v>40</v>
      </c>
    </row>
    <row r="39" spans="1:20" x14ac:dyDescent="0.25">
      <c r="A39" s="23" t="s">
        <v>12361</v>
      </c>
      <c r="B39" s="23" t="s">
        <v>321</v>
      </c>
      <c r="C39" s="23" t="s">
        <v>12355</v>
      </c>
      <c r="D39" s="23" t="s">
        <v>12362</v>
      </c>
      <c r="E39" s="23" t="s">
        <v>647</v>
      </c>
      <c r="F39" s="23" t="s">
        <v>12363</v>
      </c>
      <c r="G39" s="23" t="s">
        <v>12364</v>
      </c>
      <c r="H39" s="23" t="s">
        <v>12365</v>
      </c>
      <c r="I39" s="23" t="s">
        <v>12366</v>
      </c>
      <c r="J39" s="23" t="s">
        <v>14</v>
      </c>
      <c r="K39" s="24" t="s">
        <v>386</v>
      </c>
      <c r="L39" s="23" t="s">
        <v>405</v>
      </c>
      <c r="M39" s="25" t="s">
        <v>18</v>
      </c>
      <c r="N39" s="23" t="s">
        <v>40</v>
      </c>
      <c r="O39" s="23" t="s">
        <v>387</v>
      </c>
      <c r="P39" s="23" t="s">
        <v>40</v>
      </c>
      <c r="Q39" s="23" t="s">
        <v>40</v>
      </c>
      <c r="R39" s="23" t="s">
        <v>322</v>
      </c>
      <c r="S39" s="23" t="s">
        <v>40</v>
      </c>
      <c r="T39" s="23" t="s">
        <v>40</v>
      </c>
    </row>
    <row r="40" spans="1:20" x14ac:dyDescent="0.25">
      <c r="A40" s="23" t="s">
        <v>12367</v>
      </c>
      <c r="B40" s="23" t="s">
        <v>321</v>
      </c>
      <c r="C40" s="23" t="s">
        <v>12355</v>
      </c>
      <c r="D40" s="23" t="s">
        <v>12368</v>
      </c>
      <c r="E40" s="23" t="s">
        <v>647</v>
      </c>
      <c r="F40" s="23" t="s">
        <v>12369</v>
      </c>
      <c r="G40" s="23" t="s">
        <v>12370</v>
      </c>
      <c r="H40" s="23" t="s">
        <v>12371</v>
      </c>
      <c r="I40" s="23" t="s">
        <v>12372</v>
      </c>
      <c r="J40" s="23" t="s">
        <v>15</v>
      </c>
      <c r="K40" s="27" t="s">
        <v>404</v>
      </c>
      <c r="L40" s="23" t="s">
        <v>490</v>
      </c>
      <c r="M40" s="25" t="s">
        <v>18</v>
      </c>
      <c r="N40" s="23" t="s">
        <v>40</v>
      </c>
      <c r="O40" s="23" t="s">
        <v>387</v>
      </c>
      <c r="P40" s="23" t="s">
        <v>40</v>
      </c>
      <c r="Q40" s="23" t="s">
        <v>40</v>
      </c>
      <c r="R40" s="23" t="s">
        <v>322</v>
      </c>
      <c r="S40" s="23" t="s">
        <v>40</v>
      </c>
      <c r="T40" s="23" t="s">
        <v>40</v>
      </c>
    </row>
    <row r="41" spans="1:20" x14ac:dyDescent="0.25">
      <c r="A41" s="23" t="s">
        <v>12373</v>
      </c>
      <c r="B41" s="23" t="s">
        <v>321</v>
      </c>
      <c r="C41" s="23" t="s">
        <v>12349</v>
      </c>
      <c r="D41" s="23" t="s">
        <v>12374</v>
      </c>
      <c r="E41" s="23" t="s">
        <v>12375</v>
      </c>
      <c r="F41" s="23" t="s">
        <v>40</v>
      </c>
      <c r="G41" s="23" t="s">
        <v>12376</v>
      </c>
      <c r="H41" s="23" t="s">
        <v>12377</v>
      </c>
      <c r="I41" s="23" t="s">
        <v>12378</v>
      </c>
      <c r="J41" s="23" t="s">
        <v>15</v>
      </c>
      <c r="K41" s="27" t="s">
        <v>404</v>
      </c>
      <c r="L41" s="23" t="s">
        <v>405</v>
      </c>
      <c r="M41" s="25" t="s">
        <v>18</v>
      </c>
      <c r="N41" s="23" t="s">
        <v>40</v>
      </c>
      <c r="O41" s="23" t="s">
        <v>387</v>
      </c>
      <c r="P41" s="23" t="s">
        <v>40</v>
      </c>
      <c r="Q41" s="23" t="s">
        <v>40</v>
      </c>
      <c r="R41" s="23" t="s">
        <v>322</v>
      </c>
      <c r="S41" s="23" t="s">
        <v>40</v>
      </c>
      <c r="T41" s="23" t="s">
        <v>40</v>
      </c>
    </row>
    <row r="42" spans="1:20" x14ac:dyDescent="0.25">
      <c r="A42" s="23" t="s">
        <v>12379</v>
      </c>
      <c r="B42" s="23" t="s">
        <v>321</v>
      </c>
      <c r="C42" s="23" t="s">
        <v>12355</v>
      </c>
      <c r="D42" s="23" t="s">
        <v>12380</v>
      </c>
      <c r="E42" s="23" t="s">
        <v>647</v>
      </c>
      <c r="F42" s="23" t="s">
        <v>12381</v>
      </c>
      <c r="G42" s="23" t="s">
        <v>12382</v>
      </c>
      <c r="H42" s="23" t="s">
        <v>12383</v>
      </c>
      <c r="I42" s="23" t="s">
        <v>12384</v>
      </c>
      <c r="J42" s="23" t="s">
        <v>395</v>
      </c>
      <c r="K42" s="24" t="s">
        <v>386</v>
      </c>
      <c r="L42" s="23" t="s">
        <v>405</v>
      </c>
      <c r="M42" s="25" t="s">
        <v>18</v>
      </c>
      <c r="N42" s="23" t="s">
        <v>40</v>
      </c>
      <c r="O42" s="23" t="s">
        <v>387</v>
      </c>
      <c r="P42" s="23" t="s">
        <v>40</v>
      </c>
      <c r="Q42" s="23" t="s">
        <v>40</v>
      </c>
      <c r="R42" s="23" t="s">
        <v>322</v>
      </c>
      <c r="S42" s="23" t="s">
        <v>40</v>
      </c>
      <c r="T42" s="23" t="s">
        <v>40</v>
      </c>
    </row>
    <row r="43" spans="1:20" x14ac:dyDescent="0.25">
      <c r="A43" s="23" t="s">
        <v>12385</v>
      </c>
      <c r="B43" s="23" t="s">
        <v>321</v>
      </c>
      <c r="C43" s="23" t="s">
        <v>12349</v>
      </c>
      <c r="D43" s="23" t="s">
        <v>12386</v>
      </c>
      <c r="E43" s="23" t="s">
        <v>12387</v>
      </c>
      <c r="F43" s="23" t="s">
        <v>40</v>
      </c>
      <c r="G43" s="23" t="s">
        <v>12388</v>
      </c>
      <c r="H43" s="23" t="s">
        <v>12389</v>
      </c>
      <c r="I43" s="23" t="s">
        <v>12390</v>
      </c>
      <c r="J43" s="23" t="s">
        <v>434</v>
      </c>
      <c r="K43" s="27" t="s">
        <v>404</v>
      </c>
      <c r="L43" s="23" t="s">
        <v>490</v>
      </c>
      <c r="M43" s="25" t="s">
        <v>18</v>
      </c>
      <c r="N43" s="23" t="s">
        <v>40</v>
      </c>
      <c r="O43" s="23" t="s">
        <v>387</v>
      </c>
      <c r="P43" s="23" t="s">
        <v>40</v>
      </c>
      <c r="Q43" s="23" t="s">
        <v>40</v>
      </c>
      <c r="R43" s="23" t="s">
        <v>322</v>
      </c>
      <c r="S43" s="23" t="s">
        <v>40</v>
      </c>
      <c r="T43" s="23" t="s">
        <v>40</v>
      </c>
    </row>
    <row r="44" spans="1:20" x14ac:dyDescent="0.25">
      <c r="A44" s="23" t="s">
        <v>12391</v>
      </c>
      <c r="B44" s="23" t="s">
        <v>323</v>
      </c>
      <c r="C44" s="23" t="s">
        <v>944</v>
      </c>
      <c r="D44" s="23" t="s">
        <v>12392</v>
      </c>
      <c r="E44" s="23" t="s">
        <v>647</v>
      </c>
      <c r="F44" s="23" t="s">
        <v>40</v>
      </c>
      <c r="G44" s="23" t="s">
        <v>12393</v>
      </c>
      <c r="H44" s="23" t="s">
        <v>12394</v>
      </c>
      <c r="I44" s="23" t="s">
        <v>12395</v>
      </c>
      <c r="J44" s="23" t="s">
        <v>385</v>
      </c>
      <c r="K44" s="24" t="s">
        <v>386</v>
      </c>
      <c r="L44" s="23" t="s">
        <v>13</v>
      </c>
      <c r="M44" s="31" t="s">
        <v>17</v>
      </c>
      <c r="N44" s="23" t="s">
        <v>12396</v>
      </c>
      <c r="O44" s="29" t="s">
        <v>87</v>
      </c>
      <c r="P44" s="23" t="s">
        <v>40</v>
      </c>
      <c r="Q44" s="23" t="s">
        <v>40</v>
      </c>
      <c r="R44" s="23" t="s">
        <v>324</v>
      </c>
      <c r="S44" s="23" t="s">
        <v>40</v>
      </c>
      <c r="T44" s="23" t="s">
        <v>40</v>
      </c>
    </row>
    <row r="45" spans="1:20" x14ac:dyDescent="0.25">
      <c r="A45" s="23" t="s">
        <v>12397</v>
      </c>
      <c r="B45" s="23" t="s">
        <v>323</v>
      </c>
      <c r="C45" s="23" t="s">
        <v>12398</v>
      </c>
      <c r="D45" s="23" t="s">
        <v>12399</v>
      </c>
      <c r="E45" s="23" t="s">
        <v>12400</v>
      </c>
      <c r="F45" s="23" t="s">
        <v>40</v>
      </c>
      <c r="G45" s="23" t="s">
        <v>12401</v>
      </c>
      <c r="H45" s="23" t="s">
        <v>12402</v>
      </c>
      <c r="I45" s="23" t="s">
        <v>12403</v>
      </c>
      <c r="J45" s="23" t="s">
        <v>385</v>
      </c>
      <c r="K45" s="27" t="s">
        <v>404</v>
      </c>
      <c r="L45" s="23" t="s">
        <v>405</v>
      </c>
      <c r="M45" s="25" t="s">
        <v>18</v>
      </c>
      <c r="N45" s="23" t="s">
        <v>40</v>
      </c>
      <c r="O45" s="23" t="s">
        <v>387</v>
      </c>
      <c r="P45" s="23" t="s">
        <v>40</v>
      </c>
      <c r="Q45" s="23" t="s">
        <v>40</v>
      </c>
      <c r="R45" s="23" t="s">
        <v>324</v>
      </c>
      <c r="S45" s="23" t="s">
        <v>40</v>
      </c>
      <c r="T45" s="23" t="s">
        <v>40</v>
      </c>
    </row>
    <row r="46" spans="1:20" x14ac:dyDescent="0.25">
      <c r="A46" s="23" t="s">
        <v>12404</v>
      </c>
      <c r="B46" s="23" t="s">
        <v>323</v>
      </c>
      <c r="C46" s="23" t="s">
        <v>12398</v>
      </c>
      <c r="D46" s="23" t="s">
        <v>12405</v>
      </c>
      <c r="E46" s="23" t="s">
        <v>647</v>
      </c>
      <c r="F46" s="23" t="s">
        <v>40</v>
      </c>
      <c r="G46" s="23" t="s">
        <v>12406</v>
      </c>
      <c r="H46" s="23" t="s">
        <v>12407</v>
      </c>
      <c r="I46" s="23" t="s">
        <v>12408</v>
      </c>
      <c r="J46" s="23" t="s">
        <v>14</v>
      </c>
      <c r="K46" s="24" t="s">
        <v>386</v>
      </c>
      <c r="L46" s="23" t="s">
        <v>405</v>
      </c>
      <c r="M46" s="25" t="s">
        <v>18</v>
      </c>
      <c r="N46" s="23" t="s">
        <v>40</v>
      </c>
      <c r="O46" s="23" t="s">
        <v>387</v>
      </c>
      <c r="P46" s="23" t="s">
        <v>40</v>
      </c>
      <c r="Q46" s="23" t="s">
        <v>40</v>
      </c>
      <c r="R46" s="23" t="s">
        <v>324</v>
      </c>
      <c r="S46" s="23" t="s">
        <v>40</v>
      </c>
      <c r="T46" s="23" t="s">
        <v>40</v>
      </c>
    </row>
    <row r="47" spans="1:20" x14ac:dyDescent="0.25">
      <c r="A47" s="23" t="s">
        <v>12409</v>
      </c>
      <c r="B47" s="23" t="s">
        <v>323</v>
      </c>
      <c r="C47" s="23" t="s">
        <v>12398</v>
      </c>
      <c r="D47" s="23" t="s">
        <v>12410</v>
      </c>
      <c r="E47" s="23" t="s">
        <v>12411</v>
      </c>
      <c r="F47" s="23" t="s">
        <v>40</v>
      </c>
      <c r="G47" s="23" t="s">
        <v>12412</v>
      </c>
      <c r="H47" s="23" t="s">
        <v>12413</v>
      </c>
      <c r="I47" s="23" t="s">
        <v>12414</v>
      </c>
      <c r="J47" s="23" t="s">
        <v>395</v>
      </c>
      <c r="K47" s="26" t="s">
        <v>396</v>
      </c>
      <c r="L47" s="23" t="s">
        <v>13</v>
      </c>
      <c r="M47" s="25" t="s">
        <v>18</v>
      </c>
      <c r="N47" s="23" t="s">
        <v>40</v>
      </c>
      <c r="O47" s="23" t="s">
        <v>387</v>
      </c>
      <c r="P47" s="23" t="s">
        <v>40</v>
      </c>
      <c r="Q47" s="23" t="s">
        <v>40</v>
      </c>
      <c r="R47" s="23" t="s">
        <v>324</v>
      </c>
      <c r="S47" s="23" t="s">
        <v>40</v>
      </c>
      <c r="T47" s="23" t="s">
        <v>12415</v>
      </c>
    </row>
    <row r="48" spans="1:20" x14ac:dyDescent="0.25">
      <c r="A48" s="23" t="s">
        <v>12416</v>
      </c>
      <c r="B48" s="23" t="s">
        <v>323</v>
      </c>
      <c r="C48" s="23" t="s">
        <v>4791</v>
      </c>
      <c r="D48" s="23" t="s">
        <v>12417</v>
      </c>
      <c r="E48" s="23" t="s">
        <v>12418</v>
      </c>
      <c r="F48" s="23" t="s">
        <v>12419</v>
      </c>
      <c r="G48" s="23" t="s">
        <v>12420</v>
      </c>
      <c r="H48" s="23" t="s">
        <v>12421</v>
      </c>
      <c r="I48" s="23" t="s">
        <v>12422</v>
      </c>
      <c r="J48" s="23" t="s">
        <v>385</v>
      </c>
      <c r="K48" s="32" t="s">
        <v>747</v>
      </c>
      <c r="L48" s="23" t="s">
        <v>490</v>
      </c>
      <c r="M48" s="25" t="s">
        <v>18</v>
      </c>
      <c r="N48" s="23" t="s">
        <v>40</v>
      </c>
      <c r="O48" s="23" t="s">
        <v>387</v>
      </c>
      <c r="P48" s="23" t="s">
        <v>40</v>
      </c>
      <c r="Q48" s="23" t="s">
        <v>40</v>
      </c>
      <c r="R48" s="23" t="s">
        <v>324</v>
      </c>
      <c r="S48" s="23" t="s">
        <v>40</v>
      </c>
      <c r="T48" s="23" t="s">
        <v>40</v>
      </c>
    </row>
    <row r="49" spans="1:20" x14ac:dyDescent="0.25">
      <c r="A49" s="23" t="s">
        <v>12423</v>
      </c>
      <c r="B49" s="23" t="s">
        <v>323</v>
      </c>
      <c r="C49" s="23" t="s">
        <v>4791</v>
      </c>
      <c r="D49" s="23" t="s">
        <v>12424</v>
      </c>
      <c r="E49" s="23" t="s">
        <v>12418</v>
      </c>
      <c r="F49" s="23" t="s">
        <v>40</v>
      </c>
      <c r="G49" s="23" t="s">
        <v>12425</v>
      </c>
      <c r="H49" s="23" t="s">
        <v>12426</v>
      </c>
      <c r="I49" s="23" t="s">
        <v>12427</v>
      </c>
      <c r="J49" s="23" t="s">
        <v>385</v>
      </c>
      <c r="K49" s="32" t="s">
        <v>747</v>
      </c>
      <c r="L49" s="23" t="s">
        <v>490</v>
      </c>
      <c r="M49" s="25" t="s">
        <v>18</v>
      </c>
      <c r="N49" s="23" t="s">
        <v>40</v>
      </c>
      <c r="O49" s="23" t="s">
        <v>387</v>
      </c>
      <c r="P49" s="23" t="s">
        <v>40</v>
      </c>
      <c r="Q49" s="23" t="s">
        <v>40</v>
      </c>
      <c r="R49" s="23" t="s">
        <v>324</v>
      </c>
      <c r="S49" s="23" t="s">
        <v>40</v>
      </c>
      <c r="T49" s="23" t="s">
        <v>40</v>
      </c>
    </row>
    <row r="50" spans="1:20" x14ac:dyDescent="0.25">
      <c r="A50" s="23" t="s">
        <v>12428</v>
      </c>
      <c r="B50" s="23" t="s">
        <v>323</v>
      </c>
      <c r="C50" s="23" t="s">
        <v>12429</v>
      </c>
      <c r="D50" s="23" t="s">
        <v>12430</v>
      </c>
      <c r="E50" s="23" t="s">
        <v>647</v>
      </c>
      <c r="F50" s="23" t="s">
        <v>40</v>
      </c>
      <c r="G50" s="23" t="s">
        <v>12431</v>
      </c>
      <c r="H50" s="23" t="s">
        <v>12432</v>
      </c>
      <c r="I50" s="23" t="s">
        <v>12433</v>
      </c>
      <c r="J50" s="23" t="s">
        <v>14</v>
      </c>
      <c r="K50" s="26" t="s">
        <v>396</v>
      </c>
      <c r="L50" s="23" t="s">
        <v>13</v>
      </c>
      <c r="M50" s="25" t="s">
        <v>18</v>
      </c>
      <c r="N50" s="23" t="s">
        <v>40</v>
      </c>
      <c r="O50" s="23" t="s">
        <v>387</v>
      </c>
      <c r="P50" s="23" t="s">
        <v>40</v>
      </c>
      <c r="Q50" s="23" t="s">
        <v>40</v>
      </c>
      <c r="R50" s="23" t="s">
        <v>324</v>
      </c>
      <c r="S50" s="23" t="s">
        <v>40</v>
      </c>
      <c r="T50" s="23" t="s">
        <v>40</v>
      </c>
    </row>
    <row r="51" spans="1:20" x14ac:dyDescent="0.25">
      <c r="A51" s="23" t="s">
        <v>12434</v>
      </c>
      <c r="B51" s="23" t="s">
        <v>323</v>
      </c>
      <c r="C51" s="23" t="s">
        <v>12429</v>
      </c>
      <c r="D51" s="23" t="s">
        <v>12435</v>
      </c>
      <c r="E51" s="23" t="s">
        <v>647</v>
      </c>
      <c r="F51" s="23" t="s">
        <v>12436</v>
      </c>
      <c r="G51" s="23" t="s">
        <v>12437</v>
      </c>
      <c r="H51" s="23" t="s">
        <v>12438</v>
      </c>
      <c r="I51" s="23" t="s">
        <v>12439</v>
      </c>
      <c r="J51" s="23" t="s">
        <v>14</v>
      </c>
      <c r="K51" s="24" t="s">
        <v>386</v>
      </c>
      <c r="L51" s="23" t="s">
        <v>405</v>
      </c>
      <c r="M51" s="25" t="s">
        <v>18</v>
      </c>
      <c r="N51" s="23" t="s">
        <v>40</v>
      </c>
      <c r="O51" s="23" t="s">
        <v>387</v>
      </c>
      <c r="P51" s="23" t="s">
        <v>40</v>
      </c>
      <c r="Q51" s="23" t="s">
        <v>40</v>
      </c>
      <c r="R51" s="23" t="s">
        <v>324</v>
      </c>
      <c r="S51" s="23" t="s">
        <v>40</v>
      </c>
      <c r="T51" s="23" t="s">
        <v>12440</v>
      </c>
    </row>
    <row r="52" spans="1:20" x14ac:dyDescent="0.25">
      <c r="A52" s="23" t="s">
        <v>12441</v>
      </c>
      <c r="B52" s="23" t="s">
        <v>323</v>
      </c>
      <c r="C52" s="23" t="s">
        <v>12429</v>
      </c>
      <c r="D52" s="23" t="s">
        <v>12442</v>
      </c>
      <c r="E52" s="23" t="s">
        <v>647</v>
      </c>
      <c r="F52" s="23" t="s">
        <v>12443</v>
      </c>
      <c r="G52" s="23" t="s">
        <v>12444</v>
      </c>
      <c r="H52" s="23" t="s">
        <v>12445</v>
      </c>
      <c r="I52" s="23" t="s">
        <v>12446</v>
      </c>
      <c r="J52" s="23" t="s">
        <v>14</v>
      </c>
      <c r="K52" s="24" t="s">
        <v>386</v>
      </c>
      <c r="L52" s="23" t="s">
        <v>405</v>
      </c>
      <c r="M52" s="25" t="s">
        <v>18</v>
      </c>
      <c r="N52" s="23" t="s">
        <v>40</v>
      </c>
      <c r="O52" s="23" t="s">
        <v>387</v>
      </c>
      <c r="P52" s="23" t="s">
        <v>40</v>
      </c>
      <c r="Q52" s="23" t="s">
        <v>40</v>
      </c>
      <c r="R52" s="23" t="s">
        <v>324</v>
      </c>
      <c r="S52" s="23" t="s">
        <v>1710</v>
      </c>
      <c r="T52" s="23" t="s">
        <v>40</v>
      </c>
    </row>
    <row r="53" spans="1:20" x14ac:dyDescent="0.25">
      <c r="A53" s="23" t="s">
        <v>12447</v>
      </c>
      <c r="B53" s="23" t="s">
        <v>323</v>
      </c>
      <c r="C53" s="23" t="s">
        <v>12429</v>
      </c>
      <c r="D53" s="23" t="s">
        <v>12448</v>
      </c>
      <c r="E53" s="23" t="s">
        <v>647</v>
      </c>
      <c r="F53" s="23" t="s">
        <v>6884</v>
      </c>
      <c r="G53" s="23" t="s">
        <v>12449</v>
      </c>
      <c r="H53" s="23" t="s">
        <v>12450</v>
      </c>
      <c r="I53" s="23" t="s">
        <v>12451</v>
      </c>
      <c r="J53" s="23" t="s">
        <v>15</v>
      </c>
      <c r="K53" s="27" t="s">
        <v>404</v>
      </c>
      <c r="L53" s="23" t="s">
        <v>405</v>
      </c>
      <c r="M53" s="25" t="s">
        <v>18</v>
      </c>
      <c r="N53" s="23" t="s">
        <v>40</v>
      </c>
      <c r="O53" s="23" t="s">
        <v>387</v>
      </c>
      <c r="P53" s="23" t="s">
        <v>40</v>
      </c>
      <c r="Q53" s="23" t="s">
        <v>40</v>
      </c>
      <c r="R53" s="23" t="s">
        <v>324</v>
      </c>
      <c r="S53" s="23" t="s">
        <v>1710</v>
      </c>
      <c r="T53" s="23" t="s">
        <v>40</v>
      </c>
    </row>
    <row r="54" spans="1:20" x14ac:dyDescent="0.25">
      <c r="A54" s="23" t="s">
        <v>12452</v>
      </c>
      <c r="B54" s="23" t="s">
        <v>323</v>
      </c>
      <c r="C54" s="23" t="s">
        <v>12429</v>
      </c>
      <c r="D54" s="23" t="s">
        <v>12453</v>
      </c>
      <c r="E54" s="23" t="s">
        <v>647</v>
      </c>
      <c r="F54" s="23" t="s">
        <v>12454</v>
      </c>
      <c r="G54" s="23" t="s">
        <v>12455</v>
      </c>
      <c r="H54" s="23" t="s">
        <v>12456</v>
      </c>
      <c r="I54" s="23" t="s">
        <v>12457</v>
      </c>
      <c r="J54" s="23" t="s">
        <v>466</v>
      </c>
      <c r="K54" s="27" t="s">
        <v>404</v>
      </c>
      <c r="L54" s="23" t="s">
        <v>405</v>
      </c>
      <c r="M54" s="25" t="s">
        <v>18</v>
      </c>
      <c r="N54" s="23" t="s">
        <v>40</v>
      </c>
      <c r="O54" s="23" t="s">
        <v>387</v>
      </c>
      <c r="P54" s="23" t="s">
        <v>40</v>
      </c>
      <c r="Q54" s="23" t="s">
        <v>40</v>
      </c>
      <c r="R54" s="23" t="s">
        <v>324</v>
      </c>
      <c r="S54" s="23" t="s">
        <v>1710</v>
      </c>
      <c r="T54" s="23" t="s">
        <v>40</v>
      </c>
    </row>
    <row r="55" spans="1:20" x14ac:dyDescent="0.25">
      <c r="A55" s="23" t="s">
        <v>12458</v>
      </c>
      <c r="B55" s="23" t="s">
        <v>323</v>
      </c>
      <c r="C55" s="23" t="s">
        <v>12429</v>
      </c>
      <c r="D55" s="23" t="s">
        <v>12459</v>
      </c>
      <c r="E55" s="23" t="s">
        <v>647</v>
      </c>
      <c r="F55" s="23" t="s">
        <v>12460</v>
      </c>
      <c r="G55" s="23" t="s">
        <v>12461</v>
      </c>
      <c r="H55" s="23" t="s">
        <v>12462</v>
      </c>
      <c r="I55" s="23" t="s">
        <v>12463</v>
      </c>
      <c r="J55" s="23" t="s">
        <v>14</v>
      </c>
      <c r="K55" s="27" t="s">
        <v>404</v>
      </c>
      <c r="L55" s="23" t="s">
        <v>490</v>
      </c>
      <c r="M55" s="25" t="s">
        <v>18</v>
      </c>
      <c r="N55" s="23" t="s">
        <v>40</v>
      </c>
      <c r="O55" s="23" t="s">
        <v>387</v>
      </c>
      <c r="P55" s="23" t="s">
        <v>40</v>
      </c>
      <c r="Q55" s="23" t="s">
        <v>40</v>
      </c>
      <c r="R55" s="23" t="s">
        <v>324</v>
      </c>
      <c r="S55" s="23" t="s">
        <v>1710</v>
      </c>
      <c r="T55" s="23" t="s">
        <v>40</v>
      </c>
    </row>
    <row r="56" spans="1:20" x14ac:dyDescent="0.25">
      <c r="A56" s="23" t="s">
        <v>12464</v>
      </c>
      <c r="B56" s="23" t="s">
        <v>323</v>
      </c>
      <c r="C56" s="23" t="s">
        <v>12465</v>
      </c>
      <c r="D56" s="23" t="s">
        <v>12466</v>
      </c>
      <c r="E56" s="23" t="s">
        <v>647</v>
      </c>
      <c r="F56" s="23" t="s">
        <v>40</v>
      </c>
      <c r="G56" s="23" t="s">
        <v>12467</v>
      </c>
      <c r="H56" s="23" t="s">
        <v>12468</v>
      </c>
      <c r="I56" s="23" t="s">
        <v>12469</v>
      </c>
      <c r="J56" s="23" t="s">
        <v>14</v>
      </c>
      <c r="K56" s="24" t="s">
        <v>386</v>
      </c>
      <c r="L56" s="23" t="s">
        <v>405</v>
      </c>
      <c r="M56" s="25" t="s">
        <v>18</v>
      </c>
      <c r="N56" s="23" t="s">
        <v>40</v>
      </c>
      <c r="O56" s="23" t="s">
        <v>387</v>
      </c>
      <c r="P56" s="23" t="s">
        <v>40</v>
      </c>
      <c r="Q56" s="23" t="s">
        <v>40</v>
      </c>
      <c r="R56" s="23" t="s">
        <v>324</v>
      </c>
      <c r="S56" s="23" t="s">
        <v>40</v>
      </c>
      <c r="T56" s="23" t="s">
        <v>40</v>
      </c>
    </row>
    <row r="57" spans="1:20" x14ac:dyDescent="0.25">
      <c r="A57" s="23" t="s">
        <v>12470</v>
      </c>
      <c r="B57" s="23" t="s">
        <v>323</v>
      </c>
      <c r="C57" s="23" t="s">
        <v>12465</v>
      </c>
      <c r="D57" s="23" t="s">
        <v>12471</v>
      </c>
      <c r="E57" s="23" t="s">
        <v>12472</v>
      </c>
      <c r="F57" s="23" t="s">
        <v>40</v>
      </c>
      <c r="G57" s="23" t="s">
        <v>12473</v>
      </c>
      <c r="H57" s="23" t="s">
        <v>12474</v>
      </c>
      <c r="I57" s="23" t="s">
        <v>12475</v>
      </c>
      <c r="J57" s="23" t="s">
        <v>15</v>
      </c>
      <c r="K57" s="27" t="s">
        <v>404</v>
      </c>
      <c r="L57" s="23" t="s">
        <v>405</v>
      </c>
      <c r="M57" s="25" t="s">
        <v>18</v>
      </c>
      <c r="N57" s="23" t="s">
        <v>40</v>
      </c>
      <c r="O57" s="23" t="s">
        <v>387</v>
      </c>
      <c r="P57" s="23" t="s">
        <v>40</v>
      </c>
      <c r="Q57" s="23" t="s">
        <v>40</v>
      </c>
      <c r="R57" s="23" t="s">
        <v>324</v>
      </c>
      <c r="S57" s="23" t="s">
        <v>40</v>
      </c>
      <c r="T57" s="23" t="s">
        <v>12476</v>
      </c>
    </row>
    <row r="58" spans="1:20" x14ac:dyDescent="0.25">
      <c r="A58" s="23" t="s">
        <v>12477</v>
      </c>
      <c r="B58" s="23" t="s">
        <v>323</v>
      </c>
      <c r="C58" s="23" t="s">
        <v>12398</v>
      </c>
      <c r="D58" s="23" t="s">
        <v>12478</v>
      </c>
      <c r="E58" s="23" t="s">
        <v>12479</v>
      </c>
      <c r="F58" s="23" t="s">
        <v>40</v>
      </c>
      <c r="G58" s="23" t="s">
        <v>12480</v>
      </c>
      <c r="H58" s="23" t="s">
        <v>12481</v>
      </c>
      <c r="I58" s="23" t="s">
        <v>12482</v>
      </c>
      <c r="J58" s="23" t="s">
        <v>489</v>
      </c>
      <c r="K58" s="27" t="s">
        <v>404</v>
      </c>
      <c r="L58" s="23" t="s">
        <v>490</v>
      </c>
      <c r="M58" s="25" t="s">
        <v>18</v>
      </c>
      <c r="N58" s="23" t="s">
        <v>40</v>
      </c>
      <c r="O58" s="23" t="s">
        <v>387</v>
      </c>
      <c r="P58" s="23" t="s">
        <v>40</v>
      </c>
      <c r="Q58" s="23" t="s">
        <v>40</v>
      </c>
      <c r="R58" s="23" t="s">
        <v>324</v>
      </c>
      <c r="S58" s="23" t="s">
        <v>40</v>
      </c>
      <c r="T58" s="23" t="s">
        <v>40</v>
      </c>
    </row>
    <row r="59" spans="1:20" x14ac:dyDescent="0.25">
      <c r="A59" s="23" t="s">
        <v>12483</v>
      </c>
      <c r="B59" s="23" t="s">
        <v>325</v>
      </c>
      <c r="C59" s="23" t="s">
        <v>944</v>
      </c>
      <c r="D59" s="23" t="s">
        <v>12484</v>
      </c>
      <c r="E59" s="23" t="s">
        <v>647</v>
      </c>
      <c r="F59" s="23" t="s">
        <v>40</v>
      </c>
      <c r="G59" s="23" t="s">
        <v>12485</v>
      </c>
      <c r="H59" s="23" t="s">
        <v>12486</v>
      </c>
      <c r="I59" s="23" t="s">
        <v>12487</v>
      </c>
      <c r="J59" s="23" t="s">
        <v>385</v>
      </c>
      <c r="K59" s="24" t="s">
        <v>386</v>
      </c>
      <c r="L59" s="23" t="s">
        <v>13</v>
      </c>
      <c r="M59" s="31" t="s">
        <v>17</v>
      </c>
      <c r="N59" s="23" t="s">
        <v>12488</v>
      </c>
      <c r="O59" s="29" t="s">
        <v>87</v>
      </c>
      <c r="P59" s="23" t="s">
        <v>40</v>
      </c>
      <c r="Q59" s="23" t="s">
        <v>40</v>
      </c>
      <c r="R59" s="23" t="s">
        <v>326</v>
      </c>
      <c r="S59" s="23" t="s">
        <v>40</v>
      </c>
      <c r="T59" s="23" t="s">
        <v>40</v>
      </c>
    </row>
    <row r="60" spans="1:20" x14ac:dyDescent="0.25">
      <c r="A60" s="23" t="s">
        <v>12489</v>
      </c>
      <c r="B60" s="23" t="s">
        <v>325</v>
      </c>
      <c r="C60" s="23" t="s">
        <v>12490</v>
      </c>
      <c r="D60" s="23" t="s">
        <v>12491</v>
      </c>
      <c r="E60" s="23" t="s">
        <v>12492</v>
      </c>
      <c r="F60" s="23" t="s">
        <v>40</v>
      </c>
      <c r="G60" s="23" t="s">
        <v>12493</v>
      </c>
      <c r="H60" s="23" t="s">
        <v>12494</v>
      </c>
      <c r="I60" s="23" t="s">
        <v>12495</v>
      </c>
      <c r="J60" s="23" t="s">
        <v>14</v>
      </c>
      <c r="K60" s="26" t="s">
        <v>396</v>
      </c>
      <c r="L60" s="23" t="s">
        <v>13</v>
      </c>
      <c r="M60" s="25" t="s">
        <v>18</v>
      </c>
      <c r="N60" s="23" t="s">
        <v>40</v>
      </c>
      <c r="O60" s="23" t="s">
        <v>387</v>
      </c>
      <c r="P60" s="23" t="s">
        <v>40</v>
      </c>
      <c r="Q60" s="23" t="s">
        <v>40</v>
      </c>
      <c r="R60" s="23" t="s">
        <v>326</v>
      </c>
      <c r="S60" s="23" t="s">
        <v>40</v>
      </c>
      <c r="T60" s="23" t="s">
        <v>40</v>
      </c>
    </row>
    <row r="61" spans="1:20" x14ac:dyDescent="0.25">
      <c r="A61" s="23" t="s">
        <v>12496</v>
      </c>
      <c r="B61" s="23" t="s">
        <v>325</v>
      </c>
      <c r="C61" s="23" t="s">
        <v>12490</v>
      </c>
      <c r="D61" s="23" t="s">
        <v>12497</v>
      </c>
      <c r="E61" s="23" t="s">
        <v>12498</v>
      </c>
      <c r="F61" s="23" t="s">
        <v>40</v>
      </c>
      <c r="G61" s="23" t="s">
        <v>12499</v>
      </c>
      <c r="H61" s="23" t="s">
        <v>12500</v>
      </c>
      <c r="I61" s="23" t="s">
        <v>12501</v>
      </c>
      <c r="J61" s="23" t="s">
        <v>14</v>
      </c>
      <c r="K61" s="26" t="s">
        <v>396</v>
      </c>
      <c r="L61" s="23" t="s">
        <v>13</v>
      </c>
      <c r="M61" s="25" t="s">
        <v>18</v>
      </c>
      <c r="N61" s="23" t="s">
        <v>40</v>
      </c>
      <c r="O61" s="23" t="s">
        <v>387</v>
      </c>
      <c r="P61" s="23" t="s">
        <v>40</v>
      </c>
      <c r="Q61" s="23" t="s">
        <v>40</v>
      </c>
      <c r="R61" s="23" t="s">
        <v>326</v>
      </c>
      <c r="S61" s="23" t="s">
        <v>40</v>
      </c>
      <c r="T61" s="23" t="s">
        <v>12502</v>
      </c>
    </row>
    <row r="62" spans="1:20" x14ac:dyDescent="0.25">
      <c r="A62" s="23" t="s">
        <v>12503</v>
      </c>
      <c r="B62" s="23" t="s">
        <v>325</v>
      </c>
      <c r="C62" s="23" t="s">
        <v>12490</v>
      </c>
      <c r="D62" s="23" t="s">
        <v>12504</v>
      </c>
      <c r="E62" s="23" t="s">
        <v>12498</v>
      </c>
      <c r="F62" s="23" t="s">
        <v>12505</v>
      </c>
      <c r="G62" s="23" t="s">
        <v>12506</v>
      </c>
      <c r="H62" s="23" t="s">
        <v>12507</v>
      </c>
      <c r="I62" s="23" t="s">
        <v>12508</v>
      </c>
      <c r="J62" s="23" t="s">
        <v>14</v>
      </c>
      <c r="K62" s="26" t="s">
        <v>396</v>
      </c>
      <c r="L62" s="23" t="s">
        <v>13</v>
      </c>
      <c r="M62" s="25" t="s">
        <v>18</v>
      </c>
      <c r="N62" s="23" t="s">
        <v>40</v>
      </c>
      <c r="O62" s="23" t="s">
        <v>387</v>
      </c>
      <c r="P62" s="23" t="s">
        <v>40</v>
      </c>
      <c r="Q62" s="23" t="s">
        <v>40</v>
      </c>
      <c r="R62" s="23" t="s">
        <v>326</v>
      </c>
      <c r="S62" s="23" t="s">
        <v>40</v>
      </c>
      <c r="T62" s="23" t="s">
        <v>12509</v>
      </c>
    </row>
    <row r="63" spans="1:20" x14ac:dyDescent="0.25">
      <c r="A63" s="23" t="s">
        <v>12510</v>
      </c>
      <c r="B63" s="23" t="s">
        <v>325</v>
      </c>
      <c r="C63" s="23" t="s">
        <v>12490</v>
      </c>
      <c r="D63" s="23" t="s">
        <v>12511</v>
      </c>
      <c r="E63" s="23" t="s">
        <v>12512</v>
      </c>
      <c r="F63" s="23" t="s">
        <v>12513</v>
      </c>
      <c r="G63" s="23" t="s">
        <v>12514</v>
      </c>
      <c r="H63" s="23" t="s">
        <v>12515</v>
      </c>
      <c r="I63" s="23" t="s">
        <v>12516</v>
      </c>
      <c r="J63" s="23" t="s">
        <v>489</v>
      </c>
      <c r="K63" s="27" t="s">
        <v>404</v>
      </c>
      <c r="L63" s="23" t="s">
        <v>490</v>
      </c>
      <c r="M63" s="25" t="s">
        <v>18</v>
      </c>
      <c r="N63" s="23" t="s">
        <v>40</v>
      </c>
      <c r="O63" s="23" t="s">
        <v>387</v>
      </c>
      <c r="P63" s="23" t="s">
        <v>40</v>
      </c>
      <c r="Q63" s="23" t="s">
        <v>40</v>
      </c>
      <c r="R63" s="23" t="s">
        <v>326</v>
      </c>
      <c r="S63" s="23" t="s">
        <v>40</v>
      </c>
      <c r="T63" s="23" t="s">
        <v>12517</v>
      </c>
    </row>
    <row r="64" spans="1:20" x14ac:dyDescent="0.25">
      <c r="A64" s="23" t="s">
        <v>12518</v>
      </c>
      <c r="B64" s="23" t="s">
        <v>325</v>
      </c>
      <c r="C64" s="23" t="s">
        <v>12490</v>
      </c>
      <c r="D64" s="23" t="s">
        <v>12519</v>
      </c>
      <c r="E64" s="23" t="s">
        <v>647</v>
      </c>
      <c r="F64" s="23" t="s">
        <v>40</v>
      </c>
      <c r="G64" s="23" t="s">
        <v>12520</v>
      </c>
      <c r="H64" s="23" t="s">
        <v>12521</v>
      </c>
      <c r="I64" s="23" t="s">
        <v>12522</v>
      </c>
      <c r="J64" s="23" t="s">
        <v>525</v>
      </c>
      <c r="K64" s="24" t="s">
        <v>386</v>
      </c>
      <c r="L64" s="23" t="s">
        <v>405</v>
      </c>
      <c r="M64" s="25" t="s">
        <v>18</v>
      </c>
      <c r="N64" s="23" t="s">
        <v>40</v>
      </c>
      <c r="O64" s="23" t="s">
        <v>387</v>
      </c>
      <c r="P64" s="23" t="s">
        <v>40</v>
      </c>
      <c r="Q64" s="23" t="s">
        <v>40</v>
      </c>
      <c r="R64" s="23" t="s">
        <v>326</v>
      </c>
      <c r="S64" s="23" t="s">
        <v>40</v>
      </c>
      <c r="T64" s="23" t="s">
        <v>40</v>
      </c>
    </row>
    <row r="65" spans="1:20" x14ac:dyDescent="0.25">
      <c r="A65" s="23" t="s">
        <v>12523</v>
      </c>
      <c r="B65" s="23" t="s">
        <v>325</v>
      </c>
      <c r="C65" s="23" t="s">
        <v>12490</v>
      </c>
      <c r="D65" s="23" t="s">
        <v>12524</v>
      </c>
      <c r="E65" s="23" t="s">
        <v>12525</v>
      </c>
      <c r="F65" s="23" t="s">
        <v>40</v>
      </c>
      <c r="G65" s="23" t="s">
        <v>12526</v>
      </c>
      <c r="H65" s="23" t="s">
        <v>12527</v>
      </c>
      <c r="I65" s="23" t="s">
        <v>12528</v>
      </c>
      <c r="J65" s="23" t="s">
        <v>15</v>
      </c>
      <c r="K65" s="24" t="s">
        <v>386</v>
      </c>
      <c r="L65" s="23" t="s">
        <v>13</v>
      </c>
      <c r="M65" s="25" t="s">
        <v>18</v>
      </c>
      <c r="N65" s="23" t="s">
        <v>40</v>
      </c>
      <c r="O65" s="23" t="s">
        <v>387</v>
      </c>
      <c r="P65" s="23" t="s">
        <v>40</v>
      </c>
      <c r="Q65" s="23" t="s">
        <v>40</v>
      </c>
      <c r="R65" s="23" t="s">
        <v>326</v>
      </c>
      <c r="S65" s="23" t="s">
        <v>40</v>
      </c>
      <c r="T65" s="23" t="s">
        <v>12529</v>
      </c>
    </row>
    <row r="66" spans="1:20" x14ac:dyDescent="0.25">
      <c r="A66" s="23" t="s">
        <v>12530</v>
      </c>
      <c r="B66" s="23" t="s">
        <v>325</v>
      </c>
      <c r="C66" s="23" t="s">
        <v>12490</v>
      </c>
      <c r="D66" s="23" t="s">
        <v>12531</v>
      </c>
      <c r="E66" s="23" t="s">
        <v>12532</v>
      </c>
      <c r="F66" s="23" t="s">
        <v>40</v>
      </c>
      <c r="G66" s="23" t="s">
        <v>12533</v>
      </c>
      <c r="H66" s="23" t="s">
        <v>12534</v>
      </c>
      <c r="I66" s="23" t="s">
        <v>12535</v>
      </c>
      <c r="J66" s="23" t="s">
        <v>395</v>
      </c>
      <c r="K66" s="26" t="s">
        <v>396</v>
      </c>
      <c r="L66" s="23" t="s">
        <v>13</v>
      </c>
      <c r="M66" s="25" t="s">
        <v>18</v>
      </c>
      <c r="N66" s="23" t="s">
        <v>40</v>
      </c>
      <c r="O66" s="23" t="s">
        <v>387</v>
      </c>
      <c r="P66" s="23" t="s">
        <v>40</v>
      </c>
      <c r="Q66" s="23" t="s">
        <v>40</v>
      </c>
      <c r="R66" s="23" t="s">
        <v>326</v>
      </c>
      <c r="S66" s="23" t="s">
        <v>12536</v>
      </c>
      <c r="T66" s="23" t="s">
        <v>40</v>
      </c>
    </row>
    <row r="67" spans="1:20" x14ac:dyDescent="0.25">
      <c r="A67" s="23" t="s">
        <v>12537</v>
      </c>
      <c r="B67" s="23" t="s">
        <v>325</v>
      </c>
      <c r="C67" s="23" t="s">
        <v>12490</v>
      </c>
      <c r="D67" s="23" t="s">
        <v>12538</v>
      </c>
      <c r="E67" s="23" t="s">
        <v>12539</v>
      </c>
      <c r="F67" s="23" t="s">
        <v>40</v>
      </c>
      <c r="G67" s="23" t="s">
        <v>12540</v>
      </c>
      <c r="H67" s="23" t="s">
        <v>12541</v>
      </c>
      <c r="I67" s="23" t="s">
        <v>12542</v>
      </c>
      <c r="J67" s="23" t="s">
        <v>14</v>
      </c>
      <c r="K67" s="27" t="s">
        <v>404</v>
      </c>
      <c r="L67" s="23" t="s">
        <v>490</v>
      </c>
      <c r="M67" s="25" t="s">
        <v>18</v>
      </c>
      <c r="N67" s="23" t="s">
        <v>40</v>
      </c>
      <c r="O67" s="23" t="s">
        <v>387</v>
      </c>
      <c r="P67" s="23" t="s">
        <v>40</v>
      </c>
      <c r="Q67" s="23" t="s">
        <v>40</v>
      </c>
      <c r="R67" s="23" t="s">
        <v>326</v>
      </c>
      <c r="S67" s="23" t="s">
        <v>40</v>
      </c>
      <c r="T67" s="23" t="s">
        <v>40</v>
      </c>
    </row>
    <row r="68" spans="1:20" x14ac:dyDescent="0.25">
      <c r="A68" s="23" t="s">
        <v>12543</v>
      </c>
      <c r="B68" s="23" t="s">
        <v>325</v>
      </c>
      <c r="C68" s="23" t="s">
        <v>12544</v>
      </c>
      <c r="D68" s="23" t="s">
        <v>12545</v>
      </c>
      <c r="E68" s="23" t="s">
        <v>12512</v>
      </c>
      <c r="F68" s="23" t="s">
        <v>40</v>
      </c>
      <c r="G68" s="23" t="s">
        <v>12546</v>
      </c>
      <c r="H68" s="23" t="s">
        <v>12547</v>
      </c>
      <c r="I68" s="23" t="s">
        <v>12548</v>
      </c>
      <c r="J68" s="23" t="s">
        <v>385</v>
      </c>
      <c r="K68" s="27" t="s">
        <v>404</v>
      </c>
      <c r="L68" s="23" t="s">
        <v>405</v>
      </c>
      <c r="M68" s="25" t="s">
        <v>18</v>
      </c>
      <c r="N68" s="23" t="s">
        <v>40</v>
      </c>
      <c r="O68" s="23" t="s">
        <v>387</v>
      </c>
      <c r="P68" s="23" t="s">
        <v>40</v>
      </c>
      <c r="Q68" s="23" t="s">
        <v>40</v>
      </c>
      <c r="R68" s="23" t="s">
        <v>326</v>
      </c>
      <c r="S68" s="23" t="s">
        <v>40</v>
      </c>
      <c r="T68" s="23" t="s">
        <v>40</v>
      </c>
    </row>
    <row r="69" spans="1:20" x14ac:dyDescent="0.25">
      <c r="A69" s="23" t="s">
        <v>12549</v>
      </c>
      <c r="B69" s="23" t="s">
        <v>325</v>
      </c>
      <c r="C69" s="23" t="s">
        <v>12490</v>
      </c>
      <c r="D69" s="23" t="s">
        <v>12550</v>
      </c>
      <c r="E69" s="23" t="s">
        <v>12551</v>
      </c>
      <c r="F69" s="23" t="s">
        <v>40</v>
      </c>
      <c r="G69" s="23" t="s">
        <v>12552</v>
      </c>
      <c r="H69" s="23" t="s">
        <v>12553</v>
      </c>
      <c r="I69" s="23" t="s">
        <v>12554</v>
      </c>
      <c r="J69" s="23" t="s">
        <v>801</v>
      </c>
      <c r="K69" s="24" t="s">
        <v>386</v>
      </c>
      <c r="L69" s="23" t="s">
        <v>405</v>
      </c>
      <c r="M69" s="25" t="s">
        <v>18</v>
      </c>
      <c r="N69" s="23" t="s">
        <v>40</v>
      </c>
      <c r="O69" s="23" t="s">
        <v>387</v>
      </c>
      <c r="P69" s="23" t="s">
        <v>40</v>
      </c>
      <c r="Q69" s="23" t="s">
        <v>40</v>
      </c>
      <c r="R69" s="23" t="s">
        <v>326</v>
      </c>
      <c r="S69" s="23" t="s">
        <v>40</v>
      </c>
      <c r="T69" s="23" t="s">
        <v>12555</v>
      </c>
    </row>
    <row r="70" spans="1:20" x14ac:dyDescent="0.25">
      <c r="A70" s="23" t="s">
        <v>12556</v>
      </c>
      <c r="B70" s="23" t="s">
        <v>325</v>
      </c>
      <c r="C70" s="23" t="s">
        <v>12490</v>
      </c>
      <c r="D70" s="23" t="s">
        <v>12557</v>
      </c>
      <c r="E70" s="23" t="s">
        <v>12512</v>
      </c>
      <c r="F70" s="23" t="s">
        <v>40</v>
      </c>
      <c r="G70" s="23" t="s">
        <v>12558</v>
      </c>
      <c r="H70" s="23" t="s">
        <v>12559</v>
      </c>
      <c r="I70" s="23" t="s">
        <v>12560</v>
      </c>
      <c r="J70" s="23" t="s">
        <v>15</v>
      </c>
      <c r="K70" s="27" t="s">
        <v>404</v>
      </c>
      <c r="L70" s="23" t="s">
        <v>490</v>
      </c>
      <c r="M70" s="25" t="s">
        <v>18</v>
      </c>
      <c r="N70" s="23" t="s">
        <v>40</v>
      </c>
      <c r="O70" s="23" t="s">
        <v>387</v>
      </c>
      <c r="P70" s="23" t="s">
        <v>40</v>
      </c>
      <c r="Q70" s="23" t="s">
        <v>40</v>
      </c>
      <c r="R70" s="23" t="s">
        <v>326</v>
      </c>
      <c r="S70" s="23" t="s">
        <v>40</v>
      </c>
      <c r="T70" s="23" t="s">
        <v>40</v>
      </c>
    </row>
    <row r="71" spans="1:20" x14ac:dyDescent="0.25">
      <c r="A71" s="23" t="s">
        <v>12561</v>
      </c>
      <c r="B71" s="23" t="s">
        <v>325</v>
      </c>
      <c r="C71" s="23" t="s">
        <v>12490</v>
      </c>
      <c r="D71" s="23" t="s">
        <v>12562</v>
      </c>
      <c r="E71" s="23" t="s">
        <v>12563</v>
      </c>
      <c r="F71" s="23" t="s">
        <v>40</v>
      </c>
      <c r="G71" s="23" t="s">
        <v>12564</v>
      </c>
      <c r="H71" s="23" t="s">
        <v>12565</v>
      </c>
      <c r="I71" s="23" t="s">
        <v>12566</v>
      </c>
      <c r="J71" s="23" t="s">
        <v>395</v>
      </c>
      <c r="K71" s="26" t="s">
        <v>396</v>
      </c>
      <c r="L71" s="23" t="s">
        <v>13</v>
      </c>
      <c r="M71" s="25" t="s">
        <v>18</v>
      </c>
      <c r="N71" s="23" t="s">
        <v>40</v>
      </c>
      <c r="O71" s="23" t="s">
        <v>387</v>
      </c>
      <c r="P71" s="23" t="s">
        <v>40</v>
      </c>
      <c r="Q71" s="23" t="s">
        <v>40</v>
      </c>
      <c r="R71" s="23" t="s">
        <v>326</v>
      </c>
      <c r="S71" s="23" t="s">
        <v>40</v>
      </c>
      <c r="T71" s="23" t="s">
        <v>40</v>
      </c>
    </row>
    <row r="72" spans="1:20" x14ac:dyDescent="0.25">
      <c r="A72" s="23" t="s">
        <v>12567</v>
      </c>
      <c r="B72" s="23" t="s">
        <v>30</v>
      </c>
      <c r="C72" s="23" t="s">
        <v>944</v>
      </c>
      <c r="D72" s="23" t="s">
        <v>12568</v>
      </c>
      <c r="E72" s="23" t="s">
        <v>647</v>
      </c>
      <c r="F72" s="23" t="s">
        <v>40</v>
      </c>
      <c r="G72" s="23" t="s">
        <v>12569</v>
      </c>
      <c r="H72" s="23" t="s">
        <v>12570</v>
      </c>
      <c r="I72" s="23" t="s">
        <v>12571</v>
      </c>
      <c r="J72" s="23" t="s">
        <v>385</v>
      </c>
      <c r="K72" s="24" t="s">
        <v>386</v>
      </c>
      <c r="L72" s="23" t="s">
        <v>13</v>
      </c>
      <c r="M72" s="31" t="s">
        <v>17</v>
      </c>
      <c r="N72" s="23" t="s">
        <v>12572</v>
      </c>
      <c r="O72" s="29" t="s">
        <v>87</v>
      </c>
      <c r="P72" s="23" t="s">
        <v>40</v>
      </c>
      <c r="Q72" s="23" t="s">
        <v>40</v>
      </c>
      <c r="R72" s="23" t="s">
        <v>327</v>
      </c>
      <c r="S72" s="23" t="s">
        <v>40</v>
      </c>
      <c r="T72" s="23" t="s">
        <v>40</v>
      </c>
    </row>
    <row r="73" spans="1:20" x14ac:dyDescent="0.25">
      <c r="A73" s="23" t="s">
        <v>12573</v>
      </c>
      <c r="B73" s="23" t="s">
        <v>30</v>
      </c>
      <c r="C73" s="23" t="s">
        <v>12574</v>
      </c>
      <c r="D73" s="23" t="s">
        <v>12575</v>
      </c>
      <c r="E73" s="23" t="s">
        <v>12576</v>
      </c>
      <c r="F73" s="23" t="s">
        <v>12577</v>
      </c>
      <c r="G73" s="23" t="s">
        <v>12578</v>
      </c>
      <c r="H73" s="23" t="s">
        <v>12579</v>
      </c>
      <c r="I73" s="23" t="s">
        <v>12580</v>
      </c>
      <c r="J73" s="23" t="s">
        <v>14</v>
      </c>
      <c r="K73" s="26" t="s">
        <v>396</v>
      </c>
      <c r="L73" s="23" t="s">
        <v>13</v>
      </c>
      <c r="M73" s="28" t="s">
        <v>16</v>
      </c>
      <c r="N73" s="23" t="s">
        <v>1457</v>
      </c>
      <c r="O73" s="29" t="s">
        <v>87</v>
      </c>
      <c r="P73" s="23" t="s">
        <v>40</v>
      </c>
      <c r="Q73" s="23" t="s">
        <v>40</v>
      </c>
      <c r="R73" s="23" t="s">
        <v>327</v>
      </c>
      <c r="S73" s="23" t="s">
        <v>40</v>
      </c>
      <c r="T73" s="23" t="s">
        <v>40</v>
      </c>
    </row>
    <row r="74" spans="1:20" x14ac:dyDescent="0.25">
      <c r="A74" s="23" t="s">
        <v>12581</v>
      </c>
      <c r="B74" s="23" t="s">
        <v>30</v>
      </c>
      <c r="C74" s="23" t="s">
        <v>12574</v>
      </c>
      <c r="D74" s="23" t="s">
        <v>12582</v>
      </c>
      <c r="E74" s="23" t="s">
        <v>12583</v>
      </c>
      <c r="F74" s="23" t="s">
        <v>40</v>
      </c>
      <c r="G74" s="23" t="s">
        <v>12584</v>
      </c>
      <c r="H74" s="23" t="s">
        <v>12585</v>
      </c>
      <c r="I74" s="23" t="s">
        <v>12586</v>
      </c>
      <c r="J74" s="23" t="s">
        <v>801</v>
      </c>
      <c r="K74" s="26" t="s">
        <v>396</v>
      </c>
      <c r="L74" s="23" t="s">
        <v>13</v>
      </c>
      <c r="M74" s="28" t="s">
        <v>16</v>
      </c>
      <c r="N74" s="23" t="s">
        <v>1457</v>
      </c>
      <c r="O74" s="29" t="s">
        <v>87</v>
      </c>
      <c r="P74" s="23" t="s">
        <v>40</v>
      </c>
      <c r="Q74" s="23" t="s">
        <v>40</v>
      </c>
      <c r="R74" s="23" t="s">
        <v>327</v>
      </c>
      <c r="S74" s="23" t="s">
        <v>40</v>
      </c>
      <c r="T74" s="23" t="s">
        <v>40</v>
      </c>
    </row>
    <row r="75" spans="1:20" x14ac:dyDescent="0.25">
      <c r="A75" s="23" t="s">
        <v>12587</v>
      </c>
      <c r="B75" s="23" t="s">
        <v>30</v>
      </c>
      <c r="C75" s="23" t="s">
        <v>12574</v>
      </c>
      <c r="D75" s="23" t="s">
        <v>12588</v>
      </c>
      <c r="E75" s="23" t="s">
        <v>647</v>
      </c>
      <c r="F75" s="23" t="s">
        <v>40</v>
      </c>
      <c r="G75" s="23" t="s">
        <v>12589</v>
      </c>
      <c r="H75" s="23" t="s">
        <v>12590</v>
      </c>
      <c r="I75" s="23" t="s">
        <v>12591</v>
      </c>
      <c r="J75" s="23" t="s">
        <v>466</v>
      </c>
      <c r="K75" s="24" t="s">
        <v>386</v>
      </c>
      <c r="L75" s="23" t="s">
        <v>13</v>
      </c>
      <c r="M75" s="25" t="s">
        <v>18</v>
      </c>
      <c r="N75" s="23" t="s">
        <v>40</v>
      </c>
      <c r="O75" s="23" t="s">
        <v>387</v>
      </c>
      <c r="P75" s="23" t="s">
        <v>40</v>
      </c>
      <c r="Q75" s="23" t="s">
        <v>40</v>
      </c>
      <c r="R75" s="23" t="s">
        <v>327</v>
      </c>
      <c r="S75" s="23" t="s">
        <v>40</v>
      </c>
      <c r="T75" s="23" t="s">
        <v>40</v>
      </c>
    </row>
    <row r="76" spans="1:20" x14ac:dyDescent="0.25">
      <c r="A76" s="23" t="s">
        <v>12592</v>
      </c>
      <c r="B76" s="23" t="s">
        <v>30</v>
      </c>
      <c r="C76" s="23" t="s">
        <v>12574</v>
      </c>
      <c r="D76" s="23" t="s">
        <v>12593</v>
      </c>
      <c r="E76" s="23" t="s">
        <v>647</v>
      </c>
      <c r="F76" s="23" t="s">
        <v>40</v>
      </c>
      <c r="G76" s="23" t="s">
        <v>12594</v>
      </c>
      <c r="H76" s="23" t="s">
        <v>12595</v>
      </c>
      <c r="I76" s="23" t="s">
        <v>12596</v>
      </c>
      <c r="J76" s="23" t="s">
        <v>466</v>
      </c>
      <c r="K76" s="27" t="s">
        <v>404</v>
      </c>
      <c r="L76" s="23" t="s">
        <v>405</v>
      </c>
      <c r="M76" s="25" t="s">
        <v>18</v>
      </c>
      <c r="N76" s="23" t="s">
        <v>40</v>
      </c>
      <c r="O76" s="23" t="s">
        <v>387</v>
      </c>
      <c r="P76" s="23" t="s">
        <v>40</v>
      </c>
      <c r="Q76" s="23" t="s">
        <v>40</v>
      </c>
      <c r="R76" s="23" t="s">
        <v>327</v>
      </c>
      <c r="S76" s="23" t="s">
        <v>40</v>
      </c>
      <c r="T76" s="23" t="s">
        <v>40</v>
      </c>
    </row>
    <row r="77" spans="1:20" x14ac:dyDescent="0.25">
      <c r="A77" s="23" t="s">
        <v>12597</v>
      </c>
      <c r="B77" s="23" t="s">
        <v>30</v>
      </c>
      <c r="C77" s="23" t="s">
        <v>12574</v>
      </c>
      <c r="D77" s="23" t="s">
        <v>12598</v>
      </c>
      <c r="E77" s="23" t="s">
        <v>647</v>
      </c>
      <c r="F77" s="23" t="s">
        <v>40</v>
      </c>
      <c r="G77" s="23" t="s">
        <v>12599</v>
      </c>
      <c r="H77" s="23" t="s">
        <v>12600</v>
      </c>
      <c r="I77" s="23" t="s">
        <v>12601</v>
      </c>
      <c r="J77" s="23" t="s">
        <v>466</v>
      </c>
      <c r="K77" s="24" t="s">
        <v>386</v>
      </c>
      <c r="L77" s="23" t="s">
        <v>13</v>
      </c>
      <c r="M77" s="25" t="s">
        <v>18</v>
      </c>
      <c r="N77" s="23" t="s">
        <v>40</v>
      </c>
      <c r="O77" s="23" t="s">
        <v>387</v>
      </c>
      <c r="P77" s="23" t="s">
        <v>40</v>
      </c>
      <c r="Q77" s="23" t="s">
        <v>40</v>
      </c>
      <c r="R77" s="23" t="s">
        <v>327</v>
      </c>
      <c r="S77" s="23" t="s">
        <v>40</v>
      </c>
      <c r="T77" s="23" t="s">
        <v>40</v>
      </c>
    </row>
    <row r="78" spans="1:20" x14ac:dyDescent="0.25">
      <c r="A78" s="23" t="s">
        <v>12602</v>
      </c>
      <c r="B78" s="23" t="s">
        <v>30</v>
      </c>
      <c r="C78" s="23" t="s">
        <v>12574</v>
      </c>
      <c r="D78" s="23" t="s">
        <v>12603</v>
      </c>
      <c r="E78" s="23" t="s">
        <v>12604</v>
      </c>
      <c r="F78" s="23" t="s">
        <v>40</v>
      </c>
      <c r="G78" s="23" t="s">
        <v>12605</v>
      </c>
      <c r="H78" s="23" t="s">
        <v>12606</v>
      </c>
      <c r="I78" s="23" t="s">
        <v>12607</v>
      </c>
      <c r="J78" s="23" t="s">
        <v>15</v>
      </c>
      <c r="K78" s="24" t="s">
        <v>386</v>
      </c>
      <c r="L78" s="23" t="s">
        <v>13</v>
      </c>
      <c r="M78" s="25" t="s">
        <v>18</v>
      </c>
      <c r="N78" s="23" t="s">
        <v>40</v>
      </c>
      <c r="O78" s="23" t="s">
        <v>387</v>
      </c>
      <c r="P78" s="23" t="s">
        <v>40</v>
      </c>
      <c r="Q78" s="23" t="s">
        <v>40</v>
      </c>
      <c r="R78" s="23" t="s">
        <v>327</v>
      </c>
      <c r="S78" s="23" t="s">
        <v>40</v>
      </c>
      <c r="T78" s="23" t="s">
        <v>40</v>
      </c>
    </row>
    <row r="79" spans="1:20" x14ac:dyDescent="0.25">
      <c r="A79" s="23" t="s">
        <v>12608</v>
      </c>
      <c r="B79" s="23" t="s">
        <v>30</v>
      </c>
      <c r="C79" s="23" t="s">
        <v>12574</v>
      </c>
      <c r="D79" s="23" t="s">
        <v>12609</v>
      </c>
      <c r="E79" s="23" t="s">
        <v>12610</v>
      </c>
      <c r="F79" s="23" t="s">
        <v>40</v>
      </c>
      <c r="G79" s="23" t="s">
        <v>12611</v>
      </c>
      <c r="H79" s="23" t="s">
        <v>12612</v>
      </c>
      <c r="I79" s="23" t="s">
        <v>12613</v>
      </c>
      <c r="J79" s="23" t="s">
        <v>489</v>
      </c>
      <c r="K79" s="24" t="s">
        <v>386</v>
      </c>
      <c r="L79" s="23" t="s">
        <v>13</v>
      </c>
      <c r="M79" s="25" t="s">
        <v>18</v>
      </c>
      <c r="N79" s="23" t="s">
        <v>40</v>
      </c>
      <c r="O79" s="23" t="s">
        <v>387</v>
      </c>
      <c r="P79" s="23" t="s">
        <v>40</v>
      </c>
      <c r="Q79" s="23" t="s">
        <v>40</v>
      </c>
      <c r="R79" s="23" t="s">
        <v>327</v>
      </c>
      <c r="S79" s="23" t="s">
        <v>40</v>
      </c>
      <c r="T79" s="23" t="s">
        <v>12614</v>
      </c>
    </row>
    <row r="80" spans="1:20" x14ac:dyDescent="0.25">
      <c r="A80" s="23" t="s">
        <v>12615</v>
      </c>
      <c r="B80" s="23" t="s">
        <v>30</v>
      </c>
      <c r="C80" s="23" t="s">
        <v>12574</v>
      </c>
      <c r="D80" s="23" t="s">
        <v>12616</v>
      </c>
      <c r="E80" s="23" t="s">
        <v>12617</v>
      </c>
      <c r="F80" s="23" t="s">
        <v>40</v>
      </c>
      <c r="G80" s="23" t="s">
        <v>12618</v>
      </c>
      <c r="H80" s="23" t="s">
        <v>12619</v>
      </c>
      <c r="I80" s="23" t="s">
        <v>12620</v>
      </c>
      <c r="J80" s="23" t="s">
        <v>15</v>
      </c>
      <c r="K80" s="27" t="s">
        <v>404</v>
      </c>
      <c r="L80" s="23" t="s">
        <v>405</v>
      </c>
      <c r="M80" s="25" t="s">
        <v>18</v>
      </c>
      <c r="N80" s="23" t="s">
        <v>40</v>
      </c>
      <c r="O80" s="23" t="s">
        <v>387</v>
      </c>
      <c r="P80" s="23" t="s">
        <v>40</v>
      </c>
      <c r="Q80" s="23" t="s">
        <v>40</v>
      </c>
      <c r="R80" s="23" t="s">
        <v>327</v>
      </c>
      <c r="S80" s="23" t="s">
        <v>12621</v>
      </c>
      <c r="T80" s="23" t="s">
        <v>40</v>
      </c>
    </row>
    <row r="81" spans="1:20" x14ac:dyDescent="0.25">
      <c r="A81" s="23" t="s">
        <v>12622</v>
      </c>
      <c r="B81" s="23" t="s">
        <v>30</v>
      </c>
      <c r="C81" s="23" t="s">
        <v>12574</v>
      </c>
      <c r="D81" s="23" t="s">
        <v>12623</v>
      </c>
      <c r="E81" s="23" t="s">
        <v>12624</v>
      </c>
      <c r="F81" s="23" t="s">
        <v>40</v>
      </c>
      <c r="G81" s="23" t="s">
        <v>12625</v>
      </c>
      <c r="H81" s="23" t="s">
        <v>12626</v>
      </c>
      <c r="I81" s="23" t="s">
        <v>12627</v>
      </c>
      <c r="J81" s="23" t="s">
        <v>489</v>
      </c>
      <c r="K81" s="27" t="s">
        <v>404</v>
      </c>
      <c r="L81" s="23" t="s">
        <v>405</v>
      </c>
      <c r="M81" s="25" t="s">
        <v>18</v>
      </c>
      <c r="N81" s="23" t="s">
        <v>40</v>
      </c>
      <c r="O81" s="23" t="s">
        <v>387</v>
      </c>
      <c r="P81" s="23" t="s">
        <v>40</v>
      </c>
      <c r="Q81" s="23" t="s">
        <v>40</v>
      </c>
      <c r="R81" s="23" t="s">
        <v>327</v>
      </c>
      <c r="S81" s="23" t="s">
        <v>40</v>
      </c>
      <c r="T81" s="23" t="s">
        <v>40</v>
      </c>
    </row>
    <row r="82" spans="1:20" x14ac:dyDescent="0.25">
      <c r="A82" s="23" t="s">
        <v>12628</v>
      </c>
      <c r="B82" s="23" t="s">
        <v>30</v>
      </c>
      <c r="C82" s="23" t="s">
        <v>8801</v>
      </c>
      <c r="D82" s="23" t="s">
        <v>12629</v>
      </c>
      <c r="E82" s="23" t="s">
        <v>647</v>
      </c>
      <c r="F82" s="23" t="s">
        <v>40</v>
      </c>
      <c r="G82" s="23" t="s">
        <v>12630</v>
      </c>
      <c r="H82" s="23" t="s">
        <v>12631</v>
      </c>
      <c r="I82" s="23" t="s">
        <v>12632</v>
      </c>
      <c r="J82" s="23" t="s">
        <v>14</v>
      </c>
      <c r="K82" s="26" t="s">
        <v>396</v>
      </c>
      <c r="L82" s="23" t="s">
        <v>13</v>
      </c>
      <c r="M82" s="25" t="s">
        <v>18</v>
      </c>
      <c r="N82" s="23" t="s">
        <v>40</v>
      </c>
      <c r="O82" s="23" t="s">
        <v>387</v>
      </c>
      <c r="P82" s="23" t="s">
        <v>40</v>
      </c>
      <c r="Q82" s="23" t="s">
        <v>40</v>
      </c>
      <c r="R82" s="23" t="s">
        <v>327</v>
      </c>
      <c r="S82" s="23" t="s">
        <v>40</v>
      </c>
      <c r="T82" s="23" t="s">
        <v>12633</v>
      </c>
    </row>
    <row r="83" spans="1:20" x14ac:dyDescent="0.25">
      <c r="A83" s="23" t="s">
        <v>12634</v>
      </c>
      <c r="B83" s="23" t="s">
        <v>30</v>
      </c>
      <c r="C83" s="23" t="s">
        <v>208</v>
      </c>
      <c r="D83" s="23" t="s">
        <v>12635</v>
      </c>
      <c r="E83" s="23" t="s">
        <v>647</v>
      </c>
      <c r="F83" s="23" t="s">
        <v>40</v>
      </c>
      <c r="G83" s="23" t="s">
        <v>12636</v>
      </c>
      <c r="H83" s="23" t="s">
        <v>12637</v>
      </c>
      <c r="I83" s="23" t="s">
        <v>12638</v>
      </c>
      <c r="J83" s="23" t="s">
        <v>14</v>
      </c>
      <c r="K83" s="24" t="s">
        <v>386</v>
      </c>
      <c r="L83" s="23" t="s">
        <v>405</v>
      </c>
      <c r="M83" s="25" t="s">
        <v>18</v>
      </c>
      <c r="N83" s="23" t="s">
        <v>40</v>
      </c>
      <c r="O83" s="23" t="s">
        <v>387</v>
      </c>
      <c r="P83" s="23" t="s">
        <v>40</v>
      </c>
      <c r="Q83" s="23" t="s">
        <v>40</v>
      </c>
      <c r="R83" s="23" t="s">
        <v>327</v>
      </c>
      <c r="S83" s="23" t="s">
        <v>40</v>
      </c>
      <c r="T83" s="23" t="s">
        <v>12639</v>
      </c>
    </row>
    <row r="84" spans="1:20" x14ac:dyDescent="0.25">
      <c r="A84" s="23" t="s">
        <v>12640</v>
      </c>
      <c r="B84" s="23" t="s">
        <v>30</v>
      </c>
      <c r="C84" s="23" t="s">
        <v>208</v>
      </c>
      <c r="D84" s="23" t="s">
        <v>12641</v>
      </c>
      <c r="E84" s="23" t="s">
        <v>12642</v>
      </c>
      <c r="F84" s="23" t="s">
        <v>40</v>
      </c>
      <c r="G84" s="23" t="s">
        <v>12643</v>
      </c>
      <c r="H84" s="23" t="s">
        <v>12644</v>
      </c>
      <c r="I84" s="23" t="s">
        <v>12645</v>
      </c>
      <c r="J84" s="23" t="s">
        <v>14</v>
      </c>
      <c r="K84" s="27" t="s">
        <v>404</v>
      </c>
      <c r="L84" s="23" t="s">
        <v>490</v>
      </c>
      <c r="M84" s="25" t="s">
        <v>18</v>
      </c>
      <c r="N84" s="23" t="s">
        <v>40</v>
      </c>
      <c r="O84" s="23" t="s">
        <v>387</v>
      </c>
      <c r="P84" s="23" t="s">
        <v>40</v>
      </c>
      <c r="Q84" s="23" t="s">
        <v>40</v>
      </c>
      <c r="R84" s="23" t="s">
        <v>327</v>
      </c>
      <c r="S84" s="23" t="s">
        <v>40</v>
      </c>
      <c r="T84" s="23" t="s">
        <v>40</v>
      </c>
    </row>
    <row r="85" spans="1:20" x14ac:dyDescent="0.25">
      <c r="A85" s="23" t="s">
        <v>12646</v>
      </c>
      <c r="B85" s="23" t="s">
        <v>30</v>
      </c>
      <c r="C85" s="23" t="s">
        <v>12647</v>
      </c>
      <c r="D85" s="23" t="s">
        <v>12648</v>
      </c>
      <c r="E85" s="23" t="s">
        <v>647</v>
      </c>
      <c r="F85" s="23" t="s">
        <v>40</v>
      </c>
      <c r="G85" s="23" t="s">
        <v>12649</v>
      </c>
      <c r="H85" s="23" t="s">
        <v>12650</v>
      </c>
      <c r="I85" s="23" t="s">
        <v>12651</v>
      </c>
      <c r="J85" s="23" t="s">
        <v>14</v>
      </c>
      <c r="K85" s="27" t="s">
        <v>404</v>
      </c>
      <c r="L85" s="23" t="s">
        <v>490</v>
      </c>
      <c r="M85" s="25" t="s">
        <v>18</v>
      </c>
      <c r="N85" s="23" t="s">
        <v>40</v>
      </c>
      <c r="O85" s="23" t="s">
        <v>387</v>
      </c>
      <c r="P85" s="23" t="s">
        <v>40</v>
      </c>
      <c r="Q85" s="23" t="s">
        <v>40</v>
      </c>
      <c r="R85" s="23" t="s">
        <v>327</v>
      </c>
      <c r="S85" s="23" t="s">
        <v>40</v>
      </c>
      <c r="T85" s="23" t="s">
        <v>40</v>
      </c>
    </row>
    <row r="86" spans="1:20" x14ac:dyDescent="0.25">
      <c r="A86" s="23" t="s">
        <v>12652</v>
      </c>
      <c r="B86" s="23" t="s">
        <v>30</v>
      </c>
      <c r="C86" s="23" t="s">
        <v>12653</v>
      </c>
      <c r="D86" s="23" t="s">
        <v>12654</v>
      </c>
      <c r="E86" s="23" t="s">
        <v>647</v>
      </c>
      <c r="F86" s="23" t="s">
        <v>40</v>
      </c>
      <c r="G86" s="23" t="s">
        <v>12655</v>
      </c>
      <c r="H86" s="23" t="s">
        <v>12656</v>
      </c>
      <c r="I86" s="23" t="s">
        <v>12657</v>
      </c>
      <c r="J86" s="23" t="s">
        <v>385</v>
      </c>
      <c r="K86" s="32" t="s">
        <v>747</v>
      </c>
      <c r="L86" s="23" t="s">
        <v>490</v>
      </c>
      <c r="M86" s="25" t="s">
        <v>18</v>
      </c>
      <c r="N86" s="23" t="s">
        <v>40</v>
      </c>
      <c r="O86" s="23" t="s">
        <v>387</v>
      </c>
      <c r="P86" s="23" t="s">
        <v>40</v>
      </c>
      <c r="Q86" s="23" t="s">
        <v>40</v>
      </c>
      <c r="R86" s="23" t="s">
        <v>327</v>
      </c>
      <c r="S86" s="23" t="s">
        <v>40</v>
      </c>
      <c r="T86" s="23" t="s">
        <v>40</v>
      </c>
    </row>
    <row r="87" spans="1:20" x14ac:dyDescent="0.25">
      <c r="A87" s="23" t="s">
        <v>12658</v>
      </c>
      <c r="B87" s="23" t="s">
        <v>30</v>
      </c>
      <c r="C87" s="23" t="s">
        <v>8951</v>
      </c>
      <c r="D87" s="23" t="s">
        <v>12659</v>
      </c>
      <c r="E87" s="23" t="s">
        <v>12660</v>
      </c>
      <c r="F87" s="23" t="s">
        <v>40</v>
      </c>
      <c r="G87" s="23" t="s">
        <v>12661</v>
      </c>
      <c r="H87" s="23" t="s">
        <v>12662</v>
      </c>
      <c r="I87" s="23" t="s">
        <v>12663</v>
      </c>
      <c r="J87" s="23" t="s">
        <v>525</v>
      </c>
      <c r="K87" s="24" t="s">
        <v>386</v>
      </c>
      <c r="L87" s="23" t="s">
        <v>405</v>
      </c>
      <c r="M87" s="25" t="s">
        <v>18</v>
      </c>
      <c r="N87" s="23" t="s">
        <v>40</v>
      </c>
      <c r="O87" s="23" t="s">
        <v>387</v>
      </c>
      <c r="P87" s="23" t="s">
        <v>40</v>
      </c>
      <c r="Q87" s="23" t="s">
        <v>40</v>
      </c>
      <c r="R87" s="23" t="s">
        <v>327</v>
      </c>
      <c r="S87" s="23" t="s">
        <v>40</v>
      </c>
      <c r="T87" s="23" t="s">
        <v>40</v>
      </c>
    </row>
    <row r="88" spans="1:20" x14ac:dyDescent="0.25">
      <c r="A88" s="23" t="s">
        <v>12664</v>
      </c>
      <c r="B88" s="23" t="s">
        <v>30</v>
      </c>
      <c r="C88" s="23" t="s">
        <v>12295</v>
      </c>
      <c r="D88" s="23" t="s">
        <v>12665</v>
      </c>
      <c r="E88" s="23" t="s">
        <v>647</v>
      </c>
      <c r="F88" s="23" t="s">
        <v>40</v>
      </c>
      <c r="G88" s="23" t="s">
        <v>12666</v>
      </c>
      <c r="H88" s="23" t="s">
        <v>12667</v>
      </c>
      <c r="I88" s="23" t="s">
        <v>12668</v>
      </c>
      <c r="J88" s="23" t="s">
        <v>395</v>
      </c>
      <c r="K88" s="26" t="s">
        <v>396</v>
      </c>
      <c r="L88" s="23" t="s">
        <v>13</v>
      </c>
      <c r="M88" s="25" t="s">
        <v>18</v>
      </c>
      <c r="N88" s="23" t="s">
        <v>40</v>
      </c>
      <c r="O88" s="23" t="s">
        <v>387</v>
      </c>
      <c r="P88" s="23" t="s">
        <v>40</v>
      </c>
      <c r="Q88" s="23" t="s">
        <v>40</v>
      </c>
      <c r="R88" s="23" t="s">
        <v>327</v>
      </c>
      <c r="S88" s="23" t="s">
        <v>40</v>
      </c>
      <c r="T88" s="23" t="s">
        <v>12415</v>
      </c>
    </row>
    <row r="89" spans="1:20" x14ac:dyDescent="0.25">
      <c r="A89" s="23" t="s">
        <v>12669</v>
      </c>
      <c r="B89" s="23" t="s">
        <v>328</v>
      </c>
      <c r="C89" s="23" t="s">
        <v>944</v>
      </c>
      <c r="D89" s="23" t="s">
        <v>12670</v>
      </c>
      <c r="E89" s="23" t="s">
        <v>647</v>
      </c>
      <c r="F89" s="23" t="s">
        <v>40</v>
      </c>
      <c r="G89" s="23" t="s">
        <v>12671</v>
      </c>
      <c r="H89" s="23" t="s">
        <v>12672</v>
      </c>
      <c r="I89" s="23" t="s">
        <v>12673</v>
      </c>
      <c r="J89" s="23" t="s">
        <v>385</v>
      </c>
      <c r="K89" s="24" t="s">
        <v>386</v>
      </c>
      <c r="L89" s="23" t="s">
        <v>13</v>
      </c>
      <c r="M89" s="31" t="s">
        <v>17</v>
      </c>
      <c r="N89" s="23" t="s">
        <v>12674</v>
      </c>
      <c r="O89" s="29" t="s">
        <v>87</v>
      </c>
      <c r="P89" s="23" t="s">
        <v>40</v>
      </c>
      <c r="Q89" s="23" t="s">
        <v>40</v>
      </c>
      <c r="R89" s="23" t="s">
        <v>329</v>
      </c>
      <c r="S89" s="23" t="s">
        <v>40</v>
      </c>
      <c r="T89" s="23" t="s">
        <v>40</v>
      </c>
    </row>
    <row r="90" spans="1:20" x14ac:dyDescent="0.25">
      <c r="A90" s="23" t="s">
        <v>12675</v>
      </c>
      <c r="B90" s="23" t="s">
        <v>328</v>
      </c>
      <c r="C90" s="23" t="s">
        <v>12676</v>
      </c>
      <c r="D90" s="23" t="s">
        <v>12677</v>
      </c>
      <c r="E90" s="23" t="s">
        <v>12678</v>
      </c>
      <c r="F90" s="23" t="s">
        <v>40</v>
      </c>
      <c r="G90" s="23" t="s">
        <v>12679</v>
      </c>
      <c r="H90" s="23" t="s">
        <v>12680</v>
      </c>
      <c r="I90" s="23" t="s">
        <v>12681</v>
      </c>
      <c r="J90" s="23" t="s">
        <v>14</v>
      </c>
      <c r="K90" s="26" t="s">
        <v>396</v>
      </c>
      <c r="L90" s="23" t="s">
        <v>13</v>
      </c>
      <c r="M90" s="25" t="s">
        <v>18</v>
      </c>
      <c r="N90" s="23" t="s">
        <v>40</v>
      </c>
      <c r="O90" s="23" t="s">
        <v>387</v>
      </c>
      <c r="P90" s="23" t="s">
        <v>40</v>
      </c>
      <c r="Q90" s="23" t="s">
        <v>40</v>
      </c>
      <c r="R90" s="23" t="s">
        <v>329</v>
      </c>
      <c r="S90" s="23" t="s">
        <v>40</v>
      </c>
      <c r="T90" s="23" t="s">
        <v>40</v>
      </c>
    </row>
    <row r="91" spans="1:20" x14ac:dyDescent="0.25">
      <c r="A91" s="23" t="s">
        <v>12682</v>
      </c>
      <c r="B91" s="23" t="s">
        <v>328</v>
      </c>
      <c r="C91" s="23" t="s">
        <v>12676</v>
      </c>
      <c r="D91" s="23" t="s">
        <v>12683</v>
      </c>
      <c r="E91" s="23" t="s">
        <v>12684</v>
      </c>
      <c r="F91" s="23" t="s">
        <v>40</v>
      </c>
      <c r="G91" s="23" t="s">
        <v>12679</v>
      </c>
      <c r="H91" s="23" t="s">
        <v>12685</v>
      </c>
      <c r="I91" s="23" t="s">
        <v>12686</v>
      </c>
      <c r="J91" s="23" t="s">
        <v>14</v>
      </c>
      <c r="K91" s="24" t="s">
        <v>386</v>
      </c>
      <c r="L91" s="23" t="s">
        <v>405</v>
      </c>
      <c r="M91" s="25" t="s">
        <v>18</v>
      </c>
      <c r="N91" s="23" t="s">
        <v>40</v>
      </c>
      <c r="O91" s="23" t="s">
        <v>387</v>
      </c>
      <c r="P91" s="23" t="s">
        <v>40</v>
      </c>
      <c r="Q91" s="23" t="s">
        <v>40</v>
      </c>
      <c r="R91" s="23" t="s">
        <v>329</v>
      </c>
      <c r="S91" s="23" t="s">
        <v>40</v>
      </c>
      <c r="T91" s="23" t="s">
        <v>40</v>
      </c>
    </row>
    <row r="92" spans="1:20" x14ac:dyDescent="0.25">
      <c r="A92" s="23" t="s">
        <v>12687</v>
      </c>
      <c r="B92" s="23" t="s">
        <v>328</v>
      </c>
      <c r="C92" s="23" t="s">
        <v>12676</v>
      </c>
      <c r="D92" s="23" t="s">
        <v>12688</v>
      </c>
      <c r="E92" s="23" t="s">
        <v>647</v>
      </c>
      <c r="F92" s="23" t="s">
        <v>40</v>
      </c>
      <c r="G92" s="23" t="s">
        <v>12689</v>
      </c>
      <c r="H92" s="23" t="s">
        <v>12690</v>
      </c>
      <c r="I92" s="23" t="s">
        <v>12691</v>
      </c>
      <c r="J92" s="23" t="s">
        <v>395</v>
      </c>
      <c r="K92" s="26" t="s">
        <v>396</v>
      </c>
      <c r="L92" s="23" t="s">
        <v>13</v>
      </c>
      <c r="M92" s="25" t="s">
        <v>18</v>
      </c>
      <c r="N92" s="23" t="s">
        <v>40</v>
      </c>
      <c r="O92" s="23" t="s">
        <v>387</v>
      </c>
      <c r="P92" s="23" t="s">
        <v>40</v>
      </c>
      <c r="Q92" s="23" t="s">
        <v>40</v>
      </c>
      <c r="R92" s="23" t="s">
        <v>329</v>
      </c>
      <c r="S92" s="23" t="s">
        <v>40</v>
      </c>
      <c r="T92" s="23" t="s">
        <v>40</v>
      </c>
    </row>
    <row r="93" spans="1:20" x14ac:dyDescent="0.25">
      <c r="A93" s="23" t="s">
        <v>12692</v>
      </c>
      <c r="B93" s="23" t="s">
        <v>328</v>
      </c>
      <c r="C93" s="23" t="s">
        <v>12676</v>
      </c>
      <c r="D93" s="23" t="s">
        <v>12693</v>
      </c>
      <c r="E93" s="23" t="s">
        <v>12694</v>
      </c>
      <c r="F93" s="23" t="s">
        <v>40</v>
      </c>
      <c r="G93" s="23" t="s">
        <v>12689</v>
      </c>
      <c r="H93" s="23" t="s">
        <v>12695</v>
      </c>
      <c r="I93" s="23" t="s">
        <v>12696</v>
      </c>
      <c r="J93" s="23" t="s">
        <v>489</v>
      </c>
      <c r="K93" s="27" t="s">
        <v>404</v>
      </c>
      <c r="L93" s="23" t="s">
        <v>490</v>
      </c>
      <c r="M93" s="25" t="s">
        <v>18</v>
      </c>
      <c r="N93" s="23" t="s">
        <v>40</v>
      </c>
      <c r="O93" s="23" t="s">
        <v>387</v>
      </c>
      <c r="P93" s="23" t="s">
        <v>40</v>
      </c>
      <c r="Q93" s="23" t="s">
        <v>40</v>
      </c>
      <c r="R93" s="23" t="s">
        <v>329</v>
      </c>
      <c r="S93" s="23" t="s">
        <v>40</v>
      </c>
      <c r="T93" s="23" t="s">
        <v>40</v>
      </c>
    </row>
    <row r="94" spans="1:20" x14ac:dyDescent="0.25">
      <c r="A94" s="23" t="s">
        <v>12697</v>
      </c>
      <c r="B94" s="23" t="s">
        <v>328</v>
      </c>
      <c r="C94" s="23" t="s">
        <v>801</v>
      </c>
      <c r="D94" s="23" t="s">
        <v>12698</v>
      </c>
      <c r="E94" s="23" t="s">
        <v>589</v>
      </c>
      <c r="F94" s="23" t="s">
        <v>40</v>
      </c>
      <c r="G94" s="23" t="s">
        <v>12699</v>
      </c>
      <c r="H94" s="23" t="s">
        <v>12700</v>
      </c>
      <c r="I94" s="23" t="s">
        <v>12701</v>
      </c>
      <c r="J94" s="23" t="s">
        <v>801</v>
      </c>
      <c r="K94" s="24" t="s">
        <v>386</v>
      </c>
      <c r="L94" s="23" t="s">
        <v>405</v>
      </c>
      <c r="M94" s="28" t="s">
        <v>16</v>
      </c>
      <c r="N94" s="23" t="s">
        <v>12702</v>
      </c>
      <c r="O94" s="29" t="s">
        <v>87</v>
      </c>
      <c r="P94" s="23" t="s">
        <v>40</v>
      </c>
      <c r="Q94" s="23" t="s">
        <v>40</v>
      </c>
      <c r="R94" s="23" t="s">
        <v>329</v>
      </c>
      <c r="S94" s="23" t="s">
        <v>40</v>
      </c>
      <c r="T94" s="23" t="s">
        <v>40</v>
      </c>
    </row>
    <row r="95" spans="1:20" x14ac:dyDescent="0.25">
      <c r="A95" s="23" t="s">
        <v>12703</v>
      </c>
      <c r="B95" s="23" t="s">
        <v>156</v>
      </c>
      <c r="C95" s="23" t="s">
        <v>944</v>
      </c>
      <c r="D95" s="23" t="s">
        <v>12704</v>
      </c>
      <c r="E95" s="23" t="s">
        <v>647</v>
      </c>
      <c r="F95" s="23" t="s">
        <v>40</v>
      </c>
      <c r="G95" s="23" t="s">
        <v>12705</v>
      </c>
      <c r="H95" s="23" t="s">
        <v>12706</v>
      </c>
      <c r="I95" s="23" t="s">
        <v>12707</v>
      </c>
      <c r="J95" s="23" t="s">
        <v>385</v>
      </c>
      <c r="K95" s="24" t="s">
        <v>386</v>
      </c>
      <c r="L95" s="23" t="s">
        <v>13</v>
      </c>
      <c r="M95" s="31" t="s">
        <v>17</v>
      </c>
      <c r="N95" s="23" t="s">
        <v>12708</v>
      </c>
      <c r="O95" s="29" t="s">
        <v>87</v>
      </c>
      <c r="P95" s="23" t="s">
        <v>40</v>
      </c>
      <c r="Q95" s="23" t="s">
        <v>40</v>
      </c>
      <c r="R95" s="23" t="s">
        <v>330</v>
      </c>
      <c r="S95" s="23" t="s">
        <v>40</v>
      </c>
      <c r="T95" s="23" t="s">
        <v>40</v>
      </c>
    </row>
    <row r="96" spans="1:20" x14ac:dyDescent="0.25">
      <c r="A96" s="23" t="s">
        <v>12709</v>
      </c>
      <c r="B96" s="23" t="s">
        <v>156</v>
      </c>
      <c r="C96" s="23" t="s">
        <v>12710</v>
      </c>
      <c r="D96" s="23" t="s">
        <v>12711</v>
      </c>
      <c r="E96" s="23" t="s">
        <v>12712</v>
      </c>
      <c r="F96" s="23" t="s">
        <v>40</v>
      </c>
      <c r="G96" s="23" t="s">
        <v>12713</v>
      </c>
      <c r="H96" s="23" t="s">
        <v>12714</v>
      </c>
      <c r="I96" s="23" t="s">
        <v>12715</v>
      </c>
      <c r="J96" s="23" t="s">
        <v>14</v>
      </c>
      <c r="K96" s="26" t="s">
        <v>396</v>
      </c>
      <c r="L96" s="23" t="s">
        <v>13</v>
      </c>
      <c r="M96" s="25" t="s">
        <v>18</v>
      </c>
      <c r="N96" s="23" t="s">
        <v>40</v>
      </c>
      <c r="O96" s="23" t="s">
        <v>387</v>
      </c>
      <c r="P96" s="23" t="s">
        <v>40</v>
      </c>
      <c r="Q96" s="23" t="s">
        <v>40</v>
      </c>
      <c r="R96" s="23" t="s">
        <v>330</v>
      </c>
      <c r="S96" s="23" t="s">
        <v>40</v>
      </c>
      <c r="T96" s="23" t="s">
        <v>40</v>
      </c>
    </row>
    <row r="97" spans="1:20" x14ac:dyDescent="0.25">
      <c r="A97" s="23" t="s">
        <v>12716</v>
      </c>
      <c r="B97" s="23" t="s">
        <v>156</v>
      </c>
      <c r="C97" s="23" t="s">
        <v>12710</v>
      </c>
      <c r="D97" s="23" t="s">
        <v>12717</v>
      </c>
      <c r="E97" s="23" t="s">
        <v>12718</v>
      </c>
      <c r="F97" s="23" t="s">
        <v>12719</v>
      </c>
      <c r="G97" s="23" t="s">
        <v>12720</v>
      </c>
      <c r="H97" s="23" t="s">
        <v>12721</v>
      </c>
      <c r="I97" s="23" t="s">
        <v>12722</v>
      </c>
      <c r="J97" s="23" t="s">
        <v>14</v>
      </c>
      <c r="K97" s="26" t="s">
        <v>396</v>
      </c>
      <c r="L97" s="23" t="s">
        <v>13</v>
      </c>
      <c r="M97" s="25" t="s">
        <v>18</v>
      </c>
      <c r="N97" s="23" t="s">
        <v>40</v>
      </c>
      <c r="O97" s="23" t="s">
        <v>387</v>
      </c>
      <c r="P97" s="23" t="s">
        <v>40</v>
      </c>
      <c r="Q97" s="23" t="s">
        <v>40</v>
      </c>
      <c r="R97" s="23" t="s">
        <v>330</v>
      </c>
      <c r="S97" s="23" t="s">
        <v>40</v>
      </c>
      <c r="T97" s="23" t="s">
        <v>40</v>
      </c>
    </row>
    <row r="98" spans="1:20" x14ac:dyDescent="0.25">
      <c r="A98" s="23" t="s">
        <v>12723</v>
      </c>
      <c r="B98" s="23" t="s">
        <v>156</v>
      </c>
      <c r="C98" s="23" t="s">
        <v>12710</v>
      </c>
      <c r="D98" s="23" t="s">
        <v>12724</v>
      </c>
      <c r="E98" s="23" t="s">
        <v>12725</v>
      </c>
      <c r="F98" s="23" t="s">
        <v>40</v>
      </c>
      <c r="G98" s="23" t="s">
        <v>12726</v>
      </c>
      <c r="H98" s="23" t="s">
        <v>12727</v>
      </c>
      <c r="I98" s="23" t="s">
        <v>12728</v>
      </c>
      <c r="J98" s="23" t="s">
        <v>466</v>
      </c>
      <c r="K98" s="27" t="s">
        <v>404</v>
      </c>
      <c r="L98" s="23" t="s">
        <v>405</v>
      </c>
      <c r="M98" s="25" t="s">
        <v>18</v>
      </c>
      <c r="N98" s="23" t="s">
        <v>40</v>
      </c>
      <c r="O98" s="23" t="s">
        <v>387</v>
      </c>
      <c r="P98" s="23" t="s">
        <v>40</v>
      </c>
      <c r="Q98" s="23" t="s">
        <v>40</v>
      </c>
      <c r="R98" s="23" t="s">
        <v>330</v>
      </c>
      <c r="S98" s="23" t="s">
        <v>40</v>
      </c>
      <c r="T98" s="23" t="s">
        <v>40</v>
      </c>
    </row>
    <row r="99" spans="1:20" x14ac:dyDescent="0.25">
      <c r="A99" s="23" t="s">
        <v>12729</v>
      </c>
      <c r="B99" s="23" t="s">
        <v>156</v>
      </c>
      <c r="C99" s="23" t="s">
        <v>12710</v>
      </c>
      <c r="D99" s="23" t="s">
        <v>12730</v>
      </c>
      <c r="E99" s="23" t="s">
        <v>12731</v>
      </c>
      <c r="F99" s="23" t="s">
        <v>40</v>
      </c>
      <c r="G99" s="23" t="s">
        <v>12732</v>
      </c>
      <c r="H99" s="23" t="s">
        <v>12733</v>
      </c>
      <c r="I99" s="23" t="s">
        <v>12734</v>
      </c>
      <c r="J99" s="23" t="s">
        <v>525</v>
      </c>
      <c r="K99" s="24" t="s">
        <v>386</v>
      </c>
      <c r="L99" s="23" t="s">
        <v>405</v>
      </c>
      <c r="M99" s="25" t="s">
        <v>18</v>
      </c>
      <c r="N99" s="23" t="s">
        <v>40</v>
      </c>
      <c r="O99" s="23" t="s">
        <v>387</v>
      </c>
      <c r="P99" s="23" t="s">
        <v>40</v>
      </c>
      <c r="Q99" s="23" t="s">
        <v>40</v>
      </c>
      <c r="R99" s="23" t="s">
        <v>330</v>
      </c>
      <c r="S99" s="23" t="s">
        <v>40</v>
      </c>
      <c r="T99" s="23" t="s">
        <v>40</v>
      </c>
    </row>
    <row r="100" spans="1:20" x14ac:dyDescent="0.25">
      <c r="A100" s="23" t="s">
        <v>12735</v>
      </c>
      <c r="B100" s="23" t="s">
        <v>156</v>
      </c>
      <c r="C100" s="23" t="s">
        <v>12710</v>
      </c>
      <c r="D100" s="23" t="s">
        <v>12736</v>
      </c>
      <c r="E100" s="23" t="s">
        <v>647</v>
      </c>
      <c r="F100" s="23" t="s">
        <v>40</v>
      </c>
      <c r="G100" s="23" t="s">
        <v>12737</v>
      </c>
      <c r="H100" s="23" t="s">
        <v>12738</v>
      </c>
      <c r="I100" s="23" t="s">
        <v>12739</v>
      </c>
      <c r="J100" s="23" t="s">
        <v>489</v>
      </c>
      <c r="K100" s="27" t="s">
        <v>404</v>
      </c>
      <c r="L100" s="23" t="s">
        <v>490</v>
      </c>
      <c r="M100" s="25" t="s">
        <v>18</v>
      </c>
      <c r="N100" s="23" t="s">
        <v>40</v>
      </c>
      <c r="O100" s="23" t="s">
        <v>387</v>
      </c>
      <c r="P100" s="23" t="s">
        <v>40</v>
      </c>
      <c r="Q100" s="23" t="s">
        <v>40</v>
      </c>
      <c r="R100" s="23" t="s">
        <v>330</v>
      </c>
      <c r="S100" s="23" t="s">
        <v>40</v>
      </c>
      <c r="T100" s="23" t="s">
        <v>40</v>
      </c>
    </row>
    <row r="101" spans="1:20" x14ac:dyDescent="0.25">
      <c r="A101" s="23" t="s">
        <v>12740</v>
      </c>
      <c r="B101" s="23" t="s">
        <v>331</v>
      </c>
      <c r="C101" s="23" t="s">
        <v>944</v>
      </c>
      <c r="D101" s="23" t="s">
        <v>12741</v>
      </c>
      <c r="E101" s="23" t="s">
        <v>647</v>
      </c>
      <c r="F101" s="23" t="s">
        <v>40</v>
      </c>
      <c r="G101" s="23" t="s">
        <v>12742</v>
      </c>
      <c r="H101" s="23" t="s">
        <v>12743</v>
      </c>
      <c r="I101" s="23" t="s">
        <v>12744</v>
      </c>
      <c r="J101" s="23" t="s">
        <v>385</v>
      </c>
      <c r="K101" s="24" t="s">
        <v>386</v>
      </c>
      <c r="L101" s="23" t="s">
        <v>13</v>
      </c>
      <c r="M101" s="31" t="s">
        <v>17</v>
      </c>
      <c r="N101" s="23" t="s">
        <v>12745</v>
      </c>
      <c r="O101" s="29" t="s">
        <v>87</v>
      </c>
      <c r="P101" s="23" t="s">
        <v>40</v>
      </c>
      <c r="Q101" s="23" t="s">
        <v>40</v>
      </c>
      <c r="R101" s="23" t="s">
        <v>332</v>
      </c>
      <c r="S101" s="23" t="s">
        <v>40</v>
      </c>
      <c r="T101" s="23" t="s">
        <v>40</v>
      </c>
    </row>
    <row r="102" spans="1:20" x14ac:dyDescent="0.25">
      <c r="A102" s="23" t="s">
        <v>12746</v>
      </c>
      <c r="B102" s="23" t="s">
        <v>331</v>
      </c>
      <c r="C102" s="23" t="s">
        <v>12747</v>
      </c>
      <c r="D102" s="23" t="s">
        <v>12748</v>
      </c>
      <c r="E102" s="23" t="s">
        <v>12749</v>
      </c>
      <c r="F102" s="23" t="s">
        <v>40</v>
      </c>
      <c r="G102" s="23" t="s">
        <v>12750</v>
      </c>
      <c r="H102" s="23" t="s">
        <v>12751</v>
      </c>
      <c r="I102" s="23" t="s">
        <v>12752</v>
      </c>
      <c r="J102" s="23" t="s">
        <v>14</v>
      </c>
      <c r="K102" s="26" t="s">
        <v>396</v>
      </c>
      <c r="L102" s="23" t="s">
        <v>13</v>
      </c>
      <c r="M102" s="25" t="s">
        <v>18</v>
      </c>
      <c r="N102" s="23" t="s">
        <v>40</v>
      </c>
      <c r="O102" s="23" t="s">
        <v>387</v>
      </c>
      <c r="P102" s="23" t="s">
        <v>40</v>
      </c>
      <c r="Q102" s="23" t="s">
        <v>40</v>
      </c>
      <c r="R102" s="23" t="s">
        <v>332</v>
      </c>
      <c r="S102" s="23" t="s">
        <v>40</v>
      </c>
      <c r="T102" s="23" t="s">
        <v>40</v>
      </c>
    </row>
    <row r="103" spans="1:20" x14ac:dyDescent="0.25">
      <c r="A103" s="23" t="s">
        <v>12753</v>
      </c>
      <c r="B103" s="23" t="s">
        <v>331</v>
      </c>
      <c r="C103" s="23" t="s">
        <v>12747</v>
      </c>
      <c r="D103" s="23" t="s">
        <v>12754</v>
      </c>
      <c r="E103" s="23" t="s">
        <v>12755</v>
      </c>
      <c r="F103" s="23" t="s">
        <v>40</v>
      </c>
      <c r="G103" s="23" t="s">
        <v>12756</v>
      </c>
      <c r="H103" s="23" t="s">
        <v>12757</v>
      </c>
      <c r="I103" s="23" t="s">
        <v>12758</v>
      </c>
      <c r="J103" s="23" t="s">
        <v>14</v>
      </c>
      <c r="K103" s="24" t="s">
        <v>386</v>
      </c>
      <c r="L103" s="23" t="s">
        <v>405</v>
      </c>
      <c r="M103" s="25" t="s">
        <v>18</v>
      </c>
      <c r="N103" s="23" t="s">
        <v>40</v>
      </c>
      <c r="O103" s="23" t="s">
        <v>387</v>
      </c>
      <c r="P103" s="23" t="s">
        <v>40</v>
      </c>
      <c r="Q103" s="23" t="s">
        <v>40</v>
      </c>
      <c r="R103" s="23" t="s">
        <v>332</v>
      </c>
      <c r="S103" s="23" t="s">
        <v>40</v>
      </c>
      <c r="T103" s="23" t="s">
        <v>40</v>
      </c>
    </row>
    <row r="104" spans="1:20" x14ac:dyDescent="0.25">
      <c r="A104" s="23" t="s">
        <v>12759</v>
      </c>
      <c r="B104" s="23" t="s">
        <v>331</v>
      </c>
      <c r="C104" s="23" t="s">
        <v>12747</v>
      </c>
      <c r="D104" s="23" t="s">
        <v>12760</v>
      </c>
      <c r="E104" s="23" t="s">
        <v>647</v>
      </c>
      <c r="F104" s="23" t="s">
        <v>40</v>
      </c>
      <c r="G104" s="23" t="s">
        <v>12761</v>
      </c>
      <c r="H104" s="23" t="s">
        <v>12762</v>
      </c>
      <c r="I104" s="23" t="s">
        <v>12763</v>
      </c>
      <c r="J104" s="23" t="s">
        <v>525</v>
      </c>
      <c r="K104" s="24" t="s">
        <v>386</v>
      </c>
      <c r="L104" s="23" t="s">
        <v>405</v>
      </c>
      <c r="M104" s="25" t="s">
        <v>18</v>
      </c>
      <c r="N104" s="23" t="s">
        <v>40</v>
      </c>
      <c r="O104" s="23" t="s">
        <v>387</v>
      </c>
      <c r="P104" s="23" t="s">
        <v>40</v>
      </c>
      <c r="Q104" s="23" t="s">
        <v>40</v>
      </c>
      <c r="R104" s="23" t="s">
        <v>332</v>
      </c>
      <c r="S104" s="23" t="s">
        <v>40</v>
      </c>
      <c r="T104" s="23" t="s">
        <v>40</v>
      </c>
    </row>
    <row r="105" spans="1:20" x14ac:dyDescent="0.25">
      <c r="A105" s="23" t="s">
        <v>12764</v>
      </c>
      <c r="B105" s="23" t="s">
        <v>331</v>
      </c>
      <c r="C105" s="23" t="s">
        <v>12747</v>
      </c>
      <c r="D105" s="23" t="s">
        <v>12765</v>
      </c>
      <c r="E105" s="23" t="s">
        <v>12766</v>
      </c>
      <c r="F105" s="23" t="s">
        <v>40</v>
      </c>
      <c r="G105" s="23" t="s">
        <v>12761</v>
      </c>
      <c r="H105" s="23" t="s">
        <v>12767</v>
      </c>
      <c r="I105" s="23" t="s">
        <v>12768</v>
      </c>
      <c r="J105" s="23" t="s">
        <v>385</v>
      </c>
      <c r="K105" s="32" t="s">
        <v>747</v>
      </c>
      <c r="L105" s="23" t="s">
        <v>490</v>
      </c>
      <c r="M105" s="25" t="s">
        <v>18</v>
      </c>
      <c r="N105" s="23" t="s">
        <v>40</v>
      </c>
      <c r="O105" s="23" t="s">
        <v>387</v>
      </c>
      <c r="P105" s="23" t="s">
        <v>40</v>
      </c>
      <c r="Q105" s="23" t="s">
        <v>40</v>
      </c>
      <c r="R105" s="23" t="s">
        <v>332</v>
      </c>
      <c r="S105" s="23" t="s">
        <v>40</v>
      </c>
      <c r="T105" s="23" t="s">
        <v>40</v>
      </c>
    </row>
    <row r="106" spans="1:20" x14ac:dyDescent="0.25">
      <c r="A106" s="23" t="s">
        <v>12769</v>
      </c>
      <c r="B106" s="23" t="s">
        <v>331</v>
      </c>
      <c r="C106" s="23" t="s">
        <v>801</v>
      </c>
      <c r="D106" s="23" t="s">
        <v>12770</v>
      </c>
      <c r="E106" s="23" t="s">
        <v>589</v>
      </c>
      <c r="F106" s="23" t="s">
        <v>40</v>
      </c>
      <c r="G106" s="23" t="s">
        <v>12771</v>
      </c>
      <c r="H106" s="23" t="s">
        <v>12772</v>
      </c>
      <c r="I106" s="23" t="s">
        <v>12773</v>
      </c>
      <c r="J106" s="23" t="s">
        <v>801</v>
      </c>
      <c r="K106" s="27" t="s">
        <v>404</v>
      </c>
      <c r="L106" s="23" t="s">
        <v>490</v>
      </c>
      <c r="M106" s="28" t="s">
        <v>16</v>
      </c>
      <c r="N106" s="23" t="s">
        <v>12774</v>
      </c>
      <c r="O106" s="29" t="s">
        <v>87</v>
      </c>
      <c r="P106" s="23" t="s">
        <v>40</v>
      </c>
      <c r="Q106" s="23" t="s">
        <v>40</v>
      </c>
      <c r="R106" s="23" t="s">
        <v>332</v>
      </c>
      <c r="S106" s="23" t="s">
        <v>40</v>
      </c>
      <c r="T106" s="23" t="s">
        <v>40</v>
      </c>
    </row>
    <row r="107" spans="1:20" x14ac:dyDescent="0.25">
      <c r="A107" s="23" t="s">
        <v>12775</v>
      </c>
      <c r="B107" s="23" t="s">
        <v>333</v>
      </c>
      <c r="C107" s="23" t="s">
        <v>944</v>
      </c>
      <c r="D107" s="23" t="s">
        <v>11940</v>
      </c>
      <c r="E107" s="23" t="s">
        <v>647</v>
      </c>
      <c r="F107" s="23" t="s">
        <v>40</v>
      </c>
      <c r="G107" s="23" t="s">
        <v>12776</v>
      </c>
      <c r="H107" s="23" t="s">
        <v>12777</v>
      </c>
      <c r="I107" s="23" t="s">
        <v>12778</v>
      </c>
      <c r="J107" s="23" t="s">
        <v>385</v>
      </c>
      <c r="K107" s="24" t="s">
        <v>386</v>
      </c>
      <c r="L107" s="23" t="s">
        <v>13</v>
      </c>
      <c r="M107" s="31" t="s">
        <v>17</v>
      </c>
      <c r="N107" s="23" t="s">
        <v>11945</v>
      </c>
      <c r="O107" s="29" t="s">
        <v>87</v>
      </c>
      <c r="P107" s="23" t="s">
        <v>40</v>
      </c>
      <c r="Q107" s="23" t="s">
        <v>40</v>
      </c>
      <c r="R107" s="23" t="s">
        <v>334</v>
      </c>
      <c r="S107" s="23" t="s">
        <v>40</v>
      </c>
      <c r="T107" s="23" t="s">
        <v>40</v>
      </c>
    </row>
    <row r="108" spans="1:20" x14ac:dyDescent="0.25">
      <c r="A108" s="23" t="s">
        <v>12779</v>
      </c>
      <c r="B108" s="23" t="s">
        <v>333</v>
      </c>
      <c r="C108" s="23" t="s">
        <v>12780</v>
      </c>
      <c r="D108" s="23" t="s">
        <v>12781</v>
      </c>
      <c r="E108" s="23" t="s">
        <v>12782</v>
      </c>
      <c r="F108" s="23" t="s">
        <v>12783</v>
      </c>
      <c r="G108" s="23" t="s">
        <v>12784</v>
      </c>
      <c r="H108" s="23" t="s">
        <v>12785</v>
      </c>
      <c r="I108" s="23" t="s">
        <v>12786</v>
      </c>
      <c r="J108" s="23" t="s">
        <v>14</v>
      </c>
      <c r="K108" s="26" t="s">
        <v>396</v>
      </c>
      <c r="L108" s="23" t="s">
        <v>13</v>
      </c>
      <c r="M108" s="25" t="s">
        <v>18</v>
      </c>
      <c r="N108" s="23" t="s">
        <v>40</v>
      </c>
      <c r="O108" s="23" t="s">
        <v>387</v>
      </c>
      <c r="P108" s="23" t="s">
        <v>40</v>
      </c>
      <c r="Q108" s="23" t="s">
        <v>40</v>
      </c>
      <c r="R108" s="23" t="s">
        <v>334</v>
      </c>
      <c r="S108" s="23" t="s">
        <v>1710</v>
      </c>
      <c r="T108" s="23" t="s">
        <v>12787</v>
      </c>
    </row>
    <row r="109" spans="1:20" x14ac:dyDescent="0.25">
      <c r="A109" s="23" t="s">
        <v>12788</v>
      </c>
      <c r="B109" s="23" t="s">
        <v>333</v>
      </c>
      <c r="C109" s="23" t="s">
        <v>12780</v>
      </c>
      <c r="D109" s="23" t="s">
        <v>11952</v>
      </c>
      <c r="E109" s="23" t="s">
        <v>12782</v>
      </c>
      <c r="F109" s="23" t="s">
        <v>12789</v>
      </c>
      <c r="G109" s="23" t="s">
        <v>12790</v>
      </c>
      <c r="H109" s="23" t="s">
        <v>12791</v>
      </c>
      <c r="I109" s="23" t="s">
        <v>12792</v>
      </c>
      <c r="J109" s="23" t="s">
        <v>14</v>
      </c>
      <c r="K109" s="24" t="s">
        <v>386</v>
      </c>
      <c r="L109" s="23" t="s">
        <v>405</v>
      </c>
      <c r="M109" s="25" t="s">
        <v>18</v>
      </c>
      <c r="N109" s="23" t="s">
        <v>40</v>
      </c>
      <c r="O109" s="23" t="s">
        <v>387</v>
      </c>
      <c r="P109" s="23" t="s">
        <v>40</v>
      </c>
      <c r="Q109" s="23" t="s">
        <v>40</v>
      </c>
      <c r="R109" s="23" t="s">
        <v>334</v>
      </c>
      <c r="S109" s="23" t="s">
        <v>1710</v>
      </c>
      <c r="T109" s="23" t="s">
        <v>40</v>
      </c>
    </row>
    <row r="110" spans="1:20" x14ac:dyDescent="0.25">
      <c r="A110" s="23" t="s">
        <v>12793</v>
      </c>
      <c r="B110" s="23" t="s">
        <v>333</v>
      </c>
      <c r="C110" s="23" t="s">
        <v>12780</v>
      </c>
      <c r="D110" s="23" t="s">
        <v>12794</v>
      </c>
      <c r="E110" s="23" t="s">
        <v>647</v>
      </c>
      <c r="F110" s="23" t="s">
        <v>40</v>
      </c>
      <c r="G110" s="23" t="s">
        <v>12795</v>
      </c>
      <c r="H110" s="23" t="s">
        <v>12796</v>
      </c>
      <c r="I110" s="23" t="s">
        <v>12797</v>
      </c>
      <c r="J110" s="23" t="s">
        <v>466</v>
      </c>
      <c r="K110" s="24" t="s">
        <v>386</v>
      </c>
      <c r="L110" s="23" t="s">
        <v>13</v>
      </c>
      <c r="M110" s="25" t="s">
        <v>18</v>
      </c>
      <c r="N110" s="23" t="s">
        <v>40</v>
      </c>
      <c r="O110" s="23" t="s">
        <v>387</v>
      </c>
      <c r="P110" s="23" t="s">
        <v>40</v>
      </c>
      <c r="Q110" s="23" t="s">
        <v>40</v>
      </c>
      <c r="R110" s="23" t="s">
        <v>334</v>
      </c>
      <c r="S110" s="23" t="s">
        <v>1710</v>
      </c>
      <c r="T110" s="23" t="s">
        <v>40</v>
      </c>
    </row>
    <row r="111" spans="1:20" x14ac:dyDescent="0.25">
      <c r="A111" s="23" t="s">
        <v>12798</v>
      </c>
      <c r="B111" s="23" t="s">
        <v>333</v>
      </c>
      <c r="C111" s="23" t="s">
        <v>12780</v>
      </c>
      <c r="D111" s="23" t="s">
        <v>12799</v>
      </c>
      <c r="E111" s="23" t="s">
        <v>647</v>
      </c>
      <c r="F111" s="23" t="s">
        <v>12800</v>
      </c>
      <c r="G111" s="23" t="s">
        <v>12801</v>
      </c>
      <c r="H111" s="23" t="s">
        <v>12802</v>
      </c>
      <c r="I111" s="23" t="s">
        <v>12803</v>
      </c>
      <c r="J111" s="23" t="s">
        <v>489</v>
      </c>
      <c r="K111" s="24" t="s">
        <v>386</v>
      </c>
      <c r="L111" s="23" t="s">
        <v>13</v>
      </c>
      <c r="M111" s="25" t="s">
        <v>18</v>
      </c>
      <c r="N111" s="23" t="s">
        <v>40</v>
      </c>
      <c r="O111" s="23" t="s">
        <v>387</v>
      </c>
      <c r="P111" s="23" t="s">
        <v>40</v>
      </c>
      <c r="Q111" s="23" t="s">
        <v>40</v>
      </c>
      <c r="R111" s="23" t="s">
        <v>334</v>
      </c>
      <c r="S111" s="23" t="s">
        <v>12804</v>
      </c>
      <c r="T111" s="23" t="s">
        <v>40</v>
      </c>
    </row>
    <row r="112" spans="1:20" x14ac:dyDescent="0.25">
      <c r="A112" s="23" t="s">
        <v>12805</v>
      </c>
      <c r="B112" s="23" t="s">
        <v>333</v>
      </c>
      <c r="C112" s="23" t="s">
        <v>12780</v>
      </c>
      <c r="D112" s="23" t="s">
        <v>12806</v>
      </c>
      <c r="E112" s="23" t="s">
        <v>647</v>
      </c>
      <c r="F112" s="23" t="s">
        <v>12807</v>
      </c>
      <c r="G112" s="23" t="s">
        <v>12808</v>
      </c>
      <c r="H112" s="23" t="s">
        <v>12809</v>
      </c>
      <c r="I112" s="23" t="s">
        <v>12810</v>
      </c>
      <c r="J112" s="23" t="s">
        <v>466</v>
      </c>
      <c r="K112" s="27" t="s">
        <v>404</v>
      </c>
      <c r="L112" s="23" t="s">
        <v>405</v>
      </c>
      <c r="M112" s="25" t="s">
        <v>18</v>
      </c>
      <c r="N112" s="23" t="s">
        <v>40</v>
      </c>
      <c r="O112" s="23" t="s">
        <v>387</v>
      </c>
      <c r="P112" s="23" t="s">
        <v>40</v>
      </c>
      <c r="Q112" s="23" t="s">
        <v>40</v>
      </c>
      <c r="R112" s="23" t="s">
        <v>334</v>
      </c>
      <c r="S112" s="23" t="s">
        <v>1710</v>
      </c>
      <c r="T112" s="23" t="s">
        <v>40</v>
      </c>
    </row>
    <row r="113" spans="1:20" x14ac:dyDescent="0.25">
      <c r="A113" s="23" t="s">
        <v>12811</v>
      </c>
      <c r="B113" s="23" t="s">
        <v>333</v>
      </c>
      <c r="C113" s="23" t="s">
        <v>12780</v>
      </c>
      <c r="D113" s="23" t="s">
        <v>12812</v>
      </c>
      <c r="E113" s="23" t="s">
        <v>647</v>
      </c>
      <c r="F113" s="23" t="s">
        <v>12813</v>
      </c>
      <c r="G113" s="23" t="s">
        <v>12814</v>
      </c>
      <c r="H113" s="23" t="s">
        <v>12815</v>
      </c>
      <c r="I113" s="23" t="s">
        <v>12816</v>
      </c>
      <c r="J113" s="23" t="s">
        <v>466</v>
      </c>
      <c r="K113" s="27" t="s">
        <v>404</v>
      </c>
      <c r="L113" s="23" t="s">
        <v>405</v>
      </c>
      <c r="M113" s="25" t="s">
        <v>18</v>
      </c>
      <c r="N113" s="23" t="s">
        <v>40</v>
      </c>
      <c r="O113" s="23" t="s">
        <v>387</v>
      </c>
      <c r="P113" s="23" t="s">
        <v>40</v>
      </c>
      <c r="Q113" s="23" t="s">
        <v>40</v>
      </c>
      <c r="R113" s="23" t="s">
        <v>334</v>
      </c>
      <c r="S113" s="23" t="s">
        <v>1710</v>
      </c>
      <c r="T113" s="23" t="s">
        <v>40</v>
      </c>
    </row>
    <row r="114" spans="1:20" x14ac:dyDescent="0.25">
      <c r="A114" s="23" t="s">
        <v>12817</v>
      </c>
      <c r="B114" s="23" t="s">
        <v>333</v>
      </c>
      <c r="C114" s="23" t="s">
        <v>12780</v>
      </c>
      <c r="D114" s="23" t="s">
        <v>12818</v>
      </c>
      <c r="E114" s="23" t="s">
        <v>647</v>
      </c>
      <c r="F114" s="23" t="s">
        <v>12819</v>
      </c>
      <c r="G114" s="23" t="s">
        <v>12820</v>
      </c>
      <c r="H114" s="23" t="s">
        <v>12821</v>
      </c>
      <c r="I114" s="23" t="s">
        <v>12822</v>
      </c>
      <c r="J114" s="23" t="s">
        <v>15</v>
      </c>
      <c r="K114" s="27" t="s">
        <v>404</v>
      </c>
      <c r="L114" s="23" t="s">
        <v>405</v>
      </c>
      <c r="M114" s="25" t="s">
        <v>18</v>
      </c>
      <c r="N114" s="23" t="s">
        <v>40</v>
      </c>
      <c r="O114" s="23" t="s">
        <v>387</v>
      </c>
      <c r="P114" s="23" t="s">
        <v>40</v>
      </c>
      <c r="Q114" s="23" t="s">
        <v>40</v>
      </c>
      <c r="R114" s="23" t="s">
        <v>334</v>
      </c>
      <c r="S114" s="23" t="s">
        <v>1710</v>
      </c>
      <c r="T114" s="23" t="s">
        <v>40</v>
      </c>
    </row>
    <row r="115" spans="1:20" x14ac:dyDescent="0.25">
      <c r="A115" s="23" t="s">
        <v>12823</v>
      </c>
      <c r="B115" s="23" t="s">
        <v>333</v>
      </c>
      <c r="C115" s="23" t="s">
        <v>12780</v>
      </c>
      <c r="D115" s="23" t="s">
        <v>12824</v>
      </c>
      <c r="E115" s="23" t="s">
        <v>12825</v>
      </c>
      <c r="F115" s="23" t="s">
        <v>40</v>
      </c>
      <c r="G115" s="23" t="s">
        <v>12826</v>
      </c>
      <c r="H115" s="23" t="s">
        <v>12827</v>
      </c>
      <c r="I115" s="23" t="s">
        <v>12828</v>
      </c>
      <c r="J115" s="23" t="s">
        <v>15</v>
      </c>
      <c r="K115" s="24" t="s">
        <v>386</v>
      </c>
      <c r="L115" s="23" t="s">
        <v>13</v>
      </c>
      <c r="M115" s="25" t="s">
        <v>18</v>
      </c>
      <c r="N115" s="23" t="s">
        <v>40</v>
      </c>
      <c r="O115" s="23" t="s">
        <v>387</v>
      </c>
      <c r="P115" s="23" t="s">
        <v>40</v>
      </c>
      <c r="Q115" s="23" t="s">
        <v>40</v>
      </c>
      <c r="R115" s="23" t="s">
        <v>334</v>
      </c>
      <c r="S115" s="23" t="s">
        <v>12829</v>
      </c>
      <c r="T115" s="23" t="s">
        <v>12830</v>
      </c>
    </row>
    <row r="116" spans="1:20" x14ac:dyDescent="0.25">
      <c r="A116" s="23" t="s">
        <v>12831</v>
      </c>
      <c r="B116" s="23" t="s">
        <v>333</v>
      </c>
      <c r="C116" s="23" t="s">
        <v>12832</v>
      </c>
      <c r="D116" s="23" t="s">
        <v>12833</v>
      </c>
      <c r="E116" s="23" t="s">
        <v>12834</v>
      </c>
      <c r="F116" s="23" t="s">
        <v>40</v>
      </c>
      <c r="G116" s="23" t="s">
        <v>12826</v>
      </c>
      <c r="H116" s="23" t="s">
        <v>12835</v>
      </c>
      <c r="I116" s="23" t="s">
        <v>12836</v>
      </c>
      <c r="J116" s="23" t="s">
        <v>801</v>
      </c>
      <c r="K116" s="26" t="s">
        <v>396</v>
      </c>
      <c r="L116" s="23" t="s">
        <v>13</v>
      </c>
      <c r="M116" s="25" t="s">
        <v>18</v>
      </c>
      <c r="N116" s="23" t="s">
        <v>40</v>
      </c>
      <c r="O116" s="23" t="s">
        <v>387</v>
      </c>
      <c r="P116" s="23" t="s">
        <v>40</v>
      </c>
      <c r="Q116" s="23" t="s">
        <v>40</v>
      </c>
      <c r="R116" s="23" t="s">
        <v>334</v>
      </c>
      <c r="S116" s="23" t="s">
        <v>1710</v>
      </c>
      <c r="T116" s="23" t="s">
        <v>12837</v>
      </c>
    </row>
    <row r="117" spans="1:20" x14ac:dyDescent="0.25">
      <c r="A117" s="23" t="s">
        <v>12838</v>
      </c>
      <c r="B117" s="23" t="s">
        <v>333</v>
      </c>
      <c r="C117" s="23" t="s">
        <v>9147</v>
      </c>
      <c r="D117" s="23" t="s">
        <v>12839</v>
      </c>
      <c r="E117" s="23" t="s">
        <v>12840</v>
      </c>
      <c r="F117" s="23" t="s">
        <v>40</v>
      </c>
      <c r="G117" s="23" t="s">
        <v>12841</v>
      </c>
      <c r="H117" s="23" t="s">
        <v>12842</v>
      </c>
      <c r="I117" s="23" t="s">
        <v>12843</v>
      </c>
      <c r="J117" s="23" t="s">
        <v>14</v>
      </c>
      <c r="K117" s="24" t="s">
        <v>386</v>
      </c>
      <c r="L117" s="23" t="s">
        <v>405</v>
      </c>
      <c r="M117" s="25" t="s">
        <v>18</v>
      </c>
      <c r="N117" s="23" t="s">
        <v>40</v>
      </c>
      <c r="O117" s="23" t="s">
        <v>387</v>
      </c>
      <c r="P117" s="23" t="s">
        <v>40</v>
      </c>
      <c r="Q117" s="23" t="s">
        <v>40</v>
      </c>
      <c r="R117" s="23" t="s">
        <v>334</v>
      </c>
      <c r="S117" s="23" t="s">
        <v>1710</v>
      </c>
      <c r="T117" s="23" t="s">
        <v>12844</v>
      </c>
    </row>
    <row r="118" spans="1:20" x14ac:dyDescent="0.25">
      <c r="A118" s="23" t="s">
        <v>12845</v>
      </c>
      <c r="B118" s="23" t="s">
        <v>333</v>
      </c>
      <c r="C118" s="23" t="s">
        <v>12832</v>
      </c>
      <c r="D118" s="23" t="s">
        <v>12846</v>
      </c>
      <c r="E118" s="23" t="s">
        <v>12847</v>
      </c>
      <c r="F118" s="23" t="s">
        <v>40</v>
      </c>
      <c r="G118" s="23" t="s">
        <v>12826</v>
      </c>
      <c r="H118" s="23" t="s">
        <v>12848</v>
      </c>
      <c r="I118" s="23" t="s">
        <v>12849</v>
      </c>
      <c r="J118" s="23" t="s">
        <v>15</v>
      </c>
      <c r="K118" s="27" t="s">
        <v>404</v>
      </c>
      <c r="L118" s="23" t="s">
        <v>405</v>
      </c>
      <c r="M118" s="25" t="s">
        <v>18</v>
      </c>
      <c r="N118" s="23" t="s">
        <v>40</v>
      </c>
      <c r="O118" s="23" t="s">
        <v>387</v>
      </c>
      <c r="P118" s="23" t="s">
        <v>40</v>
      </c>
      <c r="Q118" s="23" t="s">
        <v>40</v>
      </c>
      <c r="R118" s="23" t="s">
        <v>334</v>
      </c>
      <c r="S118" s="23" t="s">
        <v>12850</v>
      </c>
      <c r="T118" s="23" t="s">
        <v>40</v>
      </c>
    </row>
    <row r="119" spans="1:20" x14ac:dyDescent="0.25">
      <c r="A119" s="23" t="s">
        <v>12851</v>
      </c>
      <c r="B119" s="23" t="s">
        <v>333</v>
      </c>
      <c r="C119" s="23" t="s">
        <v>12172</v>
      </c>
      <c r="D119" s="23" t="s">
        <v>12852</v>
      </c>
      <c r="E119" s="23" t="s">
        <v>12853</v>
      </c>
      <c r="F119" s="23" t="s">
        <v>40</v>
      </c>
      <c r="G119" s="23" t="s">
        <v>12854</v>
      </c>
      <c r="H119" s="23" t="s">
        <v>12855</v>
      </c>
      <c r="I119" s="23" t="s">
        <v>12856</v>
      </c>
      <c r="J119" s="23" t="s">
        <v>801</v>
      </c>
      <c r="K119" s="26" t="s">
        <v>396</v>
      </c>
      <c r="L119" s="23" t="s">
        <v>13</v>
      </c>
      <c r="M119" s="25" t="s">
        <v>18</v>
      </c>
      <c r="N119" s="23" t="s">
        <v>40</v>
      </c>
      <c r="O119" s="23" t="s">
        <v>387</v>
      </c>
      <c r="P119" s="23" t="s">
        <v>40</v>
      </c>
      <c r="Q119" s="23" t="s">
        <v>40</v>
      </c>
      <c r="R119" s="23" t="s">
        <v>334</v>
      </c>
      <c r="S119" s="23" t="s">
        <v>1710</v>
      </c>
      <c r="T119" s="23" t="s">
        <v>40</v>
      </c>
    </row>
    <row r="120" spans="1:20" x14ac:dyDescent="0.25">
      <c r="A120" s="23" t="s">
        <v>12857</v>
      </c>
      <c r="B120" s="23" t="s">
        <v>333</v>
      </c>
      <c r="C120" s="23" t="s">
        <v>395</v>
      </c>
      <c r="D120" s="23" t="s">
        <v>12858</v>
      </c>
      <c r="E120" s="23" t="s">
        <v>647</v>
      </c>
      <c r="F120" s="23" t="s">
        <v>12859</v>
      </c>
      <c r="G120" s="23" t="s">
        <v>12860</v>
      </c>
      <c r="H120" s="23" t="s">
        <v>12861</v>
      </c>
      <c r="I120" s="23" t="s">
        <v>12862</v>
      </c>
      <c r="J120" s="23" t="s">
        <v>395</v>
      </c>
      <c r="K120" s="24" t="s">
        <v>386</v>
      </c>
      <c r="L120" s="23" t="s">
        <v>405</v>
      </c>
      <c r="M120" s="25" t="s">
        <v>18</v>
      </c>
      <c r="N120" s="23" t="s">
        <v>40</v>
      </c>
      <c r="O120" s="23" t="s">
        <v>387</v>
      </c>
      <c r="P120" s="23" t="s">
        <v>40</v>
      </c>
      <c r="Q120" s="23" t="s">
        <v>40</v>
      </c>
      <c r="R120" s="23" t="s">
        <v>334</v>
      </c>
      <c r="S120" s="23" t="s">
        <v>1710</v>
      </c>
      <c r="T120" s="23" t="s">
        <v>40</v>
      </c>
    </row>
    <row r="121" spans="1:20" x14ac:dyDescent="0.25">
      <c r="A121" s="23" t="s">
        <v>12863</v>
      </c>
      <c r="B121" s="23" t="s">
        <v>335</v>
      </c>
      <c r="C121" s="23" t="s">
        <v>944</v>
      </c>
      <c r="D121" s="23" t="s">
        <v>12012</v>
      </c>
      <c r="E121" s="23" t="s">
        <v>647</v>
      </c>
      <c r="F121" s="23" t="s">
        <v>40</v>
      </c>
      <c r="G121" s="23" t="s">
        <v>12864</v>
      </c>
      <c r="H121" s="23" t="s">
        <v>12865</v>
      </c>
      <c r="I121" s="23" t="s">
        <v>12866</v>
      </c>
      <c r="J121" s="23" t="s">
        <v>385</v>
      </c>
      <c r="K121" s="24" t="s">
        <v>386</v>
      </c>
      <c r="L121" s="23" t="s">
        <v>13</v>
      </c>
      <c r="M121" s="31" t="s">
        <v>17</v>
      </c>
      <c r="N121" s="23" t="s">
        <v>12017</v>
      </c>
      <c r="O121" s="29" t="s">
        <v>87</v>
      </c>
      <c r="P121" s="23" t="s">
        <v>40</v>
      </c>
      <c r="Q121" s="23" t="s">
        <v>40</v>
      </c>
      <c r="R121" s="23" t="s">
        <v>336</v>
      </c>
      <c r="S121" s="23" t="s">
        <v>40</v>
      </c>
      <c r="T121" s="23" t="s">
        <v>40</v>
      </c>
    </row>
    <row r="122" spans="1:20" x14ac:dyDescent="0.25">
      <c r="A122" s="23" t="s">
        <v>12867</v>
      </c>
      <c r="B122" s="23" t="s">
        <v>335</v>
      </c>
      <c r="C122" s="23" t="s">
        <v>12868</v>
      </c>
      <c r="D122" s="23" t="s">
        <v>12869</v>
      </c>
      <c r="E122" s="23" t="s">
        <v>12870</v>
      </c>
      <c r="F122" s="23" t="s">
        <v>40</v>
      </c>
      <c r="G122" s="23" t="s">
        <v>12871</v>
      </c>
      <c r="H122" s="23" t="s">
        <v>12872</v>
      </c>
      <c r="I122" s="23" t="s">
        <v>12873</v>
      </c>
      <c r="J122" s="23" t="s">
        <v>14</v>
      </c>
      <c r="K122" s="26" t="s">
        <v>396</v>
      </c>
      <c r="L122" s="23" t="s">
        <v>13</v>
      </c>
      <c r="M122" s="25" t="s">
        <v>18</v>
      </c>
      <c r="N122" s="23" t="s">
        <v>40</v>
      </c>
      <c r="O122" s="23" t="s">
        <v>387</v>
      </c>
      <c r="P122" s="23" t="s">
        <v>40</v>
      </c>
      <c r="Q122" s="23" t="s">
        <v>40</v>
      </c>
      <c r="R122" s="23" t="s">
        <v>336</v>
      </c>
      <c r="S122" s="23" t="s">
        <v>1710</v>
      </c>
      <c r="T122" s="23" t="s">
        <v>40</v>
      </c>
    </row>
    <row r="123" spans="1:20" x14ac:dyDescent="0.25">
      <c r="A123" s="23" t="s">
        <v>12874</v>
      </c>
      <c r="B123" s="23" t="s">
        <v>335</v>
      </c>
      <c r="C123" s="23" t="s">
        <v>12868</v>
      </c>
      <c r="D123" s="23" t="s">
        <v>12875</v>
      </c>
      <c r="E123" s="23" t="s">
        <v>12876</v>
      </c>
      <c r="F123" s="23" t="s">
        <v>12877</v>
      </c>
      <c r="G123" s="23" t="s">
        <v>12878</v>
      </c>
      <c r="H123" s="23" t="s">
        <v>12879</v>
      </c>
      <c r="I123" s="23" t="s">
        <v>12880</v>
      </c>
      <c r="J123" s="23" t="s">
        <v>14</v>
      </c>
      <c r="K123" s="26" t="s">
        <v>396</v>
      </c>
      <c r="L123" s="23" t="s">
        <v>13</v>
      </c>
      <c r="M123" s="25" t="s">
        <v>18</v>
      </c>
      <c r="N123" s="23" t="s">
        <v>40</v>
      </c>
      <c r="O123" s="23" t="s">
        <v>387</v>
      </c>
      <c r="P123" s="23" t="s">
        <v>40</v>
      </c>
      <c r="Q123" s="23" t="s">
        <v>40</v>
      </c>
      <c r="R123" s="23" t="s">
        <v>336</v>
      </c>
      <c r="S123" s="23" t="s">
        <v>1710</v>
      </c>
      <c r="T123" s="23" t="s">
        <v>40</v>
      </c>
    </row>
    <row r="124" spans="1:20" x14ac:dyDescent="0.25">
      <c r="A124" s="23" t="s">
        <v>12881</v>
      </c>
      <c r="B124" s="23" t="s">
        <v>335</v>
      </c>
      <c r="C124" s="23" t="s">
        <v>12868</v>
      </c>
      <c r="D124" s="23" t="s">
        <v>12882</v>
      </c>
      <c r="E124" s="23" t="s">
        <v>647</v>
      </c>
      <c r="F124" s="23" t="s">
        <v>40</v>
      </c>
      <c r="G124" s="23" t="s">
        <v>12883</v>
      </c>
      <c r="H124" s="23" t="s">
        <v>12884</v>
      </c>
      <c r="I124" s="23" t="s">
        <v>12885</v>
      </c>
      <c r="J124" s="23" t="s">
        <v>489</v>
      </c>
      <c r="K124" s="27" t="s">
        <v>404</v>
      </c>
      <c r="L124" s="23" t="s">
        <v>490</v>
      </c>
      <c r="M124" s="25" t="s">
        <v>18</v>
      </c>
      <c r="N124" s="23" t="s">
        <v>40</v>
      </c>
      <c r="O124" s="23" t="s">
        <v>387</v>
      </c>
      <c r="P124" s="23" t="s">
        <v>40</v>
      </c>
      <c r="Q124" s="23" t="s">
        <v>40</v>
      </c>
      <c r="R124" s="23" t="s">
        <v>336</v>
      </c>
      <c r="S124" s="23" t="s">
        <v>1710</v>
      </c>
      <c r="T124" s="23" t="s">
        <v>40</v>
      </c>
    </row>
    <row r="125" spans="1:20" x14ac:dyDescent="0.25">
      <c r="A125" s="23" t="s">
        <v>12886</v>
      </c>
      <c r="B125" s="23" t="s">
        <v>335</v>
      </c>
      <c r="C125" s="23" t="s">
        <v>12868</v>
      </c>
      <c r="D125" s="23" t="s">
        <v>12887</v>
      </c>
      <c r="E125" s="23" t="s">
        <v>12888</v>
      </c>
      <c r="F125" s="23" t="s">
        <v>40</v>
      </c>
      <c r="G125" s="23" t="s">
        <v>12889</v>
      </c>
      <c r="H125" s="23" t="s">
        <v>12890</v>
      </c>
      <c r="I125" s="23" t="s">
        <v>12891</v>
      </c>
      <c r="J125" s="23" t="s">
        <v>15</v>
      </c>
      <c r="K125" s="27" t="s">
        <v>404</v>
      </c>
      <c r="L125" s="23" t="s">
        <v>405</v>
      </c>
      <c r="M125" s="25" t="s">
        <v>18</v>
      </c>
      <c r="N125" s="23" t="s">
        <v>40</v>
      </c>
      <c r="O125" s="23" t="s">
        <v>387</v>
      </c>
      <c r="P125" s="23" t="s">
        <v>40</v>
      </c>
      <c r="Q125" s="23" t="s">
        <v>40</v>
      </c>
      <c r="R125" s="23" t="s">
        <v>336</v>
      </c>
      <c r="S125" s="23" t="s">
        <v>1710</v>
      </c>
      <c r="T125" s="23" t="s">
        <v>12892</v>
      </c>
    </row>
    <row r="126" spans="1:20" x14ac:dyDescent="0.25">
      <c r="A126" s="23" t="s">
        <v>12893</v>
      </c>
      <c r="B126" s="23" t="s">
        <v>335</v>
      </c>
      <c r="C126" s="23" t="s">
        <v>12868</v>
      </c>
      <c r="D126" s="23" t="s">
        <v>12894</v>
      </c>
      <c r="E126" s="23" t="s">
        <v>647</v>
      </c>
      <c r="F126" s="23" t="s">
        <v>40</v>
      </c>
      <c r="G126" s="23" t="s">
        <v>12883</v>
      </c>
      <c r="H126" s="23" t="s">
        <v>12884</v>
      </c>
      <c r="I126" s="23" t="s">
        <v>12895</v>
      </c>
      <c r="J126" s="23" t="s">
        <v>395</v>
      </c>
      <c r="K126" s="26" t="s">
        <v>396</v>
      </c>
      <c r="L126" s="23" t="s">
        <v>13</v>
      </c>
      <c r="M126" s="25" t="s">
        <v>18</v>
      </c>
      <c r="N126" s="23" t="s">
        <v>40</v>
      </c>
      <c r="O126" s="23" t="s">
        <v>387</v>
      </c>
      <c r="P126" s="23" t="s">
        <v>40</v>
      </c>
      <c r="Q126" s="23" t="s">
        <v>40</v>
      </c>
      <c r="R126" s="23" t="s">
        <v>336</v>
      </c>
      <c r="S126" s="23" t="s">
        <v>1710</v>
      </c>
      <c r="T126" s="23" t="s">
        <v>40</v>
      </c>
    </row>
    <row r="127" spans="1:20" x14ac:dyDescent="0.25">
      <c r="A127" s="23" t="s">
        <v>12896</v>
      </c>
      <c r="B127" s="23" t="s">
        <v>337</v>
      </c>
      <c r="C127" s="23" t="s">
        <v>944</v>
      </c>
      <c r="D127" s="23" t="s">
        <v>12050</v>
      </c>
      <c r="E127" s="23" t="s">
        <v>647</v>
      </c>
      <c r="F127" s="23" t="s">
        <v>40</v>
      </c>
      <c r="G127" s="23" t="s">
        <v>12897</v>
      </c>
      <c r="H127" s="23" t="s">
        <v>12898</v>
      </c>
      <c r="I127" s="23" t="s">
        <v>12899</v>
      </c>
      <c r="J127" s="23" t="s">
        <v>385</v>
      </c>
      <c r="K127" s="24" t="s">
        <v>386</v>
      </c>
      <c r="L127" s="23" t="s">
        <v>13</v>
      </c>
      <c r="M127" s="31" t="s">
        <v>17</v>
      </c>
      <c r="N127" s="23" t="s">
        <v>12055</v>
      </c>
      <c r="O127" s="29" t="s">
        <v>87</v>
      </c>
      <c r="P127" s="23" t="s">
        <v>40</v>
      </c>
      <c r="Q127" s="23" t="s">
        <v>40</v>
      </c>
      <c r="R127" s="23" t="s">
        <v>338</v>
      </c>
      <c r="S127" s="23" t="s">
        <v>40</v>
      </c>
      <c r="T127" s="23" t="s">
        <v>40</v>
      </c>
    </row>
    <row r="128" spans="1:20" x14ac:dyDescent="0.25">
      <c r="A128" s="23" t="s">
        <v>12900</v>
      </c>
      <c r="B128" s="23" t="s">
        <v>337</v>
      </c>
      <c r="C128" s="23" t="s">
        <v>12901</v>
      </c>
      <c r="D128" s="23" t="s">
        <v>12902</v>
      </c>
      <c r="E128" s="23" t="s">
        <v>12903</v>
      </c>
      <c r="F128" s="23" t="s">
        <v>40</v>
      </c>
      <c r="G128" s="23" t="s">
        <v>12904</v>
      </c>
      <c r="H128" s="23" t="s">
        <v>12905</v>
      </c>
      <c r="I128" s="23" t="s">
        <v>12906</v>
      </c>
      <c r="J128" s="23" t="s">
        <v>14</v>
      </c>
      <c r="K128" s="26" t="s">
        <v>396</v>
      </c>
      <c r="L128" s="23" t="s">
        <v>13</v>
      </c>
      <c r="M128" s="25" t="s">
        <v>18</v>
      </c>
      <c r="N128" s="23" t="s">
        <v>40</v>
      </c>
      <c r="O128" s="23" t="s">
        <v>387</v>
      </c>
      <c r="P128" s="23" t="s">
        <v>40</v>
      </c>
      <c r="Q128" s="23" t="s">
        <v>40</v>
      </c>
      <c r="R128" s="23" t="s">
        <v>338</v>
      </c>
      <c r="S128" s="23" t="s">
        <v>1710</v>
      </c>
      <c r="T128" s="23" t="s">
        <v>40</v>
      </c>
    </row>
    <row r="129" spans="1:20" x14ac:dyDescent="0.25">
      <c r="A129" s="23" t="s">
        <v>12907</v>
      </c>
      <c r="B129" s="23" t="s">
        <v>337</v>
      </c>
      <c r="C129" s="23" t="s">
        <v>12901</v>
      </c>
      <c r="D129" s="23" t="s">
        <v>12908</v>
      </c>
      <c r="E129" s="23" t="s">
        <v>12909</v>
      </c>
      <c r="F129" s="23" t="s">
        <v>40</v>
      </c>
      <c r="G129" s="23" t="s">
        <v>12910</v>
      </c>
      <c r="H129" s="23" t="s">
        <v>12911</v>
      </c>
      <c r="I129" s="23" t="s">
        <v>12912</v>
      </c>
      <c r="J129" s="23" t="s">
        <v>466</v>
      </c>
      <c r="K129" s="27" t="s">
        <v>404</v>
      </c>
      <c r="L129" s="23" t="s">
        <v>405</v>
      </c>
      <c r="M129" s="25" t="s">
        <v>18</v>
      </c>
      <c r="N129" s="23" t="s">
        <v>40</v>
      </c>
      <c r="O129" s="23" t="s">
        <v>387</v>
      </c>
      <c r="P129" s="23" t="s">
        <v>40</v>
      </c>
      <c r="Q129" s="23" t="s">
        <v>40</v>
      </c>
      <c r="R129" s="23" t="s">
        <v>338</v>
      </c>
      <c r="S129" s="23" t="s">
        <v>1710</v>
      </c>
      <c r="T129" s="23" t="s">
        <v>40</v>
      </c>
    </row>
    <row r="130" spans="1:20" x14ac:dyDescent="0.25">
      <c r="A130" s="23" t="s">
        <v>12913</v>
      </c>
      <c r="B130" s="23" t="s">
        <v>337</v>
      </c>
      <c r="C130" s="23" t="s">
        <v>12901</v>
      </c>
      <c r="D130" s="23" t="s">
        <v>12914</v>
      </c>
      <c r="E130" s="23" t="s">
        <v>12915</v>
      </c>
      <c r="F130" s="23" t="s">
        <v>40</v>
      </c>
      <c r="G130" s="23" t="s">
        <v>12916</v>
      </c>
      <c r="H130" s="23" t="s">
        <v>12917</v>
      </c>
      <c r="I130" s="23" t="s">
        <v>12918</v>
      </c>
      <c r="J130" s="23" t="s">
        <v>15</v>
      </c>
      <c r="K130" s="27" t="s">
        <v>404</v>
      </c>
      <c r="L130" s="23" t="s">
        <v>405</v>
      </c>
      <c r="M130" s="25" t="s">
        <v>18</v>
      </c>
      <c r="N130" s="23" t="s">
        <v>40</v>
      </c>
      <c r="O130" s="23" t="s">
        <v>387</v>
      </c>
      <c r="P130" s="23" t="s">
        <v>40</v>
      </c>
      <c r="Q130" s="23" t="s">
        <v>40</v>
      </c>
      <c r="R130" s="23" t="s">
        <v>338</v>
      </c>
      <c r="S130" s="23" t="s">
        <v>1710</v>
      </c>
      <c r="T130" s="23" t="s">
        <v>40</v>
      </c>
    </row>
    <row r="131" spans="1:20" x14ac:dyDescent="0.25">
      <c r="A131" s="23" t="s">
        <v>12919</v>
      </c>
      <c r="B131" s="23" t="s">
        <v>337</v>
      </c>
      <c r="C131" s="23" t="s">
        <v>12901</v>
      </c>
      <c r="D131" s="23" t="s">
        <v>12920</v>
      </c>
      <c r="E131" s="23" t="s">
        <v>647</v>
      </c>
      <c r="F131" s="23" t="s">
        <v>40</v>
      </c>
      <c r="G131" s="23" t="s">
        <v>12921</v>
      </c>
      <c r="H131" s="23" t="s">
        <v>12922</v>
      </c>
      <c r="I131" s="23" t="s">
        <v>12923</v>
      </c>
      <c r="J131" s="23" t="s">
        <v>489</v>
      </c>
      <c r="K131" s="27" t="s">
        <v>404</v>
      </c>
      <c r="L131" s="23" t="s">
        <v>490</v>
      </c>
      <c r="M131" s="25" t="s">
        <v>18</v>
      </c>
      <c r="N131" s="23" t="s">
        <v>40</v>
      </c>
      <c r="O131" s="23" t="s">
        <v>387</v>
      </c>
      <c r="P131" s="23" t="s">
        <v>40</v>
      </c>
      <c r="Q131" s="23" t="s">
        <v>40</v>
      </c>
      <c r="R131" s="23" t="s">
        <v>338</v>
      </c>
      <c r="S131" s="23" t="s">
        <v>1710</v>
      </c>
      <c r="T131" s="23" t="s">
        <v>40</v>
      </c>
    </row>
    <row r="132" spans="1:20" x14ac:dyDescent="0.25">
      <c r="A132" s="23" t="s">
        <v>12924</v>
      </c>
      <c r="B132" s="23" t="s">
        <v>29</v>
      </c>
      <c r="C132" s="23" t="s">
        <v>944</v>
      </c>
      <c r="D132" s="23" t="s">
        <v>12925</v>
      </c>
      <c r="E132" s="23" t="s">
        <v>647</v>
      </c>
      <c r="F132" s="23" t="s">
        <v>40</v>
      </c>
      <c r="G132" s="23" t="s">
        <v>12926</v>
      </c>
      <c r="H132" s="23" t="s">
        <v>12927</v>
      </c>
      <c r="I132" s="23" t="s">
        <v>12928</v>
      </c>
      <c r="J132" s="23" t="s">
        <v>385</v>
      </c>
      <c r="K132" s="24" t="s">
        <v>386</v>
      </c>
      <c r="L132" s="23" t="s">
        <v>13</v>
      </c>
      <c r="M132" s="31" t="s">
        <v>17</v>
      </c>
      <c r="N132" s="23" t="s">
        <v>12929</v>
      </c>
      <c r="O132" s="29" t="s">
        <v>87</v>
      </c>
      <c r="P132" s="23" t="s">
        <v>40</v>
      </c>
      <c r="Q132" s="23" t="s">
        <v>40</v>
      </c>
      <c r="R132" s="23" t="s">
        <v>339</v>
      </c>
      <c r="S132" s="23" t="s">
        <v>40</v>
      </c>
      <c r="T132" s="23" t="s">
        <v>40</v>
      </c>
    </row>
    <row r="133" spans="1:20" x14ac:dyDescent="0.25">
      <c r="A133" s="23" t="s">
        <v>12930</v>
      </c>
      <c r="B133" s="23" t="s">
        <v>29</v>
      </c>
      <c r="C133" s="23" t="s">
        <v>4404</v>
      </c>
      <c r="D133" s="23" t="s">
        <v>12931</v>
      </c>
      <c r="E133" s="23" t="s">
        <v>12932</v>
      </c>
      <c r="F133" s="23" t="s">
        <v>40</v>
      </c>
      <c r="G133" s="23" t="s">
        <v>12933</v>
      </c>
      <c r="H133" s="23" t="s">
        <v>12934</v>
      </c>
      <c r="I133" s="23" t="s">
        <v>12935</v>
      </c>
      <c r="J133" s="23" t="s">
        <v>14</v>
      </c>
      <c r="K133" s="26" t="s">
        <v>396</v>
      </c>
      <c r="L133" s="23" t="s">
        <v>13</v>
      </c>
      <c r="M133" s="30" t="s">
        <v>19</v>
      </c>
      <c r="N133" s="23" t="s">
        <v>40</v>
      </c>
      <c r="O133" s="23" t="s">
        <v>387</v>
      </c>
      <c r="P133" s="23" t="s">
        <v>40</v>
      </c>
      <c r="Q133" s="23" t="s">
        <v>40</v>
      </c>
      <c r="R133" s="23" t="s">
        <v>339</v>
      </c>
      <c r="S133" s="23" t="s">
        <v>12936</v>
      </c>
      <c r="T133" s="23" t="s">
        <v>40</v>
      </c>
    </row>
    <row r="134" spans="1:20" x14ac:dyDescent="0.25">
      <c r="A134" s="23" t="s">
        <v>12937</v>
      </c>
      <c r="B134" s="23" t="s">
        <v>29</v>
      </c>
      <c r="C134" s="23" t="s">
        <v>8846</v>
      </c>
      <c r="D134" s="23" t="s">
        <v>12938</v>
      </c>
      <c r="E134" s="23" t="s">
        <v>647</v>
      </c>
      <c r="F134" s="23" t="s">
        <v>40</v>
      </c>
      <c r="G134" s="23" t="s">
        <v>12939</v>
      </c>
      <c r="H134" s="23" t="s">
        <v>12940</v>
      </c>
      <c r="I134" s="23" t="s">
        <v>12941</v>
      </c>
      <c r="J134" s="23" t="s">
        <v>385</v>
      </c>
      <c r="K134" s="27" t="s">
        <v>404</v>
      </c>
      <c r="L134" s="23" t="s">
        <v>405</v>
      </c>
      <c r="M134" s="25" t="s">
        <v>18</v>
      </c>
      <c r="N134" s="23" t="s">
        <v>40</v>
      </c>
      <c r="O134" s="23" t="s">
        <v>387</v>
      </c>
      <c r="P134" s="23" t="s">
        <v>40</v>
      </c>
      <c r="Q134" s="23" t="s">
        <v>40</v>
      </c>
      <c r="R134" s="23" t="s">
        <v>339</v>
      </c>
      <c r="S134" s="23" t="s">
        <v>1710</v>
      </c>
      <c r="T134" s="23" t="s">
        <v>40</v>
      </c>
    </row>
    <row r="135" spans="1:20" x14ac:dyDescent="0.25">
      <c r="A135" s="23" t="s">
        <v>12942</v>
      </c>
      <c r="B135" s="23" t="s">
        <v>29</v>
      </c>
      <c r="C135" s="23" t="s">
        <v>9800</v>
      </c>
      <c r="D135" s="23" t="s">
        <v>12943</v>
      </c>
      <c r="E135" s="23" t="s">
        <v>647</v>
      </c>
      <c r="F135" s="23" t="s">
        <v>40</v>
      </c>
      <c r="G135" s="23" t="s">
        <v>12944</v>
      </c>
      <c r="H135" s="23" t="s">
        <v>12945</v>
      </c>
      <c r="I135" s="23" t="s">
        <v>12946</v>
      </c>
      <c r="J135" s="23" t="s">
        <v>14</v>
      </c>
      <c r="K135" s="24" t="s">
        <v>386</v>
      </c>
      <c r="L135" s="23" t="s">
        <v>405</v>
      </c>
      <c r="M135" s="25" t="s">
        <v>18</v>
      </c>
      <c r="N135" s="23" t="s">
        <v>40</v>
      </c>
      <c r="O135" s="23" t="s">
        <v>387</v>
      </c>
      <c r="P135" s="23" t="s">
        <v>40</v>
      </c>
      <c r="Q135" s="23" t="s">
        <v>40</v>
      </c>
      <c r="R135" s="23" t="s">
        <v>339</v>
      </c>
      <c r="S135" s="23" t="s">
        <v>1710</v>
      </c>
      <c r="T135" s="23" t="s">
        <v>40</v>
      </c>
    </row>
    <row r="136" spans="1:20" x14ac:dyDescent="0.25">
      <c r="A136" s="23" t="s">
        <v>12947</v>
      </c>
      <c r="B136" s="23" t="s">
        <v>29</v>
      </c>
      <c r="C136" s="23" t="s">
        <v>323</v>
      </c>
      <c r="D136" s="23" t="s">
        <v>12948</v>
      </c>
      <c r="E136" s="23" t="s">
        <v>647</v>
      </c>
      <c r="F136" s="23" t="s">
        <v>12949</v>
      </c>
      <c r="G136" s="23" t="s">
        <v>12950</v>
      </c>
      <c r="H136" s="23" t="s">
        <v>12951</v>
      </c>
      <c r="I136" s="23" t="s">
        <v>12952</v>
      </c>
      <c r="J136" s="23" t="s">
        <v>14</v>
      </c>
      <c r="K136" s="26" t="s">
        <v>396</v>
      </c>
      <c r="L136" s="23" t="s">
        <v>13</v>
      </c>
      <c r="M136" s="25" t="s">
        <v>18</v>
      </c>
      <c r="N136" s="23" t="s">
        <v>40</v>
      </c>
      <c r="O136" s="23" t="s">
        <v>387</v>
      </c>
      <c r="P136" s="23" t="s">
        <v>40</v>
      </c>
      <c r="Q136" s="23" t="s">
        <v>40</v>
      </c>
      <c r="R136" s="23" t="s">
        <v>339</v>
      </c>
      <c r="S136" s="23" t="s">
        <v>1710</v>
      </c>
      <c r="T136" s="23" t="s">
        <v>40</v>
      </c>
    </row>
    <row r="137" spans="1:20" x14ac:dyDescent="0.25">
      <c r="A137" s="23" t="s">
        <v>12953</v>
      </c>
      <c r="B137" s="23" t="s">
        <v>29</v>
      </c>
      <c r="C137" s="23" t="s">
        <v>323</v>
      </c>
      <c r="D137" s="23" t="s">
        <v>12954</v>
      </c>
      <c r="E137" s="23" t="s">
        <v>647</v>
      </c>
      <c r="F137" s="23" t="s">
        <v>12955</v>
      </c>
      <c r="G137" s="23" t="s">
        <v>12956</v>
      </c>
      <c r="H137" s="23" t="s">
        <v>12957</v>
      </c>
      <c r="I137" s="23" t="s">
        <v>12958</v>
      </c>
      <c r="J137" s="23" t="s">
        <v>14</v>
      </c>
      <c r="K137" s="24" t="s">
        <v>386</v>
      </c>
      <c r="L137" s="23" t="s">
        <v>405</v>
      </c>
      <c r="M137" s="25" t="s">
        <v>18</v>
      </c>
      <c r="N137" s="23" t="s">
        <v>40</v>
      </c>
      <c r="O137" s="23" t="s">
        <v>387</v>
      </c>
      <c r="P137" s="23" t="s">
        <v>40</v>
      </c>
      <c r="Q137" s="23" t="s">
        <v>40</v>
      </c>
      <c r="R137" s="23" t="s">
        <v>339</v>
      </c>
      <c r="S137" s="23" t="s">
        <v>1710</v>
      </c>
      <c r="T137" s="23" t="s">
        <v>40</v>
      </c>
    </row>
    <row r="138" spans="1:20" x14ac:dyDescent="0.25">
      <c r="A138" s="23" t="s">
        <v>12959</v>
      </c>
      <c r="B138" s="23" t="s">
        <v>29</v>
      </c>
      <c r="C138" s="23" t="s">
        <v>7346</v>
      </c>
      <c r="D138" s="23" t="s">
        <v>12960</v>
      </c>
      <c r="E138" s="23" t="s">
        <v>647</v>
      </c>
      <c r="F138" s="23" t="s">
        <v>40</v>
      </c>
      <c r="G138" s="23" t="s">
        <v>12961</v>
      </c>
      <c r="H138" s="23" t="s">
        <v>12962</v>
      </c>
      <c r="I138" s="23" t="s">
        <v>12963</v>
      </c>
      <c r="J138" s="23" t="s">
        <v>15</v>
      </c>
      <c r="K138" s="27" t="s">
        <v>404</v>
      </c>
      <c r="L138" s="23" t="s">
        <v>405</v>
      </c>
      <c r="M138" s="30" t="s">
        <v>19</v>
      </c>
      <c r="N138" s="23" t="s">
        <v>40</v>
      </c>
      <c r="O138" s="23" t="s">
        <v>387</v>
      </c>
      <c r="P138" s="23" t="s">
        <v>40</v>
      </c>
      <c r="Q138" s="23" t="s">
        <v>40</v>
      </c>
      <c r="R138" s="23" t="s">
        <v>339</v>
      </c>
      <c r="S138" s="23" t="s">
        <v>12964</v>
      </c>
      <c r="T138" s="23" t="s">
        <v>40</v>
      </c>
    </row>
    <row r="139" spans="1:20" x14ac:dyDescent="0.25">
      <c r="A139" s="23" t="s">
        <v>12965</v>
      </c>
      <c r="B139" s="23" t="s">
        <v>29</v>
      </c>
      <c r="C139" s="23" t="s">
        <v>801</v>
      </c>
      <c r="D139" s="23" t="s">
        <v>12966</v>
      </c>
      <c r="E139" s="23" t="s">
        <v>12967</v>
      </c>
      <c r="F139" s="23" t="s">
        <v>40</v>
      </c>
      <c r="G139" s="23" t="s">
        <v>12968</v>
      </c>
      <c r="H139" s="23" t="s">
        <v>12969</v>
      </c>
      <c r="I139" s="23" t="s">
        <v>12970</v>
      </c>
      <c r="J139" s="23" t="s">
        <v>801</v>
      </c>
      <c r="K139" s="26" t="s">
        <v>396</v>
      </c>
      <c r="L139" s="23" t="s">
        <v>13</v>
      </c>
      <c r="M139" s="25" t="s">
        <v>18</v>
      </c>
      <c r="N139" s="23" t="s">
        <v>40</v>
      </c>
      <c r="O139" s="23" t="s">
        <v>387</v>
      </c>
      <c r="P139" s="23" t="s">
        <v>40</v>
      </c>
      <c r="Q139" s="23" t="s">
        <v>40</v>
      </c>
      <c r="R139" s="23" t="s">
        <v>339</v>
      </c>
      <c r="S139" s="23" t="s">
        <v>1710</v>
      </c>
      <c r="T139" s="23" t="s">
        <v>40</v>
      </c>
    </row>
    <row r="140" spans="1:20" x14ac:dyDescent="0.25">
      <c r="A140" s="23" t="s">
        <v>12971</v>
      </c>
      <c r="B140" s="23" t="s">
        <v>29</v>
      </c>
      <c r="C140" s="23" t="s">
        <v>12295</v>
      </c>
      <c r="D140" s="23" t="s">
        <v>12972</v>
      </c>
      <c r="E140" s="23" t="s">
        <v>647</v>
      </c>
      <c r="F140" s="23" t="s">
        <v>40</v>
      </c>
      <c r="G140" s="23" t="s">
        <v>12973</v>
      </c>
      <c r="H140" s="23" t="s">
        <v>12974</v>
      </c>
      <c r="I140" s="23" t="s">
        <v>12975</v>
      </c>
      <c r="J140" s="23" t="s">
        <v>395</v>
      </c>
      <c r="K140" s="26" t="s">
        <v>396</v>
      </c>
      <c r="L140" s="23" t="s">
        <v>13</v>
      </c>
      <c r="M140" s="25" t="s">
        <v>18</v>
      </c>
      <c r="N140" s="23" t="s">
        <v>40</v>
      </c>
      <c r="O140" s="23" t="s">
        <v>387</v>
      </c>
      <c r="P140" s="23" t="s">
        <v>40</v>
      </c>
      <c r="Q140" s="23" t="s">
        <v>40</v>
      </c>
      <c r="R140" s="23" t="s">
        <v>339</v>
      </c>
      <c r="S140" s="23" t="s">
        <v>1710</v>
      </c>
      <c r="T140" s="23" t="s">
        <v>40</v>
      </c>
    </row>
    <row r="141" spans="1:20" x14ac:dyDescent="0.25">
      <c r="A141" s="23" t="s">
        <v>12976</v>
      </c>
      <c r="B141" s="23" t="s">
        <v>29</v>
      </c>
      <c r="C141" s="23" t="s">
        <v>12172</v>
      </c>
      <c r="D141" s="23" t="s">
        <v>12977</v>
      </c>
      <c r="E141" s="23" t="s">
        <v>12978</v>
      </c>
      <c r="F141" s="23" t="s">
        <v>40</v>
      </c>
      <c r="G141" s="23" t="s">
        <v>12979</v>
      </c>
      <c r="H141" s="23" t="s">
        <v>12980</v>
      </c>
      <c r="I141" s="23" t="s">
        <v>12981</v>
      </c>
      <c r="J141" s="23" t="s">
        <v>525</v>
      </c>
      <c r="K141" s="24" t="s">
        <v>386</v>
      </c>
      <c r="L141" s="23" t="s">
        <v>405</v>
      </c>
      <c r="M141" s="25" t="s">
        <v>18</v>
      </c>
      <c r="N141" s="23" t="s">
        <v>40</v>
      </c>
      <c r="O141" s="23" t="s">
        <v>387</v>
      </c>
      <c r="P141" s="23" t="s">
        <v>40</v>
      </c>
      <c r="Q141" s="23" t="s">
        <v>40</v>
      </c>
      <c r="R141" s="23" t="s">
        <v>339</v>
      </c>
      <c r="S141" s="23" t="s">
        <v>1710</v>
      </c>
      <c r="T141" s="23" t="s">
        <v>40</v>
      </c>
    </row>
    <row r="142" spans="1:20" x14ac:dyDescent="0.25">
      <c r="A142" s="23" t="s">
        <v>12982</v>
      </c>
      <c r="B142" s="23" t="s">
        <v>29</v>
      </c>
      <c r="C142" s="23" t="s">
        <v>7323</v>
      </c>
      <c r="D142" s="23" t="s">
        <v>12983</v>
      </c>
      <c r="E142" s="23" t="s">
        <v>12984</v>
      </c>
      <c r="F142" s="23" t="s">
        <v>40</v>
      </c>
      <c r="G142" s="23" t="s">
        <v>12985</v>
      </c>
      <c r="H142" s="23" t="s">
        <v>12986</v>
      </c>
      <c r="I142" s="23" t="s">
        <v>12987</v>
      </c>
      <c r="J142" s="23" t="s">
        <v>15</v>
      </c>
      <c r="K142" s="27" t="s">
        <v>404</v>
      </c>
      <c r="L142" s="23" t="s">
        <v>405</v>
      </c>
      <c r="M142" s="25" t="s">
        <v>18</v>
      </c>
      <c r="N142" s="23" t="s">
        <v>40</v>
      </c>
      <c r="O142" s="23" t="s">
        <v>387</v>
      </c>
      <c r="P142" s="23" t="s">
        <v>40</v>
      </c>
      <c r="Q142" s="23" t="s">
        <v>40</v>
      </c>
      <c r="R142" s="23" t="s">
        <v>339</v>
      </c>
      <c r="S142" s="23" t="s">
        <v>1710</v>
      </c>
      <c r="T142" s="23" t="s">
        <v>12988</v>
      </c>
    </row>
    <row r="143" spans="1:20" x14ac:dyDescent="0.25">
      <c r="A143" s="23" t="s">
        <v>12989</v>
      </c>
      <c r="B143" s="23" t="s">
        <v>340</v>
      </c>
      <c r="C143" s="23" t="s">
        <v>944</v>
      </c>
      <c r="D143" s="23" t="s">
        <v>12990</v>
      </c>
      <c r="E143" s="23" t="s">
        <v>647</v>
      </c>
      <c r="F143" s="23" t="s">
        <v>40</v>
      </c>
      <c r="G143" s="23" t="s">
        <v>12991</v>
      </c>
      <c r="H143" s="23" t="s">
        <v>12992</v>
      </c>
      <c r="I143" s="23" t="s">
        <v>12993</v>
      </c>
      <c r="J143" s="23" t="s">
        <v>385</v>
      </c>
      <c r="K143" s="24" t="s">
        <v>386</v>
      </c>
      <c r="L143" s="23" t="s">
        <v>13</v>
      </c>
      <c r="M143" s="31" t="s">
        <v>17</v>
      </c>
      <c r="N143" s="23" t="s">
        <v>12994</v>
      </c>
      <c r="O143" s="29" t="s">
        <v>87</v>
      </c>
      <c r="P143" s="23" t="s">
        <v>40</v>
      </c>
      <c r="Q143" s="23" t="s">
        <v>40</v>
      </c>
      <c r="R143" s="23" t="s">
        <v>341</v>
      </c>
      <c r="S143" s="23" t="s">
        <v>40</v>
      </c>
      <c r="T143" s="23" t="s">
        <v>40</v>
      </c>
    </row>
    <row r="144" spans="1:20" x14ac:dyDescent="0.25">
      <c r="A144" s="23" t="s">
        <v>12995</v>
      </c>
      <c r="B144" s="23" t="s">
        <v>340</v>
      </c>
      <c r="C144" s="23" t="s">
        <v>12996</v>
      </c>
      <c r="D144" s="23" t="s">
        <v>12997</v>
      </c>
      <c r="E144" s="23" t="s">
        <v>12998</v>
      </c>
      <c r="F144" s="23" t="s">
        <v>40</v>
      </c>
      <c r="G144" s="23" t="s">
        <v>12999</v>
      </c>
      <c r="H144" s="23" t="s">
        <v>13000</v>
      </c>
      <c r="I144" s="23" t="s">
        <v>13001</v>
      </c>
      <c r="J144" s="23" t="s">
        <v>14</v>
      </c>
      <c r="K144" s="26" t="s">
        <v>396</v>
      </c>
      <c r="L144" s="23" t="s">
        <v>13</v>
      </c>
      <c r="M144" s="25" t="s">
        <v>18</v>
      </c>
      <c r="N144" s="23" t="s">
        <v>40</v>
      </c>
      <c r="O144" s="23" t="s">
        <v>387</v>
      </c>
      <c r="P144" s="23" t="s">
        <v>40</v>
      </c>
      <c r="Q144" s="23" t="s">
        <v>40</v>
      </c>
      <c r="R144" s="23" t="s">
        <v>341</v>
      </c>
      <c r="S144" s="23" t="s">
        <v>1710</v>
      </c>
      <c r="T144" s="23" t="s">
        <v>40</v>
      </c>
    </row>
    <row r="145" spans="1:20" x14ac:dyDescent="0.25">
      <c r="A145" s="23" t="s">
        <v>13002</v>
      </c>
      <c r="B145" s="23" t="s">
        <v>340</v>
      </c>
      <c r="C145" s="23" t="s">
        <v>12996</v>
      </c>
      <c r="D145" s="23" t="s">
        <v>13003</v>
      </c>
      <c r="E145" s="23" t="s">
        <v>13004</v>
      </c>
      <c r="F145" s="23" t="s">
        <v>40</v>
      </c>
      <c r="G145" s="23" t="s">
        <v>13005</v>
      </c>
      <c r="H145" s="23" t="s">
        <v>13006</v>
      </c>
      <c r="I145" s="23" t="s">
        <v>13007</v>
      </c>
      <c r="J145" s="23" t="s">
        <v>14</v>
      </c>
      <c r="K145" s="27" t="s">
        <v>404</v>
      </c>
      <c r="L145" s="23" t="s">
        <v>490</v>
      </c>
      <c r="M145" s="25" t="s">
        <v>18</v>
      </c>
      <c r="N145" s="23" t="s">
        <v>40</v>
      </c>
      <c r="O145" s="23" t="s">
        <v>387</v>
      </c>
      <c r="P145" s="23" t="s">
        <v>40</v>
      </c>
      <c r="Q145" s="23" t="s">
        <v>40</v>
      </c>
      <c r="R145" s="23" t="s">
        <v>341</v>
      </c>
      <c r="S145" s="23" t="s">
        <v>1710</v>
      </c>
      <c r="T145" s="23" t="s">
        <v>40</v>
      </c>
    </row>
    <row r="146" spans="1:20" x14ac:dyDescent="0.25">
      <c r="A146" s="23" t="s">
        <v>13008</v>
      </c>
      <c r="B146" s="23" t="s">
        <v>340</v>
      </c>
      <c r="C146" s="23" t="s">
        <v>12996</v>
      </c>
      <c r="D146" s="23" t="s">
        <v>13009</v>
      </c>
      <c r="E146" s="23" t="s">
        <v>13010</v>
      </c>
      <c r="F146" s="23" t="s">
        <v>40</v>
      </c>
      <c r="G146" s="23" t="s">
        <v>13011</v>
      </c>
      <c r="H146" s="23" t="s">
        <v>13012</v>
      </c>
      <c r="I146" s="23" t="s">
        <v>13013</v>
      </c>
      <c r="J146" s="23" t="s">
        <v>489</v>
      </c>
      <c r="K146" s="27" t="s">
        <v>404</v>
      </c>
      <c r="L146" s="23" t="s">
        <v>490</v>
      </c>
      <c r="M146" s="25" t="s">
        <v>18</v>
      </c>
      <c r="N146" s="23" t="s">
        <v>40</v>
      </c>
      <c r="O146" s="23" t="s">
        <v>387</v>
      </c>
      <c r="P146" s="23" t="s">
        <v>40</v>
      </c>
      <c r="Q146" s="23" t="s">
        <v>40</v>
      </c>
      <c r="R146" s="23" t="s">
        <v>341</v>
      </c>
      <c r="S146" s="23" t="s">
        <v>1710</v>
      </c>
      <c r="T146" s="23" t="s">
        <v>40</v>
      </c>
    </row>
    <row r="147" spans="1:20" x14ac:dyDescent="0.25">
      <c r="A147" s="23" t="s">
        <v>13014</v>
      </c>
      <c r="B147" s="23" t="s">
        <v>342</v>
      </c>
      <c r="C147" s="23" t="s">
        <v>944</v>
      </c>
      <c r="D147" s="23" t="s">
        <v>13015</v>
      </c>
      <c r="E147" s="23" t="s">
        <v>647</v>
      </c>
      <c r="F147" s="23" t="s">
        <v>40</v>
      </c>
      <c r="G147" s="23" t="s">
        <v>13016</v>
      </c>
      <c r="H147" s="23" t="s">
        <v>13017</v>
      </c>
      <c r="I147" s="23" t="s">
        <v>13018</v>
      </c>
      <c r="J147" s="23" t="s">
        <v>385</v>
      </c>
      <c r="K147" s="24" t="s">
        <v>386</v>
      </c>
      <c r="L147" s="23" t="s">
        <v>13</v>
      </c>
      <c r="M147" s="31" t="s">
        <v>17</v>
      </c>
      <c r="N147" s="23" t="s">
        <v>13019</v>
      </c>
      <c r="O147" s="29" t="s">
        <v>87</v>
      </c>
      <c r="P147" s="23" t="s">
        <v>40</v>
      </c>
      <c r="Q147" s="23" t="s">
        <v>40</v>
      </c>
      <c r="R147" s="23" t="s">
        <v>343</v>
      </c>
      <c r="S147" s="23" t="s">
        <v>40</v>
      </c>
      <c r="T147" s="23" t="s">
        <v>40</v>
      </c>
    </row>
    <row r="148" spans="1:20" x14ac:dyDescent="0.25">
      <c r="A148" s="23" t="s">
        <v>13020</v>
      </c>
      <c r="B148" s="23" t="s">
        <v>342</v>
      </c>
      <c r="C148" s="23" t="s">
        <v>13021</v>
      </c>
      <c r="D148" s="23" t="s">
        <v>13022</v>
      </c>
      <c r="E148" s="23" t="s">
        <v>13023</v>
      </c>
      <c r="F148" s="23" t="s">
        <v>40</v>
      </c>
      <c r="G148" s="23" t="s">
        <v>13024</v>
      </c>
      <c r="H148" s="23" t="s">
        <v>13025</v>
      </c>
      <c r="I148" s="23" t="s">
        <v>13026</v>
      </c>
      <c r="J148" s="23" t="s">
        <v>14</v>
      </c>
      <c r="K148" s="24" t="s">
        <v>386</v>
      </c>
      <c r="L148" s="23" t="s">
        <v>405</v>
      </c>
      <c r="M148" s="25" t="s">
        <v>18</v>
      </c>
      <c r="N148" s="23" t="s">
        <v>40</v>
      </c>
      <c r="O148" s="23" t="s">
        <v>387</v>
      </c>
      <c r="P148" s="23" t="s">
        <v>40</v>
      </c>
      <c r="Q148" s="23" t="s">
        <v>40</v>
      </c>
      <c r="R148" s="23" t="s">
        <v>343</v>
      </c>
      <c r="S148" s="23" t="s">
        <v>1710</v>
      </c>
      <c r="T148" s="23" t="s">
        <v>40</v>
      </c>
    </row>
    <row r="149" spans="1:20" x14ac:dyDescent="0.25">
      <c r="A149" s="23" t="s">
        <v>13027</v>
      </c>
      <c r="B149" s="23" t="s">
        <v>342</v>
      </c>
      <c r="C149" s="23" t="s">
        <v>13021</v>
      </c>
      <c r="D149" s="23" t="s">
        <v>13028</v>
      </c>
      <c r="E149" s="23" t="s">
        <v>647</v>
      </c>
      <c r="F149" s="23" t="s">
        <v>13029</v>
      </c>
      <c r="G149" s="23" t="s">
        <v>13030</v>
      </c>
      <c r="H149" s="23" t="s">
        <v>13031</v>
      </c>
      <c r="I149" s="23" t="s">
        <v>13032</v>
      </c>
      <c r="J149" s="23" t="s">
        <v>14</v>
      </c>
      <c r="K149" s="27" t="s">
        <v>404</v>
      </c>
      <c r="L149" s="23" t="s">
        <v>490</v>
      </c>
      <c r="M149" s="25" t="s">
        <v>18</v>
      </c>
      <c r="N149" s="23" t="s">
        <v>40</v>
      </c>
      <c r="O149" s="23" t="s">
        <v>387</v>
      </c>
      <c r="P149" s="23" t="s">
        <v>40</v>
      </c>
      <c r="Q149" s="23" t="s">
        <v>40</v>
      </c>
      <c r="R149" s="23" t="s">
        <v>343</v>
      </c>
      <c r="S149" s="23" t="s">
        <v>1710</v>
      </c>
      <c r="T149" s="23" t="s">
        <v>40</v>
      </c>
    </row>
    <row r="150" spans="1:20" x14ac:dyDescent="0.25">
      <c r="A150" s="23" t="s">
        <v>13033</v>
      </c>
      <c r="B150" s="23" t="s">
        <v>342</v>
      </c>
      <c r="C150" s="23" t="s">
        <v>13021</v>
      </c>
      <c r="D150" s="23" t="s">
        <v>13034</v>
      </c>
      <c r="E150" s="23" t="s">
        <v>647</v>
      </c>
      <c r="F150" s="23" t="s">
        <v>40</v>
      </c>
      <c r="G150" s="23" t="s">
        <v>13035</v>
      </c>
      <c r="H150" s="23" t="s">
        <v>13036</v>
      </c>
      <c r="I150" s="23" t="s">
        <v>13037</v>
      </c>
      <c r="J150" s="23" t="s">
        <v>395</v>
      </c>
      <c r="K150" s="27" t="s">
        <v>404</v>
      </c>
      <c r="L150" s="23" t="s">
        <v>490</v>
      </c>
      <c r="M150" s="25" t="s">
        <v>18</v>
      </c>
      <c r="N150" s="23" t="s">
        <v>40</v>
      </c>
      <c r="O150" s="23" t="s">
        <v>387</v>
      </c>
      <c r="P150" s="23" t="s">
        <v>40</v>
      </c>
      <c r="Q150" s="23" t="s">
        <v>40</v>
      </c>
      <c r="R150" s="23" t="s">
        <v>343</v>
      </c>
      <c r="S150" s="23" t="s">
        <v>1710</v>
      </c>
      <c r="T150" s="23" t="s">
        <v>40</v>
      </c>
    </row>
    <row r="151" spans="1:20" x14ac:dyDescent="0.25">
      <c r="A151" s="23" t="s">
        <v>13038</v>
      </c>
      <c r="B151" s="23" t="s">
        <v>344</v>
      </c>
      <c r="C151" s="23" t="s">
        <v>944</v>
      </c>
      <c r="D151" s="23" t="s">
        <v>13039</v>
      </c>
      <c r="E151" s="23" t="s">
        <v>647</v>
      </c>
      <c r="F151" s="23" t="s">
        <v>40</v>
      </c>
      <c r="G151" s="23" t="s">
        <v>13040</v>
      </c>
      <c r="H151" s="23" t="s">
        <v>13041</v>
      </c>
      <c r="I151" s="23" t="s">
        <v>13042</v>
      </c>
      <c r="J151" s="23" t="s">
        <v>385</v>
      </c>
      <c r="K151" s="24" t="s">
        <v>386</v>
      </c>
      <c r="L151" s="23" t="s">
        <v>13</v>
      </c>
      <c r="M151" s="31" t="s">
        <v>17</v>
      </c>
      <c r="N151" s="23" t="s">
        <v>13043</v>
      </c>
      <c r="O151" s="29" t="s">
        <v>87</v>
      </c>
      <c r="P151" s="23" t="s">
        <v>40</v>
      </c>
      <c r="Q151" s="23" t="s">
        <v>40</v>
      </c>
      <c r="R151" s="23" t="s">
        <v>345</v>
      </c>
      <c r="S151" s="23" t="s">
        <v>40</v>
      </c>
      <c r="T151" s="23" t="s">
        <v>40</v>
      </c>
    </row>
    <row r="152" spans="1:20" x14ac:dyDescent="0.25">
      <c r="A152" s="23" t="s">
        <v>13044</v>
      </c>
      <c r="B152" s="23" t="s">
        <v>344</v>
      </c>
      <c r="C152" s="23" t="s">
        <v>13045</v>
      </c>
      <c r="D152" s="23" t="s">
        <v>13046</v>
      </c>
      <c r="E152" s="23" t="s">
        <v>647</v>
      </c>
      <c r="F152" s="23" t="s">
        <v>13047</v>
      </c>
      <c r="G152" s="23" t="s">
        <v>13048</v>
      </c>
      <c r="H152" s="23" t="s">
        <v>13049</v>
      </c>
      <c r="I152" s="23" t="s">
        <v>13050</v>
      </c>
      <c r="J152" s="23" t="s">
        <v>14</v>
      </c>
      <c r="K152" s="26" t="s">
        <v>396</v>
      </c>
      <c r="L152" s="23" t="s">
        <v>13</v>
      </c>
      <c r="M152" s="25" t="s">
        <v>18</v>
      </c>
      <c r="N152" s="23" t="s">
        <v>40</v>
      </c>
      <c r="O152" s="23" t="s">
        <v>387</v>
      </c>
      <c r="P152" s="23" t="s">
        <v>40</v>
      </c>
      <c r="Q152" s="23" t="s">
        <v>40</v>
      </c>
      <c r="R152" s="23" t="s">
        <v>345</v>
      </c>
      <c r="S152" s="23" t="s">
        <v>40</v>
      </c>
      <c r="T152" s="23" t="s">
        <v>40</v>
      </c>
    </row>
    <row r="153" spans="1:20" x14ac:dyDescent="0.25">
      <c r="A153" s="23" t="s">
        <v>13051</v>
      </c>
      <c r="B153" s="23" t="s">
        <v>344</v>
      </c>
      <c r="C153" s="23" t="s">
        <v>13045</v>
      </c>
      <c r="D153" s="23" t="s">
        <v>13052</v>
      </c>
      <c r="E153" s="23" t="s">
        <v>647</v>
      </c>
      <c r="F153" s="23" t="s">
        <v>13053</v>
      </c>
      <c r="G153" s="23" t="s">
        <v>13054</v>
      </c>
      <c r="H153" s="23" t="s">
        <v>13055</v>
      </c>
      <c r="I153" s="23" t="s">
        <v>13056</v>
      </c>
      <c r="J153" s="23" t="s">
        <v>14</v>
      </c>
      <c r="K153" s="24" t="s">
        <v>386</v>
      </c>
      <c r="L153" s="23" t="s">
        <v>405</v>
      </c>
      <c r="M153" s="25" t="s">
        <v>18</v>
      </c>
      <c r="N153" s="23" t="s">
        <v>40</v>
      </c>
      <c r="O153" s="23" t="s">
        <v>387</v>
      </c>
      <c r="P153" s="23" t="s">
        <v>40</v>
      </c>
      <c r="Q153" s="23" t="s">
        <v>40</v>
      </c>
      <c r="R153" s="23" t="s">
        <v>345</v>
      </c>
      <c r="S153" s="23" t="s">
        <v>40</v>
      </c>
      <c r="T153" s="23" t="s">
        <v>40</v>
      </c>
    </row>
    <row r="154" spans="1:20" x14ac:dyDescent="0.25">
      <c r="A154" s="23" t="s">
        <v>13057</v>
      </c>
      <c r="B154" s="23" t="s">
        <v>344</v>
      </c>
      <c r="C154" s="23" t="s">
        <v>13045</v>
      </c>
      <c r="D154" s="23" t="s">
        <v>13058</v>
      </c>
      <c r="E154" s="23" t="s">
        <v>647</v>
      </c>
      <c r="F154" s="23" t="s">
        <v>40</v>
      </c>
      <c r="G154" s="23" t="s">
        <v>13059</v>
      </c>
      <c r="H154" s="23" t="s">
        <v>13060</v>
      </c>
      <c r="I154" s="23" t="s">
        <v>13061</v>
      </c>
      <c r="J154" s="23" t="s">
        <v>466</v>
      </c>
      <c r="K154" s="24" t="s">
        <v>386</v>
      </c>
      <c r="L154" s="23" t="s">
        <v>13</v>
      </c>
      <c r="M154" s="25" t="s">
        <v>18</v>
      </c>
      <c r="N154" s="23" t="s">
        <v>40</v>
      </c>
      <c r="O154" s="23" t="s">
        <v>387</v>
      </c>
      <c r="P154" s="23" t="s">
        <v>40</v>
      </c>
      <c r="Q154" s="23" t="s">
        <v>40</v>
      </c>
      <c r="R154" s="23" t="s">
        <v>345</v>
      </c>
      <c r="S154" s="23" t="s">
        <v>40</v>
      </c>
      <c r="T154" s="23" t="s">
        <v>40</v>
      </c>
    </row>
    <row r="155" spans="1:20" x14ac:dyDescent="0.25">
      <c r="A155" s="23" t="s">
        <v>13062</v>
      </c>
      <c r="B155" s="23" t="s">
        <v>344</v>
      </c>
      <c r="C155" s="23" t="s">
        <v>13045</v>
      </c>
      <c r="D155" s="23" t="s">
        <v>13063</v>
      </c>
      <c r="E155" s="23" t="s">
        <v>647</v>
      </c>
      <c r="F155" s="23" t="s">
        <v>40</v>
      </c>
      <c r="G155" s="23" t="s">
        <v>13064</v>
      </c>
      <c r="H155" s="23" t="s">
        <v>13065</v>
      </c>
      <c r="I155" s="23" t="s">
        <v>13066</v>
      </c>
      <c r="J155" s="23" t="s">
        <v>466</v>
      </c>
      <c r="K155" s="24" t="s">
        <v>386</v>
      </c>
      <c r="L155" s="23" t="s">
        <v>13</v>
      </c>
      <c r="M155" s="25" t="s">
        <v>18</v>
      </c>
      <c r="N155" s="23" t="s">
        <v>40</v>
      </c>
      <c r="O155" s="23" t="s">
        <v>387</v>
      </c>
      <c r="P155" s="23" t="s">
        <v>40</v>
      </c>
      <c r="Q155" s="23" t="s">
        <v>40</v>
      </c>
      <c r="R155" s="23" t="s">
        <v>345</v>
      </c>
      <c r="S155" s="23" t="s">
        <v>40</v>
      </c>
      <c r="T155" s="23" t="s">
        <v>40</v>
      </c>
    </row>
    <row r="156" spans="1:20" x14ac:dyDescent="0.25">
      <c r="A156" s="23" t="s">
        <v>13067</v>
      </c>
      <c r="B156" s="23" t="s">
        <v>344</v>
      </c>
      <c r="C156" s="23" t="s">
        <v>13045</v>
      </c>
      <c r="D156" s="23" t="s">
        <v>13068</v>
      </c>
      <c r="E156" s="23" t="s">
        <v>647</v>
      </c>
      <c r="F156" s="23" t="s">
        <v>40</v>
      </c>
      <c r="G156" s="23" t="s">
        <v>13069</v>
      </c>
      <c r="H156" s="23" t="s">
        <v>13070</v>
      </c>
      <c r="I156" s="23" t="s">
        <v>13071</v>
      </c>
      <c r="J156" s="23" t="s">
        <v>466</v>
      </c>
      <c r="K156" s="24" t="s">
        <v>386</v>
      </c>
      <c r="L156" s="23" t="s">
        <v>13</v>
      </c>
      <c r="M156" s="25" t="s">
        <v>18</v>
      </c>
      <c r="N156" s="23" t="s">
        <v>40</v>
      </c>
      <c r="O156" s="23" t="s">
        <v>387</v>
      </c>
      <c r="P156" s="23" t="s">
        <v>40</v>
      </c>
      <c r="Q156" s="23" t="s">
        <v>40</v>
      </c>
      <c r="R156" s="23" t="s">
        <v>345</v>
      </c>
      <c r="S156" s="23" t="s">
        <v>40</v>
      </c>
      <c r="T156" s="23" t="s">
        <v>40</v>
      </c>
    </row>
    <row r="157" spans="1:20" x14ac:dyDescent="0.25">
      <c r="A157" s="23" t="s">
        <v>13072</v>
      </c>
      <c r="B157" s="23" t="s">
        <v>344</v>
      </c>
      <c r="C157" s="23" t="s">
        <v>13045</v>
      </c>
      <c r="D157" s="23" t="s">
        <v>13073</v>
      </c>
      <c r="E157" s="23" t="s">
        <v>647</v>
      </c>
      <c r="F157" s="23" t="s">
        <v>13074</v>
      </c>
      <c r="G157" s="23" t="s">
        <v>13075</v>
      </c>
      <c r="H157" s="23" t="s">
        <v>13076</v>
      </c>
      <c r="I157" s="23" t="s">
        <v>13077</v>
      </c>
      <c r="J157" s="23" t="s">
        <v>15</v>
      </c>
      <c r="K157" s="24" t="s">
        <v>386</v>
      </c>
      <c r="L157" s="23" t="s">
        <v>13</v>
      </c>
      <c r="M157" s="25" t="s">
        <v>18</v>
      </c>
      <c r="N157" s="23" t="s">
        <v>40</v>
      </c>
      <c r="O157" s="23" t="s">
        <v>387</v>
      </c>
      <c r="P157" s="23" t="s">
        <v>40</v>
      </c>
      <c r="Q157" s="23" t="s">
        <v>40</v>
      </c>
      <c r="R157" s="23" t="s">
        <v>345</v>
      </c>
      <c r="S157" s="23" t="s">
        <v>40</v>
      </c>
      <c r="T157" s="23" t="s">
        <v>13078</v>
      </c>
    </row>
    <row r="158" spans="1:20" x14ac:dyDescent="0.25">
      <c r="A158" s="23" t="s">
        <v>13079</v>
      </c>
      <c r="B158" s="23" t="s">
        <v>344</v>
      </c>
      <c r="C158" s="23" t="s">
        <v>13045</v>
      </c>
      <c r="D158" s="23" t="s">
        <v>13080</v>
      </c>
      <c r="E158" s="23" t="s">
        <v>647</v>
      </c>
      <c r="F158" s="23" t="s">
        <v>13081</v>
      </c>
      <c r="G158" s="23" t="s">
        <v>13082</v>
      </c>
      <c r="H158" s="23" t="s">
        <v>13083</v>
      </c>
      <c r="I158" s="23" t="s">
        <v>13084</v>
      </c>
      <c r="J158" s="23" t="s">
        <v>489</v>
      </c>
      <c r="K158" s="27" t="s">
        <v>404</v>
      </c>
      <c r="L158" s="23" t="s">
        <v>405</v>
      </c>
      <c r="M158" s="25" t="s">
        <v>18</v>
      </c>
      <c r="N158" s="23" t="s">
        <v>40</v>
      </c>
      <c r="O158" s="23" t="s">
        <v>387</v>
      </c>
      <c r="P158" s="23" t="s">
        <v>40</v>
      </c>
      <c r="Q158" s="23" t="s">
        <v>40</v>
      </c>
      <c r="R158" s="23" t="s">
        <v>345</v>
      </c>
      <c r="S158" s="23" t="s">
        <v>40</v>
      </c>
      <c r="T158" s="23" t="s">
        <v>40</v>
      </c>
    </row>
    <row r="159" spans="1:20" x14ac:dyDescent="0.25">
      <c r="A159" s="23" t="s">
        <v>13085</v>
      </c>
      <c r="B159" s="23" t="s">
        <v>344</v>
      </c>
      <c r="C159" s="23" t="s">
        <v>13045</v>
      </c>
      <c r="D159" s="23" t="s">
        <v>13086</v>
      </c>
      <c r="E159" s="23" t="s">
        <v>647</v>
      </c>
      <c r="F159" s="23" t="s">
        <v>13087</v>
      </c>
      <c r="G159" s="23" t="s">
        <v>13088</v>
      </c>
      <c r="H159" s="23" t="s">
        <v>13089</v>
      </c>
      <c r="I159" s="23" t="s">
        <v>13090</v>
      </c>
      <c r="J159" s="23" t="s">
        <v>395</v>
      </c>
      <c r="K159" s="24" t="s">
        <v>386</v>
      </c>
      <c r="L159" s="23" t="s">
        <v>405</v>
      </c>
      <c r="M159" s="25" t="s">
        <v>18</v>
      </c>
      <c r="N159" s="23" t="s">
        <v>40</v>
      </c>
      <c r="O159" s="23" t="s">
        <v>387</v>
      </c>
      <c r="P159" s="23" t="s">
        <v>40</v>
      </c>
      <c r="Q159" s="23" t="s">
        <v>40</v>
      </c>
      <c r="R159" s="23" t="s">
        <v>345</v>
      </c>
      <c r="S159" s="23" t="s">
        <v>40</v>
      </c>
      <c r="T159" s="23" t="s">
        <v>40</v>
      </c>
    </row>
    <row r="160" spans="1:20" x14ac:dyDescent="0.25">
      <c r="A160" s="23" t="s">
        <v>13091</v>
      </c>
      <c r="B160" s="23" t="s">
        <v>344</v>
      </c>
      <c r="C160" s="23" t="s">
        <v>13045</v>
      </c>
      <c r="D160" s="23" t="s">
        <v>13092</v>
      </c>
      <c r="E160" s="23" t="s">
        <v>647</v>
      </c>
      <c r="F160" s="23" t="s">
        <v>40</v>
      </c>
      <c r="G160" s="23" t="s">
        <v>13093</v>
      </c>
      <c r="H160" s="23" t="s">
        <v>13094</v>
      </c>
      <c r="I160" s="23" t="s">
        <v>13095</v>
      </c>
      <c r="J160" s="23" t="s">
        <v>385</v>
      </c>
      <c r="K160" s="27" t="s">
        <v>404</v>
      </c>
      <c r="L160" s="23" t="s">
        <v>405</v>
      </c>
      <c r="M160" s="25" t="s">
        <v>18</v>
      </c>
      <c r="N160" s="23" t="s">
        <v>40</v>
      </c>
      <c r="O160" s="23" t="s">
        <v>387</v>
      </c>
      <c r="P160" s="23" t="s">
        <v>40</v>
      </c>
      <c r="Q160" s="23" t="s">
        <v>40</v>
      </c>
      <c r="R160" s="23" t="s">
        <v>345</v>
      </c>
      <c r="S160" s="23" t="s">
        <v>40</v>
      </c>
      <c r="T160" s="23" t="s">
        <v>40</v>
      </c>
    </row>
    <row r="161" spans="1:20" x14ac:dyDescent="0.25">
      <c r="A161" s="23" t="s">
        <v>13096</v>
      </c>
      <c r="B161" s="23" t="s">
        <v>344</v>
      </c>
      <c r="C161" s="23" t="s">
        <v>13045</v>
      </c>
      <c r="D161" s="23" t="s">
        <v>13097</v>
      </c>
      <c r="E161" s="23" t="s">
        <v>647</v>
      </c>
      <c r="F161" s="23" t="s">
        <v>40</v>
      </c>
      <c r="G161" s="23" t="s">
        <v>13098</v>
      </c>
      <c r="H161" s="23" t="s">
        <v>13099</v>
      </c>
      <c r="I161" s="23" t="s">
        <v>13100</v>
      </c>
      <c r="J161" s="23" t="s">
        <v>489</v>
      </c>
      <c r="K161" s="27" t="s">
        <v>404</v>
      </c>
      <c r="L161" s="23" t="s">
        <v>405</v>
      </c>
      <c r="M161" s="25" t="s">
        <v>18</v>
      </c>
      <c r="N161" s="23" t="s">
        <v>40</v>
      </c>
      <c r="O161" s="23" t="s">
        <v>387</v>
      </c>
      <c r="P161" s="23" t="s">
        <v>40</v>
      </c>
      <c r="Q161" s="23" t="s">
        <v>40</v>
      </c>
      <c r="R161" s="23" t="s">
        <v>345</v>
      </c>
      <c r="S161" s="23" t="s">
        <v>40</v>
      </c>
      <c r="T161" s="23" t="s">
        <v>40</v>
      </c>
    </row>
    <row r="162" spans="1:20" x14ac:dyDescent="0.25">
      <c r="A162" s="23" t="s">
        <v>13101</v>
      </c>
      <c r="B162" s="23" t="s">
        <v>344</v>
      </c>
      <c r="C162" s="23" t="s">
        <v>13045</v>
      </c>
      <c r="D162" s="23" t="s">
        <v>13102</v>
      </c>
      <c r="E162" s="23" t="s">
        <v>647</v>
      </c>
      <c r="F162" s="23" t="s">
        <v>13103</v>
      </c>
      <c r="G162" s="23" t="s">
        <v>13104</v>
      </c>
      <c r="H162" s="23" t="s">
        <v>13105</v>
      </c>
      <c r="I162" s="23" t="s">
        <v>13106</v>
      </c>
      <c r="J162" s="23" t="s">
        <v>466</v>
      </c>
      <c r="K162" s="27" t="s">
        <v>404</v>
      </c>
      <c r="L162" s="23" t="s">
        <v>490</v>
      </c>
      <c r="M162" s="25" t="s">
        <v>18</v>
      </c>
      <c r="N162" s="23" t="s">
        <v>40</v>
      </c>
      <c r="O162" s="23" t="s">
        <v>387</v>
      </c>
      <c r="P162" s="23" t="s">
        <v>40</v>
      </c>
      <c r="Q162" s="23" t="s">
        <v>40</v>
      </c>
      <c r="R162" s="23" t="s">
        <v>345</v>
      </c>
      <c r="S162" s="23" t="s">
        <v>40</v>
      </c>
      <c r="T162" s="23" t="s">
        <v>40</v>
      </c>
    </row>
    <row r="163" spans="1:20" x14ac:dyDescent="0.25">
      <c r="A163" s="23" t="s">
        <v>13107</v>
      </c>
      <c r="B163" s="23" t="s">
        <v>344</v>
      </c>
      <c r="C163" s="23" t="s">
        <v>13108</v>
      </c>
      <c r="D163" s="23" t="s">
        <v>13109</v>
      </c>
      <c r="E163" s="23" t="s">
        <v>13110</v>
      </c>
      <c r="F163" s="23" t="s">
        <v>40</v>
      </c>
      <c r="G163" s="23" t="s">
        <v>13111</v>
      </c>
      <c r="H163" s="23" t="s">
        <v>13112</v>
      </c>
      <c r="I163" s="23" t="s">
        <v>13113</v>
      </c>
      <c r="J163" s="23" t="s">
        <v>14</v>
      </c>
      <c r="K163" s="24" t="s">
        <v>386</v>
      </c>
      <c r="L163" s="23" t="s">
        <v>405</v>
      </c>
      <c r="M163" s="25" t="s">
        <v>18</v>
      </c>
      <c r="N163" s="23" t="s">
        <v>40</v>
      </c>
      <c r="O163" s="23" t="s">
        <v>387</v>
      </c>
      <c r="P163" s="23" t="s">
        <v>40</v>
      </c>
      <c r="Q163" s="23" t="s">
        <v>40</v>
      </c>
      <c r="R163" s="23" t="s">
        <v>345</v>
      </c>
      <c r="S163" s="23" t="s">
        <v>40</v>
      </c>
      <c r="T163" s="23" t="s">
        <v>40</v>
      </c>
    </row>
    <row r="164" spans="1:20" x14ac:dyDescent="0.25">
      <c r="A164" s="23" t="s">
        <v>13114</v>
      </c>
      <c r="B164" s="23" t="s">
        <v>344</v>
      </c>
      <c r="C164" s="23" t="s">
        <v>13115</v>
      </c>
      <c r="D164" s="23" t="s">
        <v>13116</v>
      </c>
      <c r="E164" s="23" t="s">
        <v>13117</v>
      </c>
      <c r="F164" s="23" t="s">
        <v>13118</v>
      </c>
      <c r="G164" s="23" t="s">
        <v>13119</v>
      </c>
      <c r="H164" s="23" t="s">
        <v>13120</v>
      </c>
      <c r="I164" s="23" t="s">
        <v>13121</v>
      </c>
      <c r="J164" s="23" t="s">
        <v>14</v>
      </c>
      <c r="K164" s="24" t="s">
        <v>386</v>
      </c>
      <c r="L164" s="23" t="s">
        <v>405</v>
      </c>
      <c r="M164" s="25" t="s">
        <v>18</v>
      </c>
      <c r="N164" s="23" t="s">
        <v>40</v>
      </c>
      <c r="O164" s="23" t="s">
        <v>387</v>
      </c>
      <c r="P164" s="23" t="s">
        <v>40</v>
      </c>
      <c r="Q164" s="23" t="s">
        <v>40</v>
      </c>
      <c r="R164" s="23" t="s">
        <v>345</v>
      </c>
      <c r="S164" s="23" t="s">
        <v>40</v>
      </c>
      <c r="T164" s="23" t="s">
        <v>40</v>
      </c>
    </row>
    <row r="165" spans="1:20" x14ac:dyDescent="0.25">
      <c r="A165" s="23" t="s">
        <v>13122</v>
      </c>
      <c r="B165" s="23" t="s">
        <v>344</v>
      </c>
      <c r="C165" s="23" t="s">
        <v>13123</v>
      </c>
      <c r="D165" s="23" t="s">
        <v>13124</v>
      </c>
      <c r="E165" s="23" t="s">
        <v>13125</v>
      </c>
      <c r="F165" s="23" t="s">
        <v>40</v>
      </c>
      <c r="G165" s="23" t="s">
        <v>13126</v>
      </c>
      <c r="H165" s="23" t="s">
        <v>13127</v>
      </c>
      <c r="I165" s="23" t="s">
        <v>13128</v>
      </c>
      <c r="J165" s="23" t="s">
        <v>14</v>
      </c>
      <c r="K165" s="24" t="s">
        <v>386</v>
      </c>
      <c r="L165" s="23" t="s">
        <v>405</v>
      </c>
      <c r="M165" s="25" t="s">
        <v>18</v>
      </c>
      <c r="N165" s="23" t="s">
        <v>40</v>
      </c>
      <c r="O165" s="23" t="s">
        <v>387</v>
      </c>
      <c r="P165" s="23" t="s">
        <v>40</v>
      </c>
      <c r="Q165" s="23" t="s">
        <v>40</v>
      </c>
      <c r="R165" s="23" t="s">
        <v>345</v>
      </c>
      <c r="S165" s="23" t="s">
        <v>40</v>
      </c>
      <c r="T165" s="23" t="s">
        <v>40</v>
      </c>
    </row>
    <row r="166" spans="1:20" x14ac:dyDescent="0.25">
      <c r="A166" s="23" t="s">
        <v>13129</v>
      </c>
      <c r="B166" s="23" t="s">
        <v>344</v>
      </c>
      <c r="C166" s="23" t="s">
        <v>13130</v>
      </c>
      <c r="D166" s="23" t="s">
        <v>13131</v>
      </c>
      <c r="E166" s="23" t="s">
        <v>13132</v>
      </c>
      <c r="F166" s="23" t="s">
        <v>40</v>
      </c>
      <c r="G166" s="23" t="s">
        <v>13133</v>
      </c>
      <c r="H166" s="23" t="s">
        <v>13134</v>
      </c>
      <c r="I166" s="23" t="s">
        <v>13135</v>
      </c>
      <c r="J166" s="23" t="s">
        <v>801</v>
      </c>
      <c r="K166" s="26" t="s">
        <v>396</v>
      </c>
      <c r="L166" s="23" t="s">
        <v>13</v>
      </c>
      <c r="M166" s="25" t="s">
        <v>18</v>
      </c>
      <c r="N166" s="23" t="s">
        <v>40</v>
      </c>
      <c r="O166" s="23" t="s">
        <v>387</v>
      </c>
      <c r="P166" s="23" t="s">
        <v>40</v>
      </c>
      <c r="Q166" s="23" t="s">
        <v>40</v>
      </c>
      <c r="R166" s="23" t="s">
        <v>345</v>
      </c>
      <c r="S166" s="23" t="s">
        <v>40</v>
      </c>
      <c r="T166" s="23" t="s">
        <v>40</v>
      </c>
    </row>
    <row r="167" spans="1:20" x14ac:dyDescent="0.25">
      <c r="A167" s="23" t="s">
        <v>13136</v>
      </c>
      <c r="B167" s="23" t="s">
        <v>344</v>
      </c>
      <c r="C167" s="23" t="s">
        <v>10875</v>
      </c>
      <c r="D167" s="23" t="s">
        <v>13137</v>
      </c>
      <c r="E167" s="23" t="s">
        <v>647</v>
      </c>
      <c r="F167" s="23" t="s">
        <v>40</v>
      </c>
      <c r="G167" s="23" t="s">
        <v>13138</v>
      </c>
      <c r="H167" s="23" t="s">
        <v>13139</v>
      </c>
      <c r="I167" s="23" t="s">
        <v>13140</v>
      </c>
      <c r="J167" s="23" t="s">
        <v>14</v>
      </c>
      <c r="K167" s="27" t="s">
        <v>404</v>
      </c>
      <c r="L167" s="23" t="s">
        <v>490</v>
      </c>
      <c r="M167" s="25" t="s">
        <v>18</v>
      </c>
      <c r="N167" s="23" t="s">
        <v>40</v>
      </c>
      <c r="O167" s="23" t="s">
        <v>387</v>
      </c>
      <c r="P167" s="23" t="s">
        <v>40</v>
      </c>
      <c r="Q167" s="23" t="s">
        <v>40</v>
      </c>
      <c r="R167" s="23" t="s">
        <v>345</v>
      </c>
      <c r="S167" s="23" t="s">
        <v>40</v>
      </c>
      <c r="T167" s="23" t="s">
        <v>40</v>
      </c>
    </row>
    <row r="168" spans="1:20" x14ac:dyDescent="0.25">
      <c r="A168" s="23" t="s">
        <v>13141</v>
      </c>
      <c r="B168" s="23" t="s">
        <v>344</v>
      </c>
      <c r="C168" s="23" t="s">
        <v>12295</v>
      </c>
      <c r="D168" s="23" t="s">
        <v>13142</v>
      </c>
      <c r="E168" s="23" t="s">
        <v>647</v>
      </c>
      <c r="F168" s="23" t="s">
        <v>40</v>
      </c>
      <c r="G168" s="23" t="s">
        <v>13143</v>
      </c>
      <c r="H168" s="23" t="s">
        <v>13144</v>
      </c>
      <c r="I168" s="23" t="s">
        <v>13145</v>
      </c>
      <c r="J168" s="23" t="s">
        <v>395</v>
      </c>
      <c r="K168" s="26" t="s">
        <v>396</v>
      </c>
      <c r="L168" s="23" t="s">
        <v>13</v>
      </c>
      <c r="M168" s="25" t="s">
        <v>18</v>
      </c>
      <c r="N168" s="23" t="s">
        <v>40</v>
      </c>
      <c r="O168" s="23" t="s">
        <v>387</v>
      </c>
      <c r="P168" s="23" t="s">
        <v>40</v>
      </c>
      <c r="Q168" s="23" t="s">
        <v>40</v>
      </c>
      <c r="R168" s="23" t="s">
        <v>345</v>
      </c>
      <c r="S168" s="23" t="s">
        <v>40</v>
      </c>
      <c r="T168" s="23" t="s">
        <v>40</v>
      </c>
    </row>
    <row r="169" spans="1:20" x14ac:dyDescent="0.25">
      <c r="A169" s="23" t="s">
        <v>13146</v>
      </c>
      <c r="B169" s="23" t="s">
        <v>344</v>
      </c>
      <c r="C169" s="23" t="s">
        <v>2188</v>
      </c>
      <c r="D169" s="23" t="s">
        <v>13147</v>
      </c>
      <c r="E169" s="23" t="s">
        <v>13148</v>
      </c>
      <c r="F169" s="23" t="s">
        <v>40</v>
      </c>
      <c r="G169" s="23" t="s">
        <v>13149</v>
      </c>
      <c r="H169" s="23" t="s">
        <v>13150</v>
      </c>
      <c r="I169" s="23" t="s">
        <v>13151</v>
      </c>
      <c r="J169" s="23" t="s">
        <v>14</v>
      </c>
      <c r="K169" s="27" t="s">
        <v>404</v>
      </c>
      <c r="L169" s="23" t="s">
        <v>490</v>
      </c>
      <c r="M169" s="25" t="s">
        <v>18</v>
      </c>
      <c r="N169" s="23" t="s">
        <v>40</v>
      </c>
      <c r="O169" s="23" t="s">
        <v>387</v>
      </c>
      <c r="P169" s="23" t="s">
        <v>40</v>
      </c>
      <c r="Q169" s="23" t="s">
        <v>40</v>
      </c>
      <c r="R169" s="23" t="s">
        <v>345</v>
      </c>
      <c r="S169" s="23" t="s">
        <v>40</v>
      </c>
      <c r="T169" s="23" t="s">
        <v>40</v>
      </c>
    </row>
    <row r="170" spans="1:20" x14ac:dyDescent="0.25">
      <c r="A170" s="23" t="s">
        <v>13152</v>
      </c>
      <c r="B170" s="23" t="s">
        <v>346</v>
      </c>
      <c r="C170" s="23" t="s">
        <v>944</v>
      </c>
      <c r="D170" s="23" t="s">
        <v>13153</v>
      </c>
      <c r="E170" s="23" t="s">
        <v>647</v>
      </c>
      <c r="F170" s="23" t="s">
        <v>40</v>
      </c>
      <c r="G170" s="23" t="s">
        <v>13154</v>
      </c>
      <c r="H170" s="23" t="s">
        <v>13155</v>
      </c>
      <c r="I170" s="23" t="s">
        <v>13156</v>
      </c>
      <c r="J170" s="23" t="s">
        <v>385</v>
      </c>
      <c r="K170" s="24" t="s">
        <v>386</v>
      </c>
      <c r="L170" s="23" t="s">
        <v>13</v>
      </c>
      <c r="M170" s="31" t="s">
        <v>17</v>
      </c>
      <c r="N170" s="23" t="s">
        <v>13157</v>
      </c>
      <c r="O170" s="29" t="s">
        <v>87</v>
      </c>
      <c r="P170" s="23" t="s">
        <v>40</v>
      </c>
      <c r="Q170" s="23" t="s">
        <v>40</v>
      </c>
      <c r="R170" s="23" t="s">
        <v>347</v>
      </c>
      <c r="S170" s="23" t="s">
        <v>40</v>
      </c>
      <c r="T170" s="23" t="s">
        <v>40</v>
      </c>
    </row>
    <row r="171" spans="1:20" x14ac:dyDescent="0.25">
      <c r="A171" s="23" t="s">
        <v>13158</v>
      </c>
      <c r="B171" s="23" t="s">
        <v>346</v>
      </c>
      <c r="C171" s="23" t="s">
        <v>13159</v>
      </c>
      <c r="D171" s="23" t="s">
        <v>13160</v>
      </c>
      <c r="E171" s="23" t="s">
        <v>13161</v>
      </c>
      <c r="F171" s="23" t="s">
        <v>40</v>
      </c>
      <c r="G171" s="23" t="s">
        <v>13162</v>
      </c>
      <c r="H171" s="23" t="s">
        <v>13163</v>
      </c>
      <c r="I171" s="23" t="s">
        <v>13164</v>
      </c>
      <c r="J171" s="23" t="s">
        <v>801</v>
      </c>
      <c r="K171" s="26" t="s">
        <v>396</v>
      </c>
      <c r="L171" s="23" t="s">
        <v>13</v>
      </c>
      <c r="M171" s="28" t="s">
        <v>16</v>
      </c>
      <c r="N171" s="23" t="s">
        <v>13165</v>
      </c>
      <c r="O171" s="29" t="s">
        <v>87</v>
      </c>
      <c r="P171" s="23" t="s">
        <v>40</v>
      </c>
      <c r="Q171" s="23" t="s">
        <v>40</v>
      </c>
      <c r="R171" s="23" t="s">
        <v>347</v>
      </c>
      <c r="S171" s="23" t="s">
        <v>40</v>
      </c>
      <c r="T171" s="23" t="s">
        <v>13166</v>
      </c>
    </row>
    <row r="172" spans="1:20" x14ac:dyDescent="0.25">
      <c r="A172" s="23" t="s">
        <v>13167</v>
      </c>
      <c r="B172" s="23" t="s">
        <v>346</v>
      </c>
      <c r="C172" s="23" t="s">
        <v>13159</v>
      </c>
      <c r="D172" s="23" t="s">
        <v>13168</v>
      </c>
      <c r="E172" s="23" t="s">
        <v>13169</v>
      </c>
      <c r="F172" s="23" t="s">
        <v>40</v>
      </c>
      <c r="G172" s="23" t="s">
        <v>13170</v>
      </c>
      <c r="H172" s="23" t="s">
        <v>13171</v>
      </c>
      <c r="I172" s="23" t="s">
        <v>13172</v>
      </c>
      <c r="J172" s="23" t="s">
        <v>14</v>
      </c>
      <c r="K172" s="24" t="s">
        <v>386</v>
      </c>
      <c r="L172" s="23" t="s">
        <v>405</v>
      </c>
      <c r="M172" s="25" t="s">
        <v>18</v>
      </c>
      <c r="N172" s="23" t="s">
        <v>40</v>
      </c>
      <c r="O172" s="23" t="s">
        <v>387</v>
      </c>
      <c r="P172" s="23" t="s">
        <v>40</v>
      </c>
      <c r="Q172" s="23" t="s">
        <v>40</v>
      </c>
      <c r="R172" s="23" t="s">
        <v>347</v>
      </c>
      <c r="S172" s="23" t="s">
        <v>40</v>
      </c>
      <c r="T172" s="23" t="s">
        <v>13173</v>
      </c>
    </row>
    <row r="173" spans="1:20" x14ac:dyDescent="0.25">
      <c r="A173" s="23" t="s">
        <v>13174</v>
      </c>
      <c r="B173" s="23" t="s">
        <v>346</v>
      </c>
      <c r="C173" s="23" t="s">
        <v>13175</v>
      </c>
      <c r="D173" s="23" t="s">
        <v>13176</v>
      </c>
      <c r="E173" s="23" t="s">
        <v>13177</v>
      </c>
      <c r="F173" s="23" t="s">
        <v>40</v>
      </c>
      <c r="G173" s="23" t="s">
        <v>13178</v>
      </c>
      <c r="H173" s="23" t="s">
        <v>13179</v>
      </c>
      <c r="I173" s="23" t="s">
        <v>13180</v>
      </c>
      <c r="J173" s="23" t="s">
        <v>14</v>
      </c>
      <c r="K173" s="26" t="s">
        <v>396</v>
      </c>
      <c r="L173" s="23" t="s">
        <v>13</v>
      </c>
      <c r="M173" s="25" t="s">
        <v>18</v>
      </c>
      <c r="N173" s="23" t="s">
        <v>40</v>
      </c>
      <c r="O173" s="23" t="s">
        <v>387</v>
      </c>
      <c r="P173" s="23" t="s">
        <v>40</v>
      </c>
      <c r="Q173" s="23" t="s">
        <v>40</v>
      </c>
      <c r="R173" s="23" t="s">
        <v>347</v>
      </c>
      <c r="S173" s="23" t="s">
        <v>40</v>
      </c>
      <c r="T173" s="23" t="s">
        <v>13181</v>
      </c>
    </row>
    <row r="174" spans="1:20" x14ac:dyDescent="0.25">
      <c r="A174" s="23" t="s">
        <v>13182</v>
      </c>
      <c r="B174" s="23" t="s">
        <v>346</v>
      </c>
      <c r="C174" s="23" t="s">
        <v>13175</v>
      </c>
      <c r="D174" s="23" t="s">
        <v>13183</v>
      </c>
      <c r="E174" s="23" t="s">
        <v>13184</v>
      </c>
      <c r="F174" s="23" t="s">
        <v>40</v>
      </c>
      <c r="G174" s="23" t="s">
        <v>13185</v>
      </c>
      <c r="H174" s="23" t="s">
        <v>13186</v>
      </c>
      <c r="I174" s="23" t="s">
        <v>13187</v>
      </c>
      <c r="J174" s="23" t="s">
        <v>15</v>
      </c>
      <c r="K174" s="27" t="s">
        <v>404</v>
      </c>
      <c r="L174" s="23" t="s">
        <v>405</v>
      </c>
      <c r="M174" s="25" t="s">
        <v>18</v>
      </c>
      <c r="N174" s="23" t="s">
        <v>40</v>
      </c>
      <c r="O174" s="23" t="s">
        <v>387</v>
      </c>
      <c r="P174" s="23" t="s">
        <v>40</v>
      </c>
      <c r="Q174" s="23" t="s">
        <v>40</v>
      </c>
      <c r="R174" s="23" t="s">
        <v>347</v>
      </c>
      <c r="S174" s="23" t="s">
        <v>40</v>
      </c>
      <c r="T174" s="23" t="s">
        <v>13166</v>
      </c>
    </row>
    <row r="175" spans="1:20" x14ac:dyDescent="0.25">
      <c r="A175" s="23" t="s">
        <v>13188</v>
      </c>
      <c r="B175" s="23" t="s">
        <v>346</v>
      </c>
      <c r="C175" s="23" t="s">
        <v>13189</v>
      </c>
      <c r="D175" s="23" t="s">
        <v>13190</v>
      </c>
      <c r="E175" s="23" t="s">
        <v>13191</v>
      </c>
      <c r="F175" s="23" t="s">
        <v>40</v>
      </c>
      <c r="G175" s="23" t="s">
        <v>13192</v>
      </c>
      <c r="H175" s="23" t="s">
        <v>13193</v>
      </c>
      <c r="I175" s="23" t="s">
        <v>13194</v>
      </c>
      <c r="J175" s="23" t="s">
        <v>14</v>
      </c>
      <c r="K175" s="26" t="s">
        <v>396</v>
      </c>
      <c r="L175" s="23" t="s">
        <v>13</v>
      </c>
      <c r="M175" s="25" t="s">
        <v>18</v>
      </c>
      <c r="N175" s="23" t="s">
        <v>40</v>
      </c>
      <c r="O175" s="23" t="s">
        <v>387</v>
      </c>
      <c r="P175" s="23" t="s">
        <v>40</v>
      </c>
      <c r="Q175" s="23" t="s">
        <v>40</v>
      </c>
      <c r="R175" s="23" t="s">
        <v>347</v>
      </c>
      <c r="S175" s="23" t="s">
        <v>40</v>
      </c>
      <c r="T175" s="23" t="s">
        <v>13195</v>
      </c>
    </row>
    <row r="176" spans="1:20" x14ac:dyDescent="0.25">
      <c r="A176" s="23" t="s">
        <v>13196</v>
      </c>
      <c r="B176" s="23" t="s">
        <v>346</v>
      </c>
      <c r="C176" s="23" t="s">
        <v>13189</v>
      </c>
      <c r="D176" s="23" t="s">
        <v>13197</v>
      </c>
      <c r="E176" s="23" t="s">
        <v>647</v>
      </c>
      <c r="F176" s="23" t="s">
        <v>40</v>
      </c>
      <c r="G176" s="23" t="s">
        <v>13198</v>
      </c>
      <c r="H176" s="23" t="s">
        <v>13199</v>
      </c>
      <c r="I176" s="23" t="s">
        <v>13200</v>
      </c>
      <c r="J176" s="23" t="s">
        <v>15</v>
      </c>
      <c r="K176" s="27" t="s">
        <v>404</v>
      </c>
      <c r="L176" s="23" t="s">
        <v>405</v>
      </c>
      <c r="M176" s="25" t="s">
        <v>18</v>
      </c>
      <c r="N176" s="23" t="s">
        <v>40</v>
      </c>
      <c r="O176" s="23" t="s">
        <v>387</v>
      </c>
      <c r="P176" s="23" t="s">
        <v>40</v>
      </c>
      <c r="Q176" s="23" t="s">
        <v>40</v>
      </c>
      <c r="R176" s="23" t="s">
        <v>347</v>
      </c>
      <c r="S176" s="23" t="s">
        <v>40</v>
      </c>
      <c r="T176" s="23" t="s">
        <v>13166</v>
      </c>
    </row>
    <row r="177" spans="1:20" x14ac:dyDescent="0.25">
      <c r="A177" s="23" t="s">
        <v>13201</v>
      </c>
      <c r="B177" s="23" t="s">
        <v>346</v>
      </c>
      <c r="C177" s="23" t="s">
        <v>13189</v>
      </c>
      <c r="D177" s="23" t="s">
        <v>13202</v>
      </c>
      <c r="E177" s="23" t="s">
        <v>13203</v>
      </c>
      <c r="F177" s="23" t="s">
        <v>40</v>
      </c>
      <c r="G177" s="23" t="s">
        <v>13204</v>
      </c>
      <c r="H177" s="23" t="s">
        <v>13205</v>
      </c>
      <c r="I177" s="23" t="s">
        <v>13206</v>
      </c>
      <c r="J177" s="23" t="s">
        <v>15</v>
      </c>
      <c r="K177" s="27" t="s">
        <v>404</v>
      </c>
      <c r="L177" s="23" t="s">
        <v>490</v>
      </c>
      <c r="M177" s="25" t="s">
        <v>18</v>
      </c>
      <c r="N177" s="23" t="s">
        <v>40</v>
      </c>
      <c r="O177" s="23" t="s">
        <v>387</v>
      </c>
      <c r="P177" s="23" t="s">
        <v>40</v>
      </c>
      <c r="Q177" s="23" t="s">
        <v>40</v>
      </c>
      <c r="R177" s="23" t="s">
        <v>347</v>
      </c>
      <c r="S177" s="23" t="s">
        <v>40</v>
      </c>
      <c r="T177" s="23" t="s">
        <v>40</v>
      </c>
    </row>
    <row r="178" spans="1:20" x14ac:dyDescent="0.25">
      <c r="A178" s="23" t="s">
        <v>13207</v>
      </c>
      <c r="B178" s="23" t="s">
        <v>346</v>
      </c>
      <c r="C178" s="23" t="s">
        <v>12295</v>
      </c>
      <c r="D178" s="23" t="s">
        <v>13208</v>
      </c>
      <c r="E178" s="23" t="s">
        <v>647</v>
      </c>
      <c r="F178" s="23" t="s">
        <v>40</v>
      </c>
      <c r="G178" s="23" t="s">
        <v>13209</v>
      </c>
      <c r="H178" s="23" t="s">
        <v>13210</v>
      </c>
      <c r="I178" s="23" t="s">
        <v>1963</v>
      </c>
      <c r="J178" s="23" t="s">
        <v>395</v>
      </c>
      <c r="K178" s="26" t="s">
        <v>396</v>
      </c>
      <c r="L178" s="23" t="s">
        <v>13</v>
      </c>
      <c r="M178" s="25" t="s">
        <v>18</v>
      </c>
      <c r="N178" s="23" t="s">
        <v>40</v>
      </c>
      <c r="O178" s="23" t="s">
        <v>387</v>
      </c>
      <c r="P178" s="23" t="s">
        <v>40</v>
      </c>
      <c r="Q178" s="23" t="s">
        <v>40</v>
      </c>
      <c r="R178" s="23" t="s">
        <v>347</v>
      </c>
      <c r="S178" s="23" t="s">
        <v>40</v>
      </c>
      <c r="T178" s="23" t="s">
        <v>40</v>
      </c>
    </row>
    <row r="179" spans="1:20" x14ac:dyDescent="0.25">
      <c r="A179" s="23" t="s">
        <v>13211</v>
      </c>
      <c r="B179" s="23" t="s">
        <v>346</v>
      </c>
      <c r="C179" s="23" t="s">
        <v>13212</v>
      </c>
      <c r="D179" s="23" t="s">
        <v>13213</v>
      </c>
      <c r="E179" s="23" t="s">
        <v>13214</v>
      </c>
      <c r="F179" s="23" t="s">
        <v>40</v>
      </c>
      <c r="G179" s="23" t="s">
        <v>13215</v>
      </c>
      <c r="H179" s="23" t="s">
        <v>13216</v>
      </c>
      <c r="I179" s="23" t="s">
        <v>13217</v>
      </c>
      <c r="J179" s="23" t="s">
        <v>15</v>
      </c>
      <c r="K179" s="27" t="s">
        <v>404</v>
      </c>
      <c r="L179" s="23" t="s">
        <v>490</v>
      </c>
      <c r="M179" s="25" t="s">
        <v>18</v>
      </c>
      <c r="N179" s="23" t="s">
        <v>40</v>
      </c>
      <c r="O179" s="23" t="s">
        <v>387</v>
      </c>
      <c r="P179" s="23" t="s">
        <v>40</v>
      </c>
      <c r="Q179" s="23" t="s">
        <v>40</v>
      </c>
      <c r="R179" s="23" t="s">
        <v>347</v>
      </c>
      <c r="S179" s="23" t="s">
        <v>13218</v>
      </c>
      <c r="T179" s="23" t="s">
        <v>13219</v>
      </c>
    </row>
    <row r="180" spans="1:20" x14ac:dyDescent="0.25">
      <c r="A180" s="23" t="s">
        <v>13220</v>
      </c>
      <c r="B180" s="23" t="s">
        <v>348</v>
      </c>
      <c r="C180" s="23" t="s">
        <v>944</v>
      </c>
      <c r="D180" s="23" t="s">
        <v>13221</v>
      </c>
      <c r="E180" s="23" t="s">
        <v>647</v>
      </c>
      <c r="F180" s="23" t="s">
        <v>40</v>
      </c>
      <c r="G180" s="23" t="s">
        <v>13222</v>
      </c>
      <c r="H180" s="23" t="s">
        <v>13223</v>
      </c>
      <c r="I180" s="23" t="s">
        <v>13224</v>
      </c>
      <c r="J180" s="23" t="s">
        <v>385</v>
      </c>
      <c r="K180" s="24" t="s">
        <v>386</v>
      </c>
      <c r="L180" s="23" t="s">
        <v>13</v>
      </c>
      <c r="M180" s="31" t="s">
        <v>17</v>
      </c>
      <c r="N180" s="23" t="s">
        <v>13225</v>
      </c>
      <c r="O180" s="29" t="s">
        <v>87</v>
      </c>
      <c r="P180" s="23" t="s">
        <v>40</v>
      </c>
      <c r="Q180" s="23" t="s">
        <v>40</v>
      </c>
      <c r="R180" s="23" t="s">
        <v>349</v>
      </c>
      <c r="S180" s="23" t="s">
        <v>40</v>
      </c>
      <c r="T180" s="23" t="s">
        <v>40</v>
      </c>
    </row>
    <row r="181" spans="1:20" x14ac:dyDescent="0.25">
      <c r="A181" s="23" t="s">
        <v>13226</v>
      </c>
      <c r="B181" s="23" t="s">
        <v>348</v>
      </c>
      <c r="C181" s="23" t="s">
        <v>258</v>
      </c>
      <c r="D181" s="23" t="s">
        <v>13227</v>
      </c>
      <c r="E181" s="23" t="s">
        <v>13228</v>
      </c>
      <c r="F181" s="23" t="s">
        <v>40</v>
      </c>
      <c r="G181" s="23" t="s">
        <v>13229</v>
      </c>
      <c r="H181" s="23" t="s">
        <v>13230</v>
      </c>
      <c r="I181" s="23" t="s">
        <v>13231</v>
      </c>
      <c r="J181" s="23" t="s">
        <v>14</v>
      </c>
      <c r="K181" s="26" t="s">
        <v>396</v>
      </c>
      <c r="L181" s="23" t="s">
        <v>13</v>
      </c>
      <c r="M181" s="25" t="s">
        <v>18</v>
      </c>
      <c r="N181" s="23" t="s">
        <v>40</v>
      </c>
      <c r="O181" s="23" t="s">
        <v>387</v>
      </c>
      <c r="P181" s="23" t="s">
        <v>40</v>
      </c>
      <c r="Q181" s="23" t="s">
        <v>40</v>
      </c>
      <c r="R181" s="23" t="s">
        <v>349</v>
      </c>
      <c r="S181" s="23" t="s">
        <v>1710</v>
      </c>
      <c r="T181" s="23" t="s">
        <v>40</v>
      </c>
    </row>
    <row r="182" spans="1:20" x14ac:dyDescent="0.25">
      <c r="A182" s="23" t="s">
        <v>13232</v>
      </c>
      <c r="B182" s="23" t="s">
        <v>348</v>
      </c>
      <c r="C182" s="23" t="s">
        <v>258</v>
      </c>
      <c r="D182" s="23" t="s">
        <v>13233</v>
      </c>
      <c r="E182" s="23" t="s">
        <v>13234</v>
      </c>
      <c r="F182" s="23" t="s">
        <v>40</v>
      </c>
      <c r="G182" s="23" t="s">
        <v>13235</v>
      </c>
      <c r="H182" s="23" t="s">
        <v>13236</v>
      </c>
      <c r="I182" s="23" t="s">
        <v>13237</v>
      </c>
      <c r="J182" s="23" t="s">
        <v>14</v>
      </c>
      <c r="K182" s="26" t="s">
        <v>396</v>
      </c>
      <c r="L182" s="23" t="s">
        <v>13</v>
      </c>
      <c r="M182" s="25" t="s">
        <v>18</v>
      </c>
      <c r="N182" s="23" t="s">
        <v>40</v>
      </c>
      <c r="O182" s="23" t="s">
        <v>387</v>
      </c>
      <c r="P182" s="23" t="s">
        <v>40</v>
      </c>
      <c r="Q182" s="23" t="s">
        <v>40</v>
      </c>
      <c r="R182" s="23" t="s">
        <v>349</v>
      </c>
      <c r="S182" s="23" t="s">
        <v>1710</v>
      </c>
      <c r="T182" s="23" t="s">
        <v>40</v>
      </c>
    </row>
    <row r="183" spans="1:20" x14ac:dyDescent="0.25">
      <c r="A183" s="23" t="s">
        <v>13238</v>
      </c>
      <c r="B183" s="23" t="s">
        <v>348</v>
      </c>
      <c r="C183" s="23" t="s">
        <v>258</v>
      </c>
      <c r="D183" s="23" t="s">
        <v>13239</v>
      </c>
      <c r="E183" s="23" t="s">
        <v>13240</v>
      </c>
      <c r="F183" s="23" t="s">
        <v>40</v>
      </c>
      <c r="G183" s="23" t="s">
        <v>13241</v>
      </c>
      <c r="H183" s="23" t="s">
        <v>13242</v>
      </c>
      <c r="I183" s="23" t="s">
        <v>13243</v>
      </c>
      <c r="J183" s="23" t="s">
        <v>15</v>
      </c>
      <c r="K183" s="24" t="s">
        <v>386</v>
      </c>
      <c r="L183" s="23" t="s">
        <v>13</v>
      </c>
      <c r="M183" s="25" t="s">
        <v>18</v>
      </c>
      <c r="N183" s="23" t="s">
        <v>40</v>
      </c>
      <c r="O183" s="23" t="s">
        <v>387</v>
      </c>
      <c r="P183" s="23" t="s">
        <v>40</v>
      </c>
      <c r="Q183" s="23" t="s">
        <v>40</v>
      </c>
      <c r="R183" s="23" t="s">
        <v>349</v>
      </c>
      <c r="S183" s="23" t="s">
        <v>1710</v>
      </c>
      <c r="T183" s="23" t="s">
        <v>40</v>
      </c>
    </row>
    <row r="184" spans="1:20" x14ac:dyDescent="0.25">
      <c r="A184" s="23" t="s">
        <v>13244</v>
      </c>
      <c r="B184" s="23" t="s">
        <v>348</v>
      </c>
      <c r="C184" s="23" t="s">
        <v>258</v>
      </c>
      <c r="D184" s="23" t="s">
        <v>13245</v>
      </c>
      <c r="E184" s="23" t="s">
        <v>13246</v>
      </c>
      <c r="F184" s="23" t="s">
        <v>40</v>
      </c>
      <c r="G184" s="23" t="s">
        <v>13247</v>
      </c>
      <c r="H184" s="23" t="s">
        <v>13248</v>
      </c>
      <c r="I184" s="23" t="s">
        <v>13249</v>
      </c>
      <c r="J184" s="23" t="s">
        <v>801</v>
      </c>
      <c r="K184" s="26" t="s">
        <v>396</v>
      </c>
      <c r="L184" s="23" t="s">
        <v>13</v>
      </c>
      <c r="M184" s="25" t="s">
        <v>18</v>
      </c>
      <c r="N184" s="23" t="s">
        <v>40</v>
      </c>
      <c r="O184" s="23" t="s">
        <v>387</v>
      </c>
      <c r="P184" s="23" t="s">
        <v>40</v>
      </c>
      <c r="Q184" s="23" t="s">
        <v>40</v>
      </c>
      <c r="R184" s="23" t="s">
        <v>349</v>
      </c>
      <c r="S184" s="23" t="s">
        <v>1710</v>
      </c>
      <c r="T184" s="23" t="s">
        <v>40</v>
      </c>
    </row>
    <row r="185" spans="1:20" x14ac:dyDescent="0.25">
      <c r="A185" s="23" t="s">
        <v>13250</v>
      </c>
      <c r="B185" s="23" t="s">
        <v>348</v>
      </c>
      <c r="C185" s="23" t="s">
        <v>258</v>
      </c>
      <c r="D185" s="23" t="s">
        <v>13251</v>
      </c>
      <c r="E185" s="23" t="s">
        <v>13252</v>
      </c>
      <c r="F185" s="23" t="s">
        <v>40</v>
      </c>
      <c r="G185" s="23" t="s">
        <v>13253</v>
      </c>
      <c r="H185" s="23" t="s">
        <v>13254</v>
      </c>
      <c r="I185" s="23" t="s">
        <v>13255</v>
      </c>
      <c r="J185" s="23" t="s">
        <v>801</v>
      </c>
      <c r="K185" s="24" t="s">
        <v>386</v>
      </c>
      <c r="L185" s="23" t="s">
        <v>405</v>
      </c>
      <c r="M185" s="25" t="s">
        <v>18</v>
      </c>
      <c r="N185" s="23" t="s">
        <v>40</v>
      </c>
      <c r="O185" s="23" t="s">
        <v>387</v>
      </c>
      <c r="P185" s="23" t="s">
        <v>40</v>
      </c>
      <c r="Q185" s="23" t="s">
        <v>40</v>
      </c>
      <c r="R185" s="23" t="s">
        <v>349</v>
      </c>
      <c r="S185" s="23" t="s">
        <v>1710</v>
      </c>
      <c r="T185" s="23" t="s">
        <v>13256</v>
      </c>
    </row>
    <row r="186" spans="1:20" x14ac:dyDescent="0.25">
      <c r="A186" s="23" t="s">
        <v>13257</v>
      </c>
      <c r="B186" s="23" t="s">
        <v>348</v>
      </c>
      <c r="C186" s="23" t="s">
        <v>12295</v>
      </c>
      <c r="D186" s="23" t="s">
        <v>13258</v>
      </c>
      <c r="E186" s="23" t="s">
        <v>647</v>
      </c>
      <c r="F186" s="23" t="s">
        <v>40</v>
      </c>
      <c r="G186" s="23" t="s">
        <v>13259</v>
      </c>
      <c r="H186" s="23" t="s">
        <v>13260</v>
      </c>
      <c r="I186" s="23" t="s">
        <v>13261</v>
      </c>
      <c r="J186" s="23" t="s">
        <v>395</v>
      </c>
      <c r="K186" s="26" t="s">
        <v>396</v>
      </c>
      <c r="L186" s="23" t="s">
        <v>13</v>
      </c>
      <c r="M186" s="25" t="s">
        <v>18</v>
      </c>
      <c r="N186" s="23" t="s">
        <v>40</v>
      </c>
      <c r="O186" s="23" t="s">
        <v>387</v>
      </c>
      <c r="P186" s="23" t="s">
        <v>40</v>
      </c>
      <c r="Q186" s="23" t="s">
        <v>40</v>
      </c>
      <c r="R186" s="23" t="s">
        <v>349</v>
      </c>
      <c r="S186" s="23" t="s">
        <v>1710</v>
      </c>
      <c r="T186" s="23" t="s">
        <v>40</v>
      </c>
    </row>
    <row r="187" spans="1:20" x14ac:dyDescent="0.25">
      <c r="A187" s="23" t="s">
        <v>13262</v>
      </c>
      <c r="B187" s="23" t="s">
        <v>348</v>
      </c>
      <c r="C187" s="23" t="s">
        <v>258</v>
      </c>
      <c r="D187" s="23" t="s">
        <v>13263</v>
      </c>
      <c r="E187" s="23" t="s">
        <v>13264</v>
      </c>
      <c r="F187" s="23" t="s">
        <v>40</v>
      </c>
      <c r="G187" s="23" t="s">
        <v>13241</v>
      </c>
      <c r="H187" s="23" t="s">
        <v>13265</v>
      </c>
      <c r="I187" s="23" t="s">
        <v>13266</v>
      </c>
      <c r="J187" s="23" t="s">
        <v>489</v>
      </c>
      <c r="K187" s="27" t="s">
        <v>404</v>
      </c>
      <c r="L187" s="23" t="s">
        <v>490</v>
      </c>
      <c r="M187" s="25" t="s">
        <v>18</v>
      </c>
      <c r="N187" s="23" t="s">
        <v>40</v>
      </c>
      <c r="O187" s="23" t="s">
        <v>387</v>
      </c>
      <c r="P187" s="23" t="s">
        <v>40</v>
      </c>
      <c r="Q187" s="23" t="s">
        <v>40</v>
      </c>
      <c r="R187" s="23" t="s">
        <v>349</v>
      </c>
      <c r="S187" s="23" t="s">
        <v>1710</v>
      </c>
      <c r="T187" s="23" t="s">
        <v>40</v>
      </c>
    </row>
    <row r="188" spans="1:20" x14ac:dyDescent="0.25">
      <c r="A188" s="23" t="s">
        <v>13267</v>
      </c>
      <c r="B188" s="23" t="s">
        <v>350</v>
      </c>
      <c r="C188" s="23" t="s">
        <v>944</v>
      </c>
      <c r="D188" s="23" t="s">
        <v>13268</v>
      </c>
      <c r="E188" s="23" t="s">
        <v>647</v>
      </c>
      <c r="F188" s="23" t="s">
        <v>40</v>
      </c>
      <c r="G188" s="23" t="s">
        <v>13269</v>
      </c>
      <c r="H188" s="23" t="s">
        <v>13270</v>
      </c>
      <c r="I188" s="23" t="s">
        <v>13271</v>
      </c>
      <c r="J188" s="23" t="s">
        <v>385</v>
      </c>
      <c r="K188" s="24" t="s">
        <v>386</v>
      </c>
      <c r="L188" s="23" t="s">
        <v>13</v>
      </c>
      <c r="M188" s="31" t="s">
        <v>17</v>
      </c>
      <c r="N188" s="23" t="s">
        <v>13272</v>
      </c>
      <c r="O188" s="29" t="s">
        <v>87</v>
      </c>
      <c r="P188" s="23" t="s">
        <v>40</v>
      </c>
      <c r="Q188" s="23" t="s">
        <v>40</v>
      </c>
      <c r="R188" s="23" t="s">
        <v>351</v>
      </c>
      <c r="S188" s="23" t="s">
        <v>40</v>
      </c>
      <c r="T188" s="23" t="s">
        <v>40</v>
      </c>
    </row>
    <row r="189" spans="1:20" x14ac:dyDescent="0.25">
      <c r="A189" s="23" t="s">
        <v>13273</v>
      </c>
      <c r="B189" s="23" t="s">
        <v>350</v>
      </c>
      <c r="C189" s="23" t="s">
        <v>13274</v>
      </c>
      <c r="D189" s="23" t="s">
        <v>13275</v>
      </c>
      <c r="E189" s="23" t="s">
        <v>647</v>
      </c>
      <c r="F189" s="23" t="s">
        <v>13276</v>
      </c>
      <c r="G189" s="23" t="s">
        <v>13277</v>
      </c>
      <c r="H189" s="23" t="s">
        <v>13278</v>
      </c>
      <c r="I189" s="23" t="s">
        <v>13279</v>
      </c>
      <c r="J189" s="23" t="s">
        <v>14</v>
      </c>
      <c r="K189" s="26" t="s">
        <v>396</v>
      </c>
      <c r="L189" s="23" t="s">
        <v>13</v>
      </c>
      <c r="M189" s="25" t="s">
        <v>18</v>
      </c>
      <c r="N189" s="23" t="s">
        <v>40</v>
      </c>
      <c r="O189" s="23" t="s">
        <v>387</v>
      </c>
      <c r="P189" s="23" t="s">
        <v>40</v>
      </c>
      <c r="Q189" s="23" t="s">
        <v>40</v>
      </c>
      <c r="R189" s="23" t="s">
        <v>351</v>
      </c>
      <c r="S189" s="23" t="s">
        <v>1710</v>
      </c>
      <c r="T189" s="23" t="s">
        <v>40</v>
      </c>
    </row>
    <row r="190" spans="1:20" x14ac:dyDescent="0.25">
      <c r="A190" s="23" t="s">
        <v>13280</v>
      </c>
      <c r="B190" s="23" t="s">
        <v>350</v>
      </c>
      <c r="C190" s="23" t="s">
        <v>13274</v>
      </c>
      <c r="D190" s="23" t="s">
        <v>13281</v>
      </c>
      <c r="E190" s="23" t="s">
        <v>647</v>
      </c>
      <c r="F190" s="23" t="s">
        <v>13282</v>
      </c>
      <c r="G190" s="23" t="s">
        <v>13283</v>
      </c>
      <c r="H190" s="23" t="s">
        <v>13284</v>
      </c>
      <c r="I190" s="23" t="s">
        <v>13285</v>
      </c>
      <c r="J190" s="23" t="s">
        <v>14</v>
      </c>
      <c r="K190" s="26" t="s">
        <v>396</v>
      </c>
      <c r="L190" s="23" t="s">
        <v>13</v>
      </c>
      <c r="M190" s="25" t="s">
        <v>18</v>
      </c>
      <c r="N190" s="23" t="s">
        <v>40</v>
      </c>
      <c r="O190" s="23" t="s">
        <v>387</v>
      </c>
      <c r="P190" s="23" t="s">
        <v>40</v>
      </c>
      <c r="Q190" s="23" t="s">
        <v>40</v>
      </c>
      <c r="R190" s="23" t="s">
        <v>351</v>
      </c>
      <c r="S190" s="23" t="s">
        <v>1710</v>
      </c>
      <c r="T190" s="23" t="s">
        <v>40</v>
      </c>
    </row>
    <row r="191" spans="1:20" x14ac:dyDescent="0.25">
      <c r="A191" s="23" t="s">
        <v>13286</v>
      </c>
      <c r="B191" s="23" t="s">
        <v>350</v>
      </c>
      <c r="C191" s="23" t="s">
        <v>13274</v>
      </c>
      <c r="D191" s="23" t="s">
        <v>13287</v>
      </c>
      <c r="E191" s="23" t="s">
        <v>647</v>
      </c>
      <c r="F191" s="23" t="s">
        <v>13288</v>
      </c>
      <c r="G191" s="23" t="s">
        <v>13289</v>
      </c>
      <c r="H191" s="23" t="s">
        <v>13290</v>
      </c>
      <c r="I191" s="23" t="s">
        <v>10693</v>
      </c>
      <c r="J191" s="23" t="s">
        <v>489</v>
      </c>
      <c r="K191" s="27" t="s">
        <v>404</v>
      </c>
      <c r="L191" s="23" t="s">
        <v>405</v>
      </c>
      <c r="M191" s="25" t="s">
        <v>18</v>
      </c>
      <c r="N191" s="23" t="s">
        <v>40</v>
      </c>
      <c r="O191" s="23" t="s">
        <v>387</v>
      </c>
      <c r="P191" s="23" t="s">
        <v>40</v>
      </c>
      <c r="Q191" s="23" t="s">
        <v>40</v>
      </c>
      <c r="R191" s="23" t="s">
        <v>351</v>
      </c>
      <c r="S191" s="23" t="s">
        <v>1710</v>
      </c>
      <c r="T191" s="23" t="s">
        <v>40</v>
      </c>
    </row>
    <row r="192" spans="1:20" x14ac:dyDescent="0.25">
      <c r="A192" s="23" t="s">
        <v>13291</v>
      </c>
      <c r="B192" s="23" t="s">
        <v>350</v>
      </c>
      <c r="C192" s="23" t="s">
        <v>13274</v>
      </c>
      <c r="D192" s="23" t="s">
        <v>13292</v>
      </c>
      <c r="E192" s="23" t="s">
        <v>647</v>
      </c>
      <c r="F192" s="23" t="s">
        <v>13293</v>
      </c>
      <c r="G192" s="23" t="s">
        <v>13294</v>
      </c>
      <c r="H192" s="23" t="s">
        <v>13295</v>
      </c>
      <c r="I192" s="23" t="s">
        <v>3788</v>
      </c>
      <c r="J192" s="23" t="s">
        <v>466</v>
      </c>
      <c r="K192" s="27" t="s">
        <v>404</v>
      </c>
      <c r="L192" s="23" t="s">
        <v>405</v>
      </c>
      <c r="M192" s="25" t="s">
        <v>18</v>
      </c>
      <c r="N192" s="23" t="s">
        <v>40</v>
      </c>
      <c r="O192" s="23" t="s">
        <v>387</v>
      </c>
      <c r="P192" s="23" t="s">
        <v>40</v>
      </c>
      <c r="Q192" s="23" t="s">
        <v>40</v>
      </c>
      <c r="R192" s="23" t="s">
        <v>351</v>
      </c>
      <c r="S192" s="23" t="s">
        <v>1710</v>
      </c>
      <c r="T192" s="23" t="s">
        <v>40</v>
      </c>
    </row>
    <row r="193" spans="1:20" x14ac:dyDescent="0.25">
      <c r="A193" s="23" t="s">
        <v>13296</v>
      </c>
      <c r="B193" s="23" t="s">
        <v>350</v>
      </c>
      <c r="C193" s="23" t="s">
        <v>13274</v>
      </c>
      <c r="D193" s="23" t="s">
        <v>13297</v>
      </c>
      <c r="E193" s="23" t="s">
        <v>647</v>
      </c>
      <c r="F193" s="23" t="s">
        <v>13298</v>
      </c>
      <c r="G193" s="23" t="s">
        <v>13299</v>
      </c>
      <c r="H193" s="23" t="s">
        <v>13300</v>
      </c>
      <c r="I193" s="23" t="s">
        <v>13301</v>
      </c>
      <c r="J193" s="23" t="s">
        <v>14</v>
      </c>
      <c r="K193" s="27" t="s">
        <v>404</v>
      </c>
      <c r="L193" s="23" t="s">
        <v>490</v>
      </c>
      <c r="M193" s="25" t="s">
        <v>18</v>
      </c>
      <c r="N193" s="23" t="s">
        <v>40</v>
      </c>
      <c r="O193" s="23" t="s">
        <v>387</v>
      </c>
      <c r="P193" s="23" t="s">
        <v>40</v>
      </c>
      <c r="Q193" s="23" t="s">
        <v>40</v>
      </c>
      <c r="R193" s="23" t="s">
        <v>351</v>
      </c>
      <c r="S193" s="23" t="s">
        <v>1710</v>
      </c>
      <c r="T193" s="23" t="s">
        <v>40</v>
      </c>
    </row>
    <row r="194" spans="1:20" x14ac:dyDescent="0.25">
      <c r="A194" s="23" t="s">
        <v>13302</v>
      </c>
      <c r="B194" s="23" t="s">
        <v>350</v>
      </c>
      <c r="C194" s="23" t="s">
        <v>13274</v>
      </c>
      <c r="D194" s="23" t="s">
        <v>13303</v>
      </c>
      <c r="E194" s="23" t="s">
        <v>13304</v>
      </c>
      <c r="F194" s="23" t="s">
        <v>40</v>
      </c>
      <c r="G194" s="23" t="s">
        <v>13305</v>
      </c>
      <c r="H194" s="23" t="s">
        <v>13306</v>
      </c>
      <c r="I194" s="23" t="s">
        <v>13307</v>
      </c>
      <c r="J194" s="23" t="s">
        <v>15</v>
      </c>
      <c r="K194" s="27" t="s">
        <v>404</v>
      </c>
      <c r="L194" s="23" t="s">
        <v>405</v>
      </c>
      <c r="M194" s="25" t="s">
        <v>18</v>
      </c>
      <c r="N194" s="23" t="s">
        <v>40</v>
      </c>
      <c r="O194" s="23" t="s">
        <v>387</v>
      </c>
      <c r="P194" s="23" t="s">
        <v>40</v>
      </c>
      <c r="Q194" s="23" t="s">
        <v>40</v>
      </c>
      <c r="R194" s="23" t="s">
        <v>351</v>
      </c>
      <c r="S194" s="23" t="s">
        <v>1710</v>
      </c>
      <c r="T194" s="23" t="s">
        <v>40</v>
      </c>
    </row>
    <row r="195" spans="1:20" x14ac:dyDescent="0.25">
      <c r="A195" s="23" t="s">
        <v>13308</v>
      </c>
      <c r="B195" s="23" t="s">
        <v>276</v>
      </c>
      <c r="C195" s="23" t="s">
        <v>944</v>
      </c>
      <c r="D195" s="23" t="s">
        <v>10760</v>
      </c>
      <c r="E195" s="23" t="s">
        <v>647</v>
      </c>
      <c r="F195" s="23" t="s">
        <v>40</v>
      </c>
      <c r="G195" s="23" t="s">
        <v>13309</v>
      </c>
      <c r="H195" s="23" t="s">
        <v>13310</v>
      </c>
      <c r="I195" s="23" t="s">
        <v>13311</v>
      </c>
      <c r="J195" s="23" t="s">
        <v>385</v>
      </c>
      <c r="K195" s="24" t="s">
        <v>386</v>
      </c>
      <c r="L195" s="23" t="s">
        <v>13</v>
      </c>
      <c r="M195" s="31" t="s">
        <v>17</v>
      </c>
      <c r="N195" s="23" t="s">
        <v>13312</v>
      </c>
      <c r="O195" s="29" t="s">
        <v>87</v>
      </c>
      <c r="P195" s="23" t="s">
        <v>40</v>
      </c>
      <c r="Q195" s="23" t="s">
        <v>40</v>
      </c>
      <c r="R195" s="23" t="s">
        <v>352</v>
      </c>
      <c r="S195" s="23" t="s">
        <v>40</v>
      </c>
      <c r="T195" s="23" t="s">
        <v>40</v>
      </c>
    </row>
    <row r="196" spans="1:20" x14ac:dyDescent="0.25">
      <c r="A196" s="23" t="s">
        <v>13313</v>
      </c>
      <c r="B196" s="23" t="s">
        <v>276</v>
      </c>
      <c r="C196" s="23" t="s">
        <v>13314</v>
      </c>
      <c r="D196" s="23" t="s">
        <v>13315</v>
      </c>
      <c r="E196" s="23" t="s">
        <v>10768</v>
      </c>
      <c r="F196" s="23" t="s">
        <v>13316</v>
      </c>
      <c r="G196" s="23" t="s">
        <v>13317</v>
      </c>
      <c r="H196" s="23" t="s">
        <v>13318</v>
      </c>
      <c r="I196" s="23" t="s">
        <v>13319</v>
      </c>
      <c r="J196" s="23" t="s">
        <v>14</v>
      </c>
      <c r="K196" s="26" t="s">
        <v>396</v>
      </c>
      <c r="L196" s="23" t="s">
        <v>13</v>
      </c>
      <c r="M196" s="25" t="s">
        <v>18</v>
      </c>
      <c r="N196" s="23" t="s">
        <v>40</v>
      </c>
      <c r="O196" s="23" t="s">
        <v>387</v>
      </c>
      <c r="P196" s="23" t="s">
        <v>40</v>
      </c>
      <c r="Q196" s="23" t="s">
        <v>40</v>
      </c>
      <c r="R196" s="23" t="s">
        <v>352</v>
      </c>
      <c r="S196" s="23" t="s">
        <v>1710</v>
      </c>
      <c r="T196" s="23" t="s">
        <v>40</v>
      </c>
    </row>
    <row r="197" spans="1:20" x14ac:dyDescent="0.25">
      <c r="A197" s="23" t="s">
        <v>13320</v>
      </c>
      <c r="B197" s="23" t="s">
        <v>276</v>
      </c>
      <c r="C197" s="23" t="s">
        <v>13314</v>
      </c>
      <c r="D197" s="23" t="s">
        <v>13321</v>
      </c>
      <c r="E197" s="23" t="s">
        <v>13322</v>
      </c>
      <c r="F197" s="23" t="s">
        <v>40</v>
      </c>
      <c r="G197" s="23" t="s">
        <v>13323</v>
      </c>
      <c r="H197" s="23" t="s">
        <v>13324</v>
      </c>
      <c r="I197" s="23" t="s">
        <v>13325</v>
      </c>
      <c r="J197" s="23" t="s">
        <v>14</v>
      </c>
      <c r="K197" s="27" t="s">
        <v>404</v>
      </c>
      <c r="L197" s="23" t="s">
        <v>490</v>
      </c>
      <c r="M197" s="25" t="s">
        <v>18</v>
      </c>
      <c r="N197" s="23" t="s">
        <v>40</v>
      </c>
      <c r="O197" s="23" t="s">
        <v>387</v>
      </c>
      <c r="P197" s="23" t="s">
        <v>40</v>
      </c>
      <c r="Q197" s="23" t="s">
        <v>40</v>
      </c>
      <c r="R197" s="23" t="s">
        <v>352</v>
      </c>
      <c r="S197" s="23" t="s">
        <v>1710</v>
      </c>
      <c r="T197" s="23" t="s">
        <v>40</v>
      </c>
    </row>
    <row r="198" spans="1:20" x14ac:dyDescent="0.25">
      <c r="A198" s="23" t="s">
        <v>13326</v>
      </c>
      <c r="B198" s="23" t="s">
        <v>276</v>
      </c>
      <c r="C198" s="23" t="s">
        <v>13314</v>
      </c>
      <c r="D198" s="23" t="s">
        <v>13327</v>
      </c>
      <c r="E198" s="23" t="s">
        <v>647</v>
      </c>
      <c r="F198" s="23" t="s">
        <v>40</v>
      </c>
      <c r="G198" s="23" t="s">
        <v>13328</v>
      </c>
      <c r="H198" s="23" t="s">
        <v>13329</v>
      </c>
      <c r="I198" s="23" t="s">
        <v>8821</v>
      </c>
      <c r="J198" s="23" t="s">
        <v>466</v>
      </c>
      <c r="K198" s="27" t="s">
        <v>404</v>
      </c>
      <c r="L198" s="23" t="s">
        <v>405</v>
      </c>
      <c r="M198" s="25" t="s">
        <v>18</v>
      </c>
      <c r="N198" s="23" t="s">
        <v>40</v>
      </c>
      <c r="O198" s="23" t="s">
        <v>387</v>
      </c>
      <c r="P198" s="23" t="s">
        <v>40</v>
      </c>
      <c r="Q198" s="23" t="s">
        <v>40</v>
      </c>
      <c r="R198" s="23" t="s">
        <v>352</v>
      </c>
      <c r="S198" s="23" t="s">
        <v>1710</v>
      </c>
      <c r="T198" s="23" t="s">
        <v>40</v>
      </c>
    </row>
    <row r="199" spans="1:20" x14ac:dyDescent="0.25">
      <c r="A199" s="23" t="s">
        <v>13330</v>
      </c>
      <c r="B199" s="23" t="s">
        <v>276</v>
      </c>
      <c r="C199" s="23" t="s">
        <v>13314</v>
      </c>
      <c r="D199" s="23" t="s">
        <v>13331</v>
      </c>
      <c r="E199" s="23" t="s">
        <v>647</v>
      </c>
      <c r="F199" s="23" t="s">
        <v>13332</v>
      </c>
      <c r="G199" s="23" t="s">
        <v>13333</v>
      </c>
      <c r="H199" s="23" t="s">
        <v>13334</v>
      </c>
      <c r="I199" s="23" t="s">
        <v>13335</v>
      </c>
      <c r="J199" s="23" t="s">
        <v>466</v>
      </c>
      <c r="K199" s="27" t="s">
        <v>404</v>
      </c>
      <c r="L199" s="23" t="s">
        <v>405</v>
      </c>
      <c r="M199" s="25" t="s">
        <v>18</v>
      </c>
      <c r="N199" s="23" t="s">
        <v>40</v>
      </c>
      <c r="O199" s="23" t="s">
        <v>387</v>
      </c>
      <c r="P199" s="23" t="s">
        <v>40</v>
      </c>
      <c r="Q199" s="23" t="s">
        <v>40</v>
      </c>
      <c r="R199" s="23" t="s">
        <v>352</v>
      </c>
      <c r="S199" s="23" t="s">
        <v>1710</v>
      </c>
      <c r="T199" s="23" t="s">
        <v>40</v>
      </c>
    </row>
    <row r="200" spans="1:20" x14ac:dyDescent="0.25">
      <c r="A200" s="23" t="s">
        <v>13336</v>
      </c>
      <c r="B200" s="23" t="s">
        <v>276</v>
      </c>
      <c r="C200" s="23" t="s">
        <v>13314</v>
      </c>
      <c r="D200" s="23" t="s">
        <v>13337</v>
      </c>
      <c r="E200" s="23" t="s">
        <v>647</v>
      </c>
      <c r="F200" s="23" t="s">
        <v>40</v>
      </c>
      <c r="G200" s="23" t="s">
        <v>13338</v>
      </c>
      <c r="H200" s="23" t="s">
        <v>13339</v>
      </c>
      <c r="I200" s="23" t="s">
        <v>13340</v>
      </c>
      <c r="J200" s="23" t="s">
        <v>489</v>
      </c>
      <c r="K200" s="27" t="s">
        <v>404</v>
      </c>
      <c r="L200" s="23" t="s">
        <v>490</v>
      </c>
      <c r="M200" s="25" t="s">
        <v>18</v>
      </c>
      <c r="N200" s="23" t="s">
        <v>40</v>
      </c>
      <c r="O200" s="23" t="s">
        <v>387</v>
      </c>
      <c r="P200" s="23" t="s">
        <v>40</v>
      </c>
      <c r="Q200" s="23" t="s">
        <v>40</v>
      </c>
      <c r="R200" s="23" t="s">
        <v>352</v>
      </c>
      <c r="S200" s="23" t="s">
        <v>1710</v>
      </c>
      <c r="T200" s="23" t="s">
        <v>40</v>
      </c>
    </row>
    <row r="201" spans="1:20" x14ac:dyDescent="0.25">
      <c r="A201" s="23" t="s">
        <v>13341</v>
      </c>
      <c r="B201" s="23" t="s">
        <v>353</v>
      </c>
      <c r="C201" s="23" t="s">
        <v>944</v>
      </c>
      <c r="D201" s="23" t="s">
        <v>13342</v>
      </c>
      <c r="E201" s="23" t="s">
        <v>647</v>
      </c>
      <c r="F201" s="23" t="s">
        <v>40</v>
      </c>
      <c r="G201" s="23" t="s">
        <v>13343</v>
      </c>
      <c r="H201" s="23" t="s">
        <v>13344</v>
      </c>
      <c r="I201" s="23" t="s">
        <v>13345</v>
      </c>
      <c r="J201" s="23" t="s">
        <v>385</v>
      </c>
      <c r="K201" s="24" t="s">
        <v>386</v>
      </c>
      <c r="L201" s="23" t="s">
        <v>13</v>
      </c>
      <c r="M201" s="31" t="s">
        <v>17</v>
      </c>
      <c r="N201" s="23" t="s">
        <v>13346</v>
      </c>
      <c r="O201" s="29" t="s">
        <v>87</v>
      </c>
      <c r="P201" s="23" t="s">
        <v>40</v>
      </c>
      <c r="Q201" s="23" t="s">
        <v>40</v>
      </c>
      <c r="R201" s="23" t="s">
        <v>354</v>
      </c>
      <c r="S201" s="23" t="s">
        <v>40</v>
      </c>
      <c r="T201" s="23" t="s">
        <v>40</v>
      </c>
    </row>
    <row r="202" spans="1:20" x14ac:dyDescent="0.25">
      <c r="A202" s="23" t="s">
        <v>13347</v>
      </c>
      <c r="B202" s="23" t="s">
        <v>353</v>
      </c>
      <c r="C202" s="23" t="s">
        <v>353</v>
      </c>
      <c r="D202" s="23" t="s">
        <v>13348</v>
      </c>
      <c r="E202" s="23" t="s">
        <v>13349</v>
      </c>
      <c r="F202" s="23" t="s">
        <v>40</v>
      </c>
      <c r="G202" s="23" t="s">
        <v>13350</v>
      </c>
      <c r="H202" s="23" t="s">
        <v>13351</v>
      </c>
      <c r="I202" s="23" t="s">
        <v>13352</v>
      </c>
      <c r="J202" s="23" t="s">
        <v>14</v>
      </c>
      <c r="K202" s="26" t="s">
        <v>396</v>
      </c>
      <c r="L202" s="23" t="s">
        <v>13</v>
      </c>
      <c r="M202" s="25" t="s">
        <v>18</v>
      </c>
      <c r="N202" s="23" t="s">
        <v>40</v>
      </c>
      <c r="O202" s="23" t="s">
        <v>387</v>
      </c>
      <c r="P202" s="23" t="s">
        <v>40</v>
      </c>
      <c r="Q202" s="23" t="s">
        <v>40</v>
      </c>
      <c r="R202" s="23" t="s">
        <v>354</v>
      </c>
      <c r="S202" s="23" t="s">
        <v>40</v>
      </c>
      <c r="T202" s="23" t="s">
        <v>40</v>
      </c>
    </row>
    <row r="203" spans="1:20" x14ac:dyDescent="0.25">
      <c r="A203" s="23" t="s">
        <v>13353</v>
      </c>
      <c r="B203" s="23" t="s">
        <v>353</v>
      </c>
      <c r="C203" s="23" t="s">
        <v>353</v>
      </c>
      <c r="D203" s="23" t="s">
        <v>13354</v>
      </c>
      <c r="E203" s="23" t="s">
        <v>13355</v>
      </c>
      <c r="F203" s="23" t="s">
        <v>40</v>
      </c>
      <c r="G203" s="23" t="s">
        <v>13356</v>
      </c>
      <c r="H203" s="23" t="s">
        <v>13357</v>
      </c>
      <c r="I203" s="23" t="s">
        <v>13358</v>
      </c>
      <c r="J203" s="23" t="s">
        <v>14</v>
      </c>
      <c r="K203" s="24" t="s">
        <v>386</v>
      </c>
      <c r="L203" s="23" t="s">
        <v>405</v>
      </c>
      <c r="M203" s="25" t="s">
        <v>18</v>
      </c>
      <c r="N203" s="23" t="s">
        <v>40</v>
      </c>
      <c r="O203" s="23" t="s">
        <v>387</v>
      </c>
      <c r="P203" s="23" t="s">
        <v>40</v>
      </c>
      <c r="Q203" s="23" t="s">
        <v>40</v>
      </c>
      <c r="R203" s="23" t="s">
        <v>354</v>
      </c>
      <c r="S203" s="23" t="s">
        <v>40</v>
      </c>
      <c r="T203" s="23" t="s">
        <v>40</v>
      </c>
    </row>
    <row r="204" spans="1:20" x14ac:dyDescent="0.25">
      <c r="A204" s="23" t="s">
        <v>13359</v>
      </c>
      <c r="B204" s="23" t="s">
        <v>353</v>
      </c>
      <c r="C204" s="23" t="s">
        <v>353</v>
      </c>
      <c r="D204" s="23" t="s">
        <v>13360</v>
      </c>
      <c r="E204" s="23" t="s">
        <v>13361</v>
      </c>
      <c r="F204" s="23" t="s">
        <v>40</v>
      </c>
      <c r="G204" s="23" t="s">
        <v>13356</v>
      </c>
      <c r="H204" s="23" t="s">
        <v>13362</v>
      </c>
      <c r="I204" s="23" t="s">
        <v>13363</v>
      </c>
      <c r="J204" s="23" t="s">
        <v>14</v>
      </c>
      <c r="K204" s="27" t="s">
        <v>404</v>
      </c>
      <c r="L204" s="23" t="s">
        <v>490</v>
      </c>
      <c r="M204" s="25" t="s">
        <v>18</v>
      </c>
      <c r="N204" s="23" t="s">
        <v>40</v>
      </c>
      <c r="O204" s="23" t="s">
        <v>387</v>
      </c>
      <c r="P204" s="23" t="s">
        <v>40</v>
      </c>
      <c r="Q204" s="23" t="s">
        <v>40</v>
      </c>
      <c r="R204" s="23" t="s">
        <v>354</v>
      </c>
      <c r="S204" s="23" t="s">
        <v>40</v>
      </c>
      <c r="T204" s="23" t="s">
        <v>40</v>
      </c>
    </row>
    <row r="205" spans="1:20" x14ac:dyDescent="0.25">
      <c r="A205" s="23" t="s">
        <v>13364</v>
      </c>
      <c r="B205" s="23" t="s">
        <v>353</v>
      </c>
      <c r="C205" s="23" t="s">
        <v>353</v>
      </c>
      <c r="D205" s="23" t="s">
        <v>13365</v>
      </c>
      <c r="E205" s="23" t="s">
        <v>835</v>
      </c>
      <c r="F205" s="23" t="s">
        <v>40</v>
      </c>
      <c r="G205" s="23" t="s">
        <v>13366</v>
      </c>
      <c r="H205" s="23" t="s">
        <v>13367</v>
      </c>
      <c r="I205" s="23" t="s">
        <v>13368</v>
      </c>
      <c r="J205" s="23" t="s">
        <v>525</v>
      </c>
      <c r="K205" s="27" t="s">
        <v>404</v>
      </c>
      <c r="L205" s="23" t="s">
        <v>490</v>
      </c>
      <c r="M205" s="25" t="s">
        <v>18</v>
      </c>
      <c r="N205" s="23" t="s">
        <v>40</v>
      </c>
      <c r="O205" s="23" t="s">
        <v>387</v>
      </c>
      <c r="P205" s="23" t="s">
        <v>40</v>
      </c>
      <c r="Q205" s="23" t="s">
        <v>40</v>
      </c>
      <c r="R205" s="23" t="s">
        <v>354</v>
      </c>
      <c r="S205" s="23" t="s">
        <v>40</v>
      </c>
      <c r="T205" s="23" t="s">
        <v>40</v>
      </c>
    </row>
    <row r="206" spans="1:20" x14ac:dyDescent="0.25">
      <c r="A206" s="23" t="s">
        <v>13369</v>
      </c>
      <c r="B206" s="23" t="s">
        <v>315</v>
      </c>
      <c r="C206" s="23" t="s">
        <v>12295</v>
      </c>
      <c r="D206" s="23" t="s">
        <v>13370</v>
      </c>
      <c r="E206" s="23" t="s">
        <v>647</v>
      </c>
      <c r="F206" s="23" t="s">
        <v>40</v>
      </c>
      <c r="G206" s="23" t="s">
        <v>13371</v>
      </c>
      <c r="H206" s="23" t="s">
        <v>13372</v>
      </c>
      <c r="I206" s="23" t="s">
        <v>13373</v>
      </c>
      <c r="J206" s="23" t="s">
        <v>395</v>
      </c>
      <c r="K206" s="26" t="s">
        <v>396</v>
      </c>
      <c r="L206" s="23" t="s">
        <v>13</v>
      </c>
      <c r="M206" s="25" t="s">
        <v>18</v>
      </c>
      <c r="N206" s="23" t="s">
        <v>40</v>
      </c>
      <c r="O206" s="23" t="s">
        <v>387</v>
      </c>
      <c r="P206" s="23" t="s">
        <v>40</v>
      </c>
      <c r="Q206" s="23" t="s">
        <v>40</v>
      </c>
      <c r="R206" s="23" t="s">
        <v>316</v>
      </c>
      <c r="S206" s="23" t="s">
        <v>40</v>
      </c>
      <c r="T206" s="23" t="s">
        <v>13374</v>
      </c>
    </row>
    <row r="207" spans="1:20" x14ac:dyDescent="0.25">
      <c r="A207" s="23" t="s">
        <v>13375</v>
      </c>
      <c r="B207" s="23" t="s">
        <v>315</v>
      </c>
      <c r="C207" s="23" t="s">
        <v>12295</v>
      </c>
      <c r="D207" s="23" t="s">
        <v>13376</v>
      </c>
      <c r="E207" s="23" t="s">
        <v>647</v>
      </c>
      <c r="F207" s="23" t="s">
        <v>40</v>
      </c>
      <c r="G207" s="23" t="s">
        <v>13377</v>
      </c>
      <c r="H207" s="23" t="s">
        <v>13378</v>
      </c>
      <c r="I207" s="23" t="s">
        <v>13379</v>
      </c>
      <c r="J207" s="23" t="s">
        <v>395</v>
      </c>
      <c r="K207" s="26" t="s">
        <v>396</v>
      </c>
      <c r="L207" s="23" t="s">
        <v>13</v>
      </c>
      <c r="M207" s="25" t="s">
        <v>18</v>
      </c>
      <c r="N207" s="23" t="s">
        <v>40</v>
      </c>
      <c r="O207" s="23" t="s">
        <v>387</v>
      </c>
      <c r="P207" s="23" t="s">
        <v>40</v>
      </c>
      <c r="Q207" s="23" t="s">
        <v>40</v>
      </c>
      <c r="R207" s="23" t="s">
        <v>316</v>
      </c>
      <c r="S207" s="23" t="s">
        <v>40</v>
      </c>
      <c r="T207" s="23" t="s">
        <v>13380</v>
      </c>
    </row>
    <row r="208" spans="1:20" x14ac:dyDescent="0.25">
      <c r="A208" s="23" t="s">
        <v>13381</v>
      </c>
      <c r="B208" s="23" t="s">
        <v>315</v>
      </c>
      <c r="C208" s="23" t="s">
        <v>12295</v>
      </c>
      <c r="D208" s="23" t="s">
        <v>13382</v>
      </c>
      <c r="E208" s="23" t="s">
        <v>835</v>
      </c>
      <c r="F208" s="23" t="s">
        <v>40</v>
      </c>
      <c r="G208" s="23" t="s">
        <v>13383</v>
      </c>
      <c r="H208" s="23" t="s">
        <v>13384</v>
      </c>
      <c r="I208" s="23" t="s">
        <v>13385</v>
      </c>
      <c r="J208" s="23" t="s">
        <v>525</v>
      </c>
      <c r="K208" s="24" t="s">
        <v>386</v>
      </c>
      <c r="L208" s="23" t="s">
        <v>13</v>
      </c>
      <c r="M208" s="25" t="s">
        <v>18</v>
      </c>
      <c r="N208" s="23" t="s">
        <v>40</v>
      </c>
      <c r="O208" s="23" t="s">
        <v>387</v>
      </c>
      <c r="P208" s="23" t="s">
        <v>40</v>
      </c>
      <c r="Q208" s="23" t="s">
        <v>40</v>
      </c>
      <c r="R208" s="23" t="s">
        <v>316</v>
      </c>
      <c r="S208" s="23" t="s">
        <v>40</v>
      </c>
      <c r="T208" s="23" t="s">
        <v>40</v>
      </c>
    </row>
    <row r="209" spans="1:20" x14ac:dyDescent="0.25">
      <c r="A209" s="23" t="s">
        <v>13386</v>
      </c>
      <c r="B209" s="23" t="s">
        <v>315</v>
      </c>
      <c r="C209" s="23" t="s">
        <v>378</v>
      </c>
      <c r="D209" s="23" t="s">
        <v>13387</v>
      </c>
      <c r="E209" s="23" t="s">
        <v>13388</v>
      </c>
      <c r="F209" s="23" t="s">
        <v>13389</v>
      </c>
      <c r="G209" s="23" t="s">
        <v>13390</v>
      </c>
      <c r="H209" s="23" t="s">
        <v>13391</v>
      </c>
      <c r="I209" s="23" t="s">
        <v>13392</v>
      </c>
      <c r="J209" s="23" t="s">
        <v>14</v>
      </c>
      <c r="K209" s="26" t="s">
        <v>396</v>
      </c>
      <c r="L209" s="23" t="s">
        <v>13</v>
      </c>
      <c r="M209" s="28" t="s">
        <v>16</v>
      </c>
      <c r="N209" s="23" t="s">
        <v>13393</v>
      </c>
      <c r="O209" s="29" t="s">
        <v>87</v>
      </c>
      <c r="P209" s="23" t="s">
        <v>40</v>
      </c>
      <c r="Q209" s="23" t="s">
        <v>40</v>
      </c>
      <c r="R209" s="23" t="s">
        <v>316</v>
      </c>
      <c r="S209" s="23" t="s">
        <v>40</v>
      </c>
      <c r="T209" s="23" t="s">
        <v>13394</v>
      </c>
    </row>
    <row r="210" spans="1:20" x14ac:dyDescent="0.25">
      <c r="A210" s="23" t="s">
        <v>13395</v>
      </c>
      <c r="B210" s="23" t="s">
        <v>315</v>
      </c>
      <c r="C210" s="23" t="s">
        <v>378</v>
      </c>
      <c r="D210" s="23" t="s">
        <v>520</v>
      </c>
      <c r="E210" s="23" t="s">
        <v>13396</v>
      </c>
      <c r="F210" s="23" t="s">
        <v>40</v>
      </c>
      <c r="G210" s="23" t="s">
        <v>13397</v>
      </c>
      <c r="H210" s="23" t="s">
        <v>13398</v>
      </c>
      <c r="I210" s="23" t="s">
        <v>13399</v>
      </c>
      <c r="J210" s="23" t="s">
        <v>15</v>
      </c>
      <c r="K210" s="24" t="s">
        <v>386</v>
      </c>
      <c r="L210" s="23" t="s">
        <v>13</v>
      </c>
      <c r="M210" s="25" t="s">
        <v>18</v>
      </c>
      <c r="N210" s="23" t="s">
        <v>40</v>
      </c>
      <c r="O210" s="23" t="s">
        <v>387</v>
      </c>
      <c r="P210" s="23" t="s">
        <v>40</v>
      </c>
      <c r="Q210" s="23" t="s">
        <v>40</v>
      </c>
      <c r="R210" s="23" t="s">
        <v>316</v>
      </c>
      <c r="S210" s="23" t="s">
        <v>40</v>
      </c>
      <c r="T210" s="23" t="s">
        <v>40</v>
      </c>
    </row>
  </sheetData>
  <autoFilter ref="A1:T210"/>
  <dataValidations count="2">
    <dataValidation type="list" allowBlank="1" sqref="O10:O210">
      <formula1>"Passed,Failed,Blocked,Not Executed,Passed (19 Oct 2026)"</formula1>
    </dataValidation>
    <dataValidation type="list" allowBlank="1" sqref="O2:O210">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13400</v>
      </c>
      <c r="B2" s="23" t="s">
        <v>355</v>
      </c>
      <c r="C2" s="23" t="s">
        <v>944</v>
      </c>
      <c r="D2" s="23" t="s">
        <v>13401</v>
      </c>
      <c r="E2" s="23" t="s">
        <v>3835</v>
      </c>
      <c r="F2" s="23" t="s">
        <v>40</v>
      </c>
      <c r="G2" s="23" t="s">
        <v>13402</v>
      </c>
      <c r="H2" s="23" t="s">
        <v>13403</v>
      </c>
      <c r="I2" s="23" t="s">
        <v>13404</v>
      </c>
      <c r="J2" s="23" t="s">
        <v>385</v>
      </c>
      <c r="K2" s="24" t="s">
        <v>386</v>
      </c>
      <c r="L2" s="23" t="s">
        <v>13</v>
      </c>
      <c r="M2" s="31" t="s">
        <v>17</v>
      </c>
      <c r="N2" s="23" t="s">
        <v>13405</v>
      </c>
      <c r="O2" s="29" t="s">
        <v>87</v>
      </c>
      <c r="P2" s="23" t="s">
        <v>40</v>
      </c>
      <c r="Q2" s="23" t="s">
        <v>40</v>
      </c>
      <c r="R2" s="23" t="s">
        <v>356</v>
      </c>
      <c r="S2" s="23" t="s">
        <v>40</v>
      </c>
      <c r="T2" s="23" t="s">
        <v>40</v>
      </c>
    </row>
    <row r="3" spans="1:20" x14ac:dyDescent="0.25">
      <c r="A3" s="23" t="s">
        <v>13406</v>
      </c>
      <c r="B3" s="23" t="s">
        <v>355</v>
      </c>
      <c r="C3" s="23" t="s">
        <v>13407</v>
      </c>
      <c r="D3" s="23" t="s">
        <v>13408</v>
      </c>
      <c r="E3" s="23" t="s">
        <v>3835</v>
      </c>
      <c r="F3" s="23" t="s">
        <v>13409</v>
      </c>
      <c r="G3" s="23" t="s">
        <v>13410</v>
      </c>
      <c r="H3" s="23" t="s">
        <v>13411</v>
      </c>
      <c r="I3" s="23" t="s">
        <v>13412</v>
      </c>
      <c r="J3" s="23" t="s">
        <v>14</v>
      </c>
      <c r="K3" s="26" t="s">
        <v>396</v>
      </c>
      <c r="L3" s="23" t="s">
        <v>13</v>
      </c>
      <c r="M3" s="28" t="s">
        <v>16</v>
      </c>
      <c r="N3" s="23" t="s">
        <v>13413</v>
      </c>
      <c r="O3" s="29" t="s">
        <v>87</v>
      </c>
      <c r="P3" s="23" t="s">
        <v>40</v>
      </c>
      <c r="Q3" s="23" t="s">
        <v>40</v>
      </c>
      <c r="R3" s="23" t="s">
        <v>356</v>
      </c>
      <c r="S3" s="23" t="s">
        <v>13414</v>
      </c>
      <c r="T3" s="23" t="s">
        <v>40</v>
      </c>
    </row>
    <row r="4" spans="1:20" x14ac:dyDescent="0.25">
      <c r="A4" s="23" t="s">
        <v>13415</v>
      </c>
      <c r="B4" s="23" t="s">
        <v>355</v>
      </c>
      <c r="C4" s="23" t="s">
        <v>13407</v>
      </c>
      <c r="D4" s="23" t="s">
        <v>13416</v>
      </c>
      <c r="E4" s="23" t="s">
        <v>3835</v>
      </c>
      <c r="F4" s="23" t="s">
        <v>40</v>
      </c>
      <c r="G4" s="23" t="s">
        <v>13417</v>
      </c>
      <c r="H4" s="23" t="s">
        <v>13418</v>
      </c>
      <c r="I4" s="23" t="s">
        <v>13419</v>
      </c>
      <c r="J4" s="23" t="s">
        <v>385</v>
      </c>
      <c r="K4" s="27" t="s">
        <v>404</v>
      </c>
      <c r="L4" s="23" t="s">
        <v>405</v>
      </c>
      <c r="M4" s="25" t="s">
        <v>18</v>
      </c>
      <c r="N4" s="23" t="s">
        <v>40</v>
      </c>
      <c r="O4" s="23" t="s">
        <v>387</v>
      </c>
      <c r="P4" s="23" t="s">
        <v>40</v>
      </c>
      <c r="Q4" s="23" t="s">
        <v>40</v>
      </c>
      <c r="R4" s="23" t="s">
        <v>13420</v>
      </c>
      <c r="S4" s="23" t="s">
        <v>40</v>
      </c>
      <c r="T4" s="23" t="s">
        <v>40</v>
      </c>
    </row>
    <row r="5" spans="1:20" x14ac:dyDescent="0.25">
      <c r="A5" s="23" t="s">
        <v>13421</v>
      </c>
      <c r="B5" s="23" t="s">
        <v>355</v>
      </c>
      <c r="C5" s="23" t="s">
        <v>13407</v>
      </c>
      <c r="D5" s="23" t="s">
        <v>13422</v>
      </c>
      <c r="E5" s="23" t="s">
        <v>3835</v>
      </c>
      <c r="F5" s="23" t="s">
        <v>40</v>
      </c>
      <c r="G5" s="23" t="s">
        <v>13423</v>
      </c>
      <c r="H5" s="23" t="s">
        <v>13424</v>
      </c>
      <c r="I5" s="23" t="s">
        <v>13425</v>
      </c>
      <c r="J5" s="23" t="s">
        <v>385</v>
      </c>
      <c r="K5" s="27" t="s">
        <v>404</v>
      </c>
      <c r="L5" s="23" t="s">
        <v>405</v>
      </c>
      <c r="M5" s="25" t="s">
        <v>18</v>
      </c>
      <c r="N5" s="23" t="s">
        <v>40</v>
      </c>
      <c r="O5" s="23" t="s">
        <v>387</v>
      </c>
      <c r="P5" s="23" t="s">
        <v>40</v>
      </c>
      <c r="Q5" s="23" t="s">
        <v>40</v>
      </c>
      <c r="R5" s="23" t="s">
        <v>13420</v>
      </c>
      <c r="S5" s="23" t="s">
        <v>40</v>
      </c>
      <c r="T5" s="23" t="s">
        <v>40</v>
      </c>
    </row>
    <row r="6" spans="1:20" x14ac:dyDescent="0.25">
      <c r="A6" s="23" t="s">
        <v>13426</v>
      </c>
      <c r="B6" s="23" t="s">
        <v>355</v>
      </c>
      <c r="C6" s="23" t="s">
        <v>13407</v>
      </c>
      <c r="D6" s="23" t="s">
        <v>13427</v>
      </c>
      <c r="E6" s="23" t="s">
        <v>3835</v>
      </c>
      <c r="F6" s="23" t="s">
        <v>40</v>
      </c>
      <c r="G6" s="23" t="s">
        <v>13428</v>
      </c>
      <c r="H6" s="23" t="s">
        <v>13429</v>
      </c>
      <c r="I6" s="23" t="s">
        <v>13430</v>
      </c>
      <c r="J6" s="23" t="s">
        <v>14</v>
      </c>
      <c r="K6" s="24" t="s">
        <v>386</v>
      </c>
      <c r="L6" s="23" t="s">
        <v>405</v>
      </c>
      <c r="M6" s="25" t="s">
        <v>18</v>
      </c>
      <c r="N6" s="23" t="s">
        <v>40</v>
      </c>
      <c r="O6" s="23" t="s">
        <v>387</v>
      </c>
      <c r="P6" s="23" t="s">
        <v>40</v>
      </c>
      <c r="Q6" s="23" t="s">
        <v>40</v>
      </c>
      <c r="R6" s="23" t="s">
        <v>13420</v>
      </c>
      <c r="S6" s="23" t="s">
        <v>40</v>
      </c>
      <c r="T6" s="23" t="s">
        <v>40</v>
      </c>
    </row>
    <row r="7" spans="1:20" x14ac:dyDescent="0.25">
      <c r="A7" s="23" t="s">
        <v>13431</v>
      </c>
      <c r="B7" s="23" t="s">
        <v>355</v>
      </c>
      <c r="C7" s="23" t="s">
        <v>13407</v>
      </c>
      <c r="D7" s="23" t="s">
        <v>13432</v>
      </c>
      <c r="E7" s="23" t="s">
        <v>3835</v>
      </c>
      <c r="F7" s="23" t="s">
        <v>40</v>
      </c>
      <c r="G7" s="23" t="s">
        <v>13433</v>
      </c>
      <c r="H7" s="23" t="s">
        <v>13434</v>
      </c>
      <c r="I7" s="23" t="s">
        <v>13435</v>
      </c>
      <c r="J7" s="23" t="s">
        <v>385</v>
      </c>
      <c r="K7" s="32" t="s">
        <v>747</v>
      </c>
      <c r="L7" s="23" t="s">
        <v>490</v>
      </c>
      <c r="M7" s="25" t="s">
        <v>18</v>
      </c>
      <c r="N7" s="23" t="s">
        <v>40</v>
      </c>
      <c r="O7" s="23" t="s">
        <v>387</v>
      </c>
      <c r="P7" s="23" t="s">
        <v>40</v>
      </c>
      <c r="Q7" s="23" t="s">
        <v>40</v>
      </c>
      <c r="R7" s="23" t="s">
        <v>13420</v>
      </c>
      <c r="S7" s="23" t="s">
        <v>40</v>
      </c>
      <c r="T7" s="23" t="s">
        <v>40</v>
      </c>
    </row>
    <row r="8" spans="1:20" x14ac:dyDescent="0.25">
      <c r="A8" s="23" t="s">
        <v>13436</v>
      </c>
      <c r="B8" s="23" t="s">
        <v>355</v>
      </c>
      <c r="C8" s="23" t="s">
        <v>13407</v>
      </c>
      <c r="D8" s="23" t="s">
        <v>13437</v>
      </c>
      <c r="E8" s="23" t="s">
        <v>13438</v>
      </c>
      <c r="F8" s="23" t="s">
        <v>13439</v>
      </c>
      <c r="G8" s="23" t="s">
        <v>13440</v>
      </c>
      <c r="H8" s="23" t="s">
        <v>13441</v>
      </c>
      <c r="I8" s="23" t="s">
        <v>13442</v>
      </c>
      <c r="J8" s="23" t="s">
        <v>14</v>
      </c>
      <c r="K8" s="26" t="s">
        <v>396</v>
      </c>
      <c r="L8" s="23" t="s">
        <v>13</v>
      </c>
      <c r="M8" s="25" t="s">
        <v>18</v>
      </c>
      <c r="N8" s="23" t="s">
        <v>40</v>
      </c>
      <c r="O8" s="23" t="s">
        <v>387</v>
      </c>
      <c r="P8" s="23" t="s">
        <v>40</v>
      </c>
      <c r="Q8" s="23" t="s">
        <v>40</v>
      </c>
      <c r="R8" s="23" t="s">
        <v>356</v>
      </c>
      <c r="S8" s="23" t="s">
        <v>40</v>
      </c>
      <c r="T8" s="23" t="s">
        <v>40</v>
      </c>
    </row>
    <row r="9" spans="1:20" x14ac:dyDescent="0.25">
      <c r="A9" s="23" t="s">
        <v>13443</v>
      </c>
      <c r="B9" s="23" t="s">
        <v>355</v>
      </c>
      <c r="C9" s="23" t="s">
        <v>466</v>
      </c>
      <c r="D9" s="23" t="s">
        <v>13444</v>
      </c>
      <c r="E9" s="23" t="s">
        <v>3835</v>
      </c>
      <c r="F9" s="23" t="s">
        <v>40</v>
      </c>
      <c r="G9" s="23" t="s">
        <v>13445</v>
      </c>
      <c r="H9" s="23" t="s">
        <v>13446</v>
      </c>
      <c r="I9" s="23" t="s">
        <v>13447</v>
      </c>
      <c r="J9" s="23" t="s">
        <v>466</v>
      </c>
      <c r="K9" s="24" t="s">
        <v>386</v>
      </c>
      <c r="L9" s="23" t="s">
        <v>13</v>
      </c>
      <c r="M9" s="25" t="s">
        <v>18</v>
      </c>
      <c r="N9" s="23" t="s">
        <v>40</v>
      </c>
      <c r="O9" s="23" t="s">
        <v>387</v>
      </c>
      <c r="P9" s="23" t="s">
        <v>40</v>
      </c>
      <c r="Q9" s="23" t="s">
        <v>40</v>
      </c>
      <c r="R9" s="23" t="s">
        <v>13420</v>
      </c>
      <c r="S9" s="23" t="s">
        <v>40</v>
      </c>
      <c r="T9" s="23" t="s">
        <v>40</v>
      </c>
    </row>
    <row r="10" spans="1:20" x14ac:dyDescent="0.25">
      <c r="A10" s="23" t="s">
        <v>13448</v>
      </c>
      <c r="B10" s="23" t="s">
        <v>355</v>
      </c>
      <c r="C10" s="23" t="s">
        <v>466</v>
      </c>
      <c r="D10" s="23" t="s">
        <v>13449</v>
      </c>
      <c r="E10" s="23" t="s">
        <v>3835</v>
      </c>
      <c r="F10" s="23" t="s">
        <v>40</v>
      </c>
      <c r="G10" s="23" t="s">
        <v>13450</v>
      </c>
      <c r="H10" s="23" t="s">
        <v>13451</v>
      </c>
      <c r="I10" s="23" t="s">
        <v>13452</v>
      </c>
      <c r="J10" s="23" t="s">
        <v>466</v>
      </c>
      <c r="K10" s="24" t="s">
        <v>386</v>
      </c>
      <c r="L10" s="23" t="s">
        <v>13</v>
      </c>
      <c r="M10" s="25" t="s">
        <v>18</v>
      </c>
      <c r="N10" s="23" t="s">
        <v>40</v>
      </c>
      <c r="O10" s="23" t="s">
        <v>387</v>
      </c>
      <c r="P10" s="23" t="s">
        <v>40</v>
      </c>
      <c r="Q10" s="23" t="s">
        <v>40</v>
      </c>
      <c r="R10" s="23" t="s">
        <v>13420</v>
      </c>
      <c r="S10" s="23" t="s">
        <v>40</v>
      </c>
      <c r="T10" s="23" t="s">
        <v>40</v>
      </c>
    </row>
    <row r="11" spans="1:20" x14ac:dyDescent="0.25">
      <c r="A11" s="23" t="s">
        <v>13453</v>
      </c>
      <c r="B11" s="23" t="s">
        <v>355</v>
      </c>
      <c r="C11" s="23" t="s">
        <v>466</v>
      </c>
      <c r="D11" s="23" t="s">
        <v>13454</v>
      </c>
      <c r="E11" s="23" t="s">
        <v>3835</v>
      </c>
      <c r="F11" s="23" t="s">
        <v>40</v>
      </c>
      <c r="G11" s="23" t="s">
        <v>13455</v>
      </c>
      <c r="H11" s="23" t="s">
        <v>13456</v>
      </c>
      <c r="I11" s="23" t="s">
        <v>13457</v>
      </c>
      <c r="J11" s="23" t="s">
        <v>466</v>
      </c>
      <c r="K11" s="24" t="s">
        <v>386</v>
      </c>
      <c r="L11" s="23" t="s">
        <v>13</v>
      </c>
      <c r="M11" s="25" t="s">
        <v>18</v>
      </c>
      <c r="N11" s="23" t="s">
        <v>40</v>
      </c>
      <c r="O11" s="23" t="s">
        <v>387</v>
      </c>
      <c r="P11" s="23" t="s">
        <v>40</v>
      </c>
      <c r="Q11" s="23" t="s">
        <v>40</v>
      </c>
      <c r="R11" s="23" t="s">
        <v>13420</v>
      </c>
      <c r="S11" s="23" t="s">
        <v>40</v>
      </c>
      <c r="T11" s="23" t="s">
        <v>40</v>
      </c>
    </row>
    <row r="12" spans="1:20" x14ac:dyDescent="0.25">
      <c r="A12" s="23" t="s">
        <v>13458</v>
      </c>
      <c r="B12" s="23" t="s">
        <v>355</v>
      </c>
      <c r="C12" s="23" t="s">
        <v>466</v>
      </c>
      <c r="D12" s="23" t="s">
        <v>13459</v>
      </c>
      <c r="E12" s="23" t="s">
        <v>3835</v>
      </c>
      <c r="F12" s="23" t="s">
        <v>40</v>
      </c>
      <c r="G12" s="23" t="s">
        <v>13460</v>
      </c>
      <c r="H12" s="23" t="s">
        <v>13461</v>
      </c>
      <c r="I12" s="23" t="s">
        <v>13462</v>
      </c>
      <c r="J12" s="23" t="s">
        <v>466</v>
      </c>
      <c r="K12" s="27" t="s">
        <v>404</v>
      </c>
      <c r="L12" s="23" t="s">
        <v>405</v>
      </c>
      <c r="M12" s="25" t="s">
        <v>18</v>
      </c>
      <c r="N12" s="23" t="s">
        <v>40</v>
      </c>
      <c r="O12" s="23" t="s">
        <v>387</v>
      </c>
      <c r="P12" s="23" t="s">
        <v>40</v>
      </c>
      <c r="Q12" s="23" t="s">
        <v>40</v>
      </c>
      <c r="R12" s="23" t="s">
        <v>13420</v>
      </c>
      <c r="S12" s="23" t="s">
        <v>40</v>
      </c>
      <c r="T12" s="23" t="s">
        <v>40</v>
      </c>
    </row>
    <row r="13" spans="1:20" x14ac:dyDescent="0.25">
      <c r="A13" s="23" t="s">
        <v>13463</v>
      </c>
      <c r="B13" s="23" t="s">
        <v>355</v>
      </c>
      <c r="C13" s="23" t="s">
        <v>466</v>
      </c>
      <c r="D13" s="23" t="s">
        <v>13464</v>
      </c>
      <c r="E13" s="23" t="s">
        <v>3835</v>
      </c>
      <c r="F13" s="23" t="s">
        <v>13465</v>
      </c>
      <c r="G13" s="23" t="s">
        <v>13466</v>
      </c>
      <c r="H13" s="23" t="s">
        <v>13467</v>
      </c>
      <c r="I13" s="23" t="s">
        <v>13468</v>
      </c>
      <c r="J13" s="23" t="s">
        <v>466</v>
      </c>
      <c r="K13" s="27" t="s">
        <v>404</v>
      </c>
      <c r="L13" s="23" t="s">
        <v>405</v>
      </c>
      <c r="M13" s="25" t="s">
        <v>18</v>
      </c>
      <c r="N13" s="23" t="s">
        <v>40</v>
      </c>
      <c r="O13" s="23" t="s">
        <v>387</v>
      </c>
      <c r="P13" s="23" t="s">
        <v>40</v>
      </c>
      <c r="Q13" s="23" t="s">
        <v>40</v>
      </c>
      <c r="R13" s="23" t="s">
        <v>13420</v>
      </c>
      <c r="S13" s="23" t="s">
        <v>40</v>
      </c>
      <c r="T13" s="23" t="s">
        <v>40</v>
      </c>
    </row>
    <row r="14" spans="1:20" x14ac:dyDescent="0.25">
      <c r="A14" s="23" t="s">
        <v>13469</v>
      </c>
      <c r="B14" s="23" t="s">
        <v>355</v>
      </c>
      <c r="C14" s="23" t="s">
        <v>466</v>
      </c>
      <c r="D14" s="23" t="s">
        <v>13470</v>
      </c>
      <c r="E14" s="23" t="s">
        <v>3835</v>
      </c>
      <c r="F14" s="23" t="s">
        <v>40</v>
      </c>
      <c r="G14" s="23" t="s">
        <v>13471</v>
      </c>
      <c r="H14" s="23" t="s">
        <v>13472</v>
      </c>
      <c r="I14" s="23" t="s">
        <v>13473</v>
      </c>
      <c r="J14" s="23" t="s">
        <v>489</v>
      </c>
      <c r="K14" s="27" t="s">
        <v>404</v>
      </c>
      <c r="L14" s="23" t="s">
        <v>490</v>
      </c>
      <c r="M14" s="25" t="s">
        <v>18</v>
      </c>
      <c r="N14" s="23" t="s">
        <v>40</v>
      </c>
      <c r="O14" s="23" t="s">
        <v>387</v>
      </c>
      <c r="P14" s="23" t="s">
        <v>40</v>
      </c>
      <c r="Q14" s="23" t="s">
        <v>40</v>
      </c>
      <c r="R14" s="23" t="s">
        <v>13420</v>
      </c>
      <c r="S14" s="23" t="s">
        <v>40</v>
      </c>
      <c r="T14" s="23" t="s">
        <v>40</v>
      </c>
    </row>
    <row r="15" spans="1:20" x14ac:dyDescent="0.25">
      <c r="A15" s="23" t="s">
        <v>13474</v>
      </c>
      <c r="B15" s="23" t="s">
        <v>355</v>
      </c>
      <c r="C15" s="23" t="s">
        <v>466</v>
      </c>
      <c r="D15" s="23" t="s">
        <v>13475</v>
      </c>
      <c r="E15" s="23" t="s">
        <v>3835</v>
      </c>
      <c r="F15" s="23" t="s">
        <v>40</v>
      </c>
      <c r="G15" s="23" t="s">
        <v>13476</v>
      </c>
      <c r="H15" s="23" t="s">
        <v>13477</v>
      </c>
      <c r="I15" s="23" t="s">
        <v>13478</v>
      </c>
      <c r="J15" s="23" t="s">
        <v>489</v>
      </c>
      <c r="K15" s="27" t="s">
        <v>404</v>
      </c>
      <c r="L15" s="23" t="s">
        <v>490</v>
      </c>
      <c r="M15" s="25" t="s">
        <v>18</v>
      </c>
      <c r="N15" s="23" t="s">
        <v>40</v>
      </c>
      <c r="O15" s="23" t="s">
        <v>387</v>
      </c>
      <c r="P15" s="23" t="s">
        <v>40</v>
      </c>
      <c r="Q15" s="23" t="s">
        <v>40</v>
      </c>
      <c r="R15" s="23" t="s">
        <v>13420</v>
      </c>
      <c r="S15" s="23" t="s">
        <v>40</v>
      </c>
      <c r="T15" s="23" t="s">
        <v>40</v>
      </c>
    </row>
    <row r="16" spans="1:20" x14ac:dyDescent="0.25">
      <c r="A16" s="23" t="s">
        <v>13479</v>
      </c>
      <c r="B16" s="23" t="s">
        <v>355</v>
      </c>
      <c r="C16" s="23" t="s">
        <v>466</v>
      </c>
      <c r="D16" s="23" t="s">
        <v>13480</v>
      </c>
      <c r="E16" s="23" t="s">
        <v>3835</v>
      </c>
      <c r="F16" s="23" t="s">
        <v>12859</v>
      </c>
      <c r="G16" s="23" t="s">
        <v>13481</v>
      </c>
      <c r="H16" s="23" t="s">
        <v>13482</v>
      </c>
      <c r="I16" s="23" t="s">
        <v>13483</v>
      </c>
      <c r="J16" s="23" t="s">
        <v>395</v>
      </c>
      <c r="K16" s="24" t="s">
        <v>386</v>
      </c>
      <c r="L16" s="23" t="s">
        <v>405</v>
      </c>
      <c r="M16" s="25" t="s">
        <v>18</v>
      </c>
      <c r="N16" s="23" t="s">
        <v>40</v>
      </c>
      <c r="O16" s="23" t="s">
        <v>387</v>
      </c>
      <c r="P16" s="23" t="s">
        <v>40</v>
      </c>
      <c r="Q16" s="23" t="s">
        <v>40</v>
      </c>
      <c r="R16" s="23" t="s">
        <v>13420</v>
      </c>
      <c r="S16" s="23" t="s">
        <v>40</v>
      </c>
      <c r="T16" s="23" t="s">
        <v>40</v>
      </c>
    </row>
    <row r="17" spans="1:20" x14ac:dyDescent="0.25">
      <c r="A17" s="23" t="s">
        <v>13484</v>
      </c>
      <c r="B17" s="23" t="s">
        <v>355</v>
      </c>
      <c r="C17" s="23" t="s">
        <v>466</v>
      </c>
      <c r="D17" s="23" t="s">
        <v>13485</v>
      </c>
      <c r="E17" s="23" t="s">
        <v>3835</v>
      </c>
      <c r="F17" s="23" t="s">
        <v>40</v>
      </c>
      <c r="G17" s="23" t="s">
        <v>13486</v>
      </c>
      <c r="H17" s="23" t="s">
        <v>13487</v>
      </c>
      <c r="I17" s="23" t="s">
        <v>13488</v>
      </c>
      <c r="J17" s="23" t="s">
        <v>15</v>
      </c>
      <c r="K17" s="27" t="s">
        <v>404</v>
      </c>
      <c r="L17" s="23" t="s">
        <v>405</v>
      </c>
      <c r="M17" s="25" t="s">
        <v>18</v>
      </c>
      <c r="N17" s="23" t="s">
        <v>40</v>
      </c>
      <c r="O17" s="23" t="s">
        <v>387</v>
      </c>
      <c r="P17" s="23" t="s">
        <v>40</v>
      </c>
      <c r="Q17" s="23" t="s">
        <v>40</v>
      </c>
      <c r="R17" s="23" t="s">
        <v>13420</v>
      </c>
      <c r="S17" s="23" t="s">
        <v>40</v>
      </c>
      <c r="T17" s="23" t="s">
        <v>40</v>
      </c>
    </row>
    <row r="18" spans="1:20" x14ac:dyDescent="0.25">
      <c r="A18" s="23" t="s">
        <v>13489</v>
      </c>
      <c r="B18" s="23" t="s">
        <v>355</v>
      </c>
      <c r="C18" s="23" t="s">
        <v>466</v>
      </c>
      <c r="D18" s="23" t="s">
        <v>13490</v>
      </c>
      <c r="E18" s="23" t="s">
        <v>3835</v>
      </c>
      <c r="F18" s="23" t="s">
        <v>40</v>
      </c>
      <c r="G18" s="23" t="s">
        <v>13491</v>
      </c>
      <c r="H18" s="23" t="s">
        <v>13492</v>
      </c>
      <c r="I18" s="23" t="s">
        <v>13493</v>
      </c>
      <c r="J18" s="23" t="s">
        <v>14</v>
      </c>
      <c r="K18" s="27" t="s">
        <v>404</v>
      </c>
      <c r="L18" s="23" t="s">
        <v>490</v>
      </c>
      <c r="M18" s="25" t="s">
        <v>18</v>
      </c>
      <c r="N18" s="23" t="s">
        <v>40</v>
      </c>
      <c r="O18" s="23" t="s">
        <v>387</v>
      </c>
      <c r="P18" s="23" t="s">
        <v>40</v>
      </c>
      <c r="Q18" s="23" t="s">
        <v>40</v>
      </c>
      <c r="R18" s="23" t="s">
        <v>13420</v>
      </c>
      <c r="S18" s="23" t="s">
        <v>40</v>
      </c>
      <c r="T18" s="23" t="s">
        <v>40</v>
      </c>
    </row>
    <row r="19" spans="1:20" x14ac:dyDescent="0.25">
      <c r="A19" s="23" t="s">
        <v>13494</v>
      </c>
      <c r="B19" s="23" t="s">
        <v>355</v>
      </c>
      <c r="C19" s="23" t="s">
        <v>13495</v>
      </c>
      <c r="D19" s="23" t="s">
        <v>13496</v>
      </c>
      <c r="E19" s="23" t="s">
        <v>3835</v>
      </c>
      <c r="F19" s="23" t="s">
        <v>40</v>
      </c>
      <c r="G19" s="23" t="s">
        <v>13497</v>
      </c>
      <c r="H19" s="23" t="s">
        <v>13498</v>
      </c>
      <c r="I19" s="23" t="s">
        <v>13499</v>
      </c>
      <c r="J19" s="23" t="s">
        <v>14</v>
      </c>
      <c r="K19" s="24" t="s">
        <v>386</v>
      </c>
      <c r="L19" s="23" t="s">
        <v>405</v>
      </c>
      <c r="M19" s="25" t="s">
        <v>18</v>
      </c>
      <c r="N19" s="23" t="s">
        <v>40</v>
      </c>
      <c r="O19" s="23" t="s">
        <v>387</v>
      </c>
      <c r="P19" s="23" t="s">
        <v>40</v>
      </c>
      <c r="Q19" s="23" t="s">
        <v>40</v>
      </c>
      <c r="R19" s="23" t="s">
        <v>356</v>
      </c>
      <c r="S19" s="23" t="s">
        <v>40</v>
      </c>
      <c r="T19" s="23" t="s">
        <v>40</v>
      </c>
    </row>
    <row r="20" spans="1:20" x14ac:dyDescent="0.25">
      <c r="A20" s="23" t="s">
        <v>13500</v>
      </c>
      <c r="B20" s="23" t="s">
        <v>355</v>
      </c>
      <c r="C20" s="23" t="s">
        <v>13495</v>
      </c>
      <c r="D20" s="23" t="s">
        <v>13501</v>
      </c>
      <c r="E20" s="23" t="s">
        <v>3835</v>
      </c>
      <c r="F20" s="23" t="s">
        <v>40</v>
      </c>
      <c r="G20" s="23" t="s">
        <v>13502</v>
      </c>
      <c r="H20" s="23" t="s">
        <v>13503</v>
      </c>
      <c r="I20" s="23" t="s">
        <v>13504</v>
      </c>
      <c r="J20" s="23" t="s">
        <v>385</v>
      </c>
      <c r="K20" s="32" t="s">
        <v>747</v>
      </c>
      <c r="L20" s="23" t="s">
        <v>490</v>
      </c>
      <c r="M20" s="25" t="s">
        <v>18</v>
      </c>
      <c r="N20" s="23" t="s">
        <v>40</v>
      </c>
      <c r="O20" s="23" t="s">
        <v>387</v>
      </c>
      <c r="P20" s="23" t="s">
        <v>40</v>
      </c>
      <c r="Q20" s="23" t="s">
        <v>40</v>
      </c>
      <c r="R20" s="23" t="s">
        <v>356</v>
      </c>
      <c r="S20" s="23" t="s">
        <v>40</v>
      </c>
      <c r="T20" s="23" t="s">
        <v>40</v>
      </c>
    </row>
    <row r="21" spans="1:20" x14ac:dyDescent="0.25">
      <c r="A21" s="23" t="s">
        <v>13505</v>
      </c>
      <c r="B21" s="23" t="s">
        <v>355</v>
      </c>
      <c r="C21" s="23" t="s">
        <v>13495</v>
      </c>
      <c r="D21" s="23" t="s">
        <v>13506</v>
      </c>
      <c r="E21" s="23" t="s">
        <v>13507</v>
      </c>
      <c r="F21" s="23" t="s">
        <v>40</v>
      </c>
      <c r="G21" s="23" t="s">
        <v>13508</v>
      </c>
      <c r="H21" s="23" t="s">
        <v>13509</v>
      </c>
      <c r="I21" s="23" t="s">
        <v>13510</v>
      </c>
      <c r="J21" s="23" t="s">
        <v>525</v>
      </c>
      <c r="K21" s="24" t="s">
        <v>386</v>
      </c>
      <c r="L21" s="23" t="s">
        <v>13</v>
      </c>
      <c r="M21" s="25" t="s">
        <v>18</v>
      </c>
      <c r="N21" s="23" t="s">
        <v>40</v>
      </c>
      <c r="O21" s="23" t="s">
        <v>387</v>
      </c>
      <c r="P21" s="23" t="s">
        <v>40</v>
      </c>
      <c r="Q21" s="23" t="s">
        <v>40</v>
      </c>
      <c r="R21" s="23" t="s">
        <v>356</v>
      </c>
      <c r="S21" s="23" t="s">
        <v>40</v>
      </c>
      <c r="T21" s="23" t="s">
        <v>40</v>
      </c>
    </row>
    <row r="22" spans="1:20" x14ac:dyDescent="0.25">
      <c r="A22" s="23" t="s">
        <v>13511</v>
      </c>
      <c r="B22" s="23" t="s">
        <v>355</v>
      </c>
      <c r="C22" s="23" t="s">
        <v>13495</v>
      </c>
      <c r="D22" s="23" t="s">
        <v>13512</v>
      </c>
      <c r="E22" s="23" t="s">
        <v>13513</v>
      </c>
      <c r="F22" s="23" t="s">
        <v>40</v>
      </c>
      <c r="G22" s="23" t="s">
        <v>13514</v>
      </c>
      <c r="H22" s="23" t="s">
        <v>13515</v>
      </c>
      <c r="I22" s="23" t="s">
        <v>13516</v>
      </c>
      <c r="J22" s="23" t="s">
        <v>385</v>
      </c>
      <c r="K22" s="32" t="s">
        <v>747</v>
      </c>
      <c r="L22" s="23" t="s">
        <v>490</v>
      </c>
      <c r="M22" s="25" t="s">
        <v>18</v>
      </c>
      <c r="N22" s="23" t="s">
        <v>40</v>
      </c>
      <c r="O22" s="23" t="s">
        <v>387</v>
      </c>
      <c r="P22" s="23" t="s">
        <v>40</v>
      </c>
      <c r="Q22" s="23" t="s">
        <v>40</v>
      </c>
      <c r="R22" s="23" t="s">
        <v>356</v>
      </c>
      <c r="S22" s="23" t="s">
        <v>40</v>
      </c>
      <c r="T22" s="23" t="s">
        <v>40</v>
      </c>
    </row>
    <row r="23" spans="1:20" x14ac:dyDescent="0.25">
      <c r="A23" s="23" t="s">
        <v>13517</v>
      </c>
      <c r="B23" s="23" t="s">
        <v>355</v>
      </c>
      <c r="C23" s="23" t="s">
        <v>13495</v>
      </c>
      <c r="D23" s="23" t="s">
        <v>13518</v>
      </c>
      <c r="E23" s="23" t="s">
        <v>13519</v>
      </c>
      <c r="F23" s="23" t="s">
        <v>40</v>
      </c>
      <c r="G23" s="23" t="s">
        <v>13520</v>
      </c>
      <c r="H23" s="23" t="s">
        <v>13521</v>
      </c>
      <c r="I23" s="23" t="s">
        <v>13522</v>
      </c>
      <c r="J23" s="23" t="s">
        <v>385</v>
      </c>
      <c r="K23" s="32" t="s">
        <v>747</v>
      </c>
      <c r="L23" s="23" t="s">
        <v>490</v>
      </c>
      <c r="M23" s="25" t="s">
        <v>18</v>
      </c>
      <c r="N23" s="23" t="s">
        <v>40</v>
      </c>
      <c r="O23" s="23" t="s">
        <v>387</v>
      </c>
      <c r="P23" s="23" t="s">
        <v>40</v>
      </c>
      <c r="Q23" s="23" t="s">
        <v>40</v>
      </c>
      <c r="R23" s="23" t="s">
        <v>356</v>
      </c>
      <c r="S23" s="23" t="s">
        <v>40</v>
      </c>
      <c r="T23" s="23" t="s">
        <v>40</v>
      </c>
    </row>
    <row r="24" spans="1:20" x14ac:dyDescent="0.25">
      <c r="A24" s="23" t="s">
        <v>13523</v>
      </c>
      <c r="B24" s="23" t="s">
        <v>355</v>
      </c>
      <c r="C24" s="23" t="s">
        <v>13524</v>
      </c>
      <c r="D24" s="23" t="s">
        <v>13525</v>
      </c>
      <c r="E24" s="23" t="s">
        <v>13526</v>
      </c>
      <c r="F24" s="23" t="s">
        <v>40</v>
      </c>
      <c r="G24" s="23" t="s">
        <v>13527</v>
      </c>
      <c r="H24" s="23" t="s">
        <v>13528</v>
      </c>
      <c r="I24" s="23" t="s">
        <v>13529</v>
      </c>
      <c r="J24" s="23" t="s">
        <v>14</v>
      </c>
      <c r="K24" s="26" t="s">
        <v>396</v>
      </c>
      <c r="L24" s="23" t="s">
        <v>13</v>
      </c>
      <c r="M24" s="25" t="s">
        <v>18</v>
      </c>
      <c r="N24" s="23" t="s">
        <v>40</v>
      </c>
      <c r="O24" s="23" t="s">
        <v>387</v>
      </c>
      <c r="P24" s="23" t="s">
        <v>40</v>
      </c>
      <c r="Q24" s="23" t="s">
        <v>40</v>
      </c>
      <c r="R24" s="23" t="s">
        <v>356</v>
      </c>
      <c r="S24" s="23" t="s">
        <v>13530</v>
      </c>
      <c r="T24" s="23" t="s">
        <v>40</v>
      </c>
    </row>
    <row r="25" spans="1:20" x14ac:dyDescent="0.25">
      <c r="A25" s="23" t="s">
        <v>13531</v>
      </c>
      <c r="B25" s="23" t="s">
        <v>355</v>
      </c>
      <c r="C25" s="23" t="s">
        <v>13524</v>
      </c>
      <c r="D25" s="23" t="s">
        <v>13532</v>
      </c>
      <c r="E25" s="23" t="s">
        <v>13533</v>
      </c>
      <c r="F25" s="23" t="s">
        <v>40</v>
      </c>
      <c r="G25" s="23" t="s">
        <v>13534</v>
      </c>
      <c r="H25" s="23" t="s">
        <v>13535</v>
      </c>
      <c r="I25" s="23" t="s">
        <v>13536</v>
      </c>
      <c r="J25" s="23" t="s">
        <v>801</v>
      </c>
      <c r="K25" s="26" t="s">
        <v>396</v>
      </c>
      <c r="L25" s="23" t="s">
        <v>13</v>
      </c>
      <c r="M25" s="25" t="s">
        <v>18</v>
      </c>
      <c r="N25" s="23" t="s">
        <v>40</v>
      </c>
      <c r="O25" s="23" t="s">
        <v>387</v>
      </c>
      <c r="P25" s="23" t="s">
        <v>40</v>
      </c>
      <c r="Q25" s="23" t="s">
        <v>40</v>
      </c>
      <c r="R25" s="23" t="s">
        <v>356</v>
      </c>
      <c r="S25" s="23" t="s">
        <v>40</v>
      </c>
      <c r="T25" s="23" t="s">
        <v>40</v>
      </c>
    </row>
    <row r="26" spans="1:20" x14ac:dyDescent="0.25">
      <c r="A26" s="23" t="s">
        <v>13537</v>
      </c>
      <c r="B26" s="23" t="s">
        <v>355</v>
      </c>
      <c r="C26" s="23" t="s">
        <v>13524</v>
      </c>
      <c r="D26" s="23" t="s">
        <v>13538</v>
      </c>
      <c r="E26" s="23" t="s">
        <v>13539</v>
      </c>
      <c r="F26" s="23" t="s">
        <v>40</v>
      </c>
      <c r="G26" s="23" t="s">
        <v>13540</v>
      </c>
      <c r="H26" s="23" t="s">
        <v>13541</v>
      </c>
      <c r="I26" s="23" t="s">
        <v>13542</v>
      </c>
      <c r="J26" s="23" t="s">
        <v>395</v>
      </c>
      <c r="K26" s="26" t="s">
        <v>396</v>
      </c>
      <c r="L26" s="23" t="s">
        <v>13</v>
      </c>
      <c r="M26" s="25" t="s">
        <v>18</v>
      </c>
      <c r="N26" s="23" t="s">
        <v>40</v>
      </c>
      <c r="O26" s="23" t="s">
        <v>387</v>
      </c>
      <c r="P26" s="23" t="s">
        <v>40</v>
      </c>
      <c r="Q26" s="23" t="s">
        <v>40</v>
      </c>
      <c r="R26" s="23" t="s">
        <v>356</v>
      </c>
      <c r="S26" s="23" t="s">
        <v>40</v>
      </c>
      <c r="T26" s="23" t="s">
        <v>40</v>
      </c>
    </row>
    <row r="27" spans="1:20" x14ac:dyDescent="0.25">
      <c r="A27" s="23" t="s">
        <v>13543</v>
      </c>
      <c r="B27" s="23" t="s">
        <v>355</v>
      </c>
      <c r="C27" s="23" t="s">
        <v>13524</v>
      </c>
      <c r="D27" s="23" t="s">
        <v>13544</v>
      </c>
      <c r="E27" s="23" t="s">
        <v>13545</v>
      </c>
      <c r="F27" s="23" t="s">
        <v>40</v>
      </c>
      <c r="G27" s="23" t="s">
        <v>13546</v>
      </c>
      <c r="H27" s="23" t="s">
        <v>13547</v>
      </c>
      <c r="I27" s="23" t="s">
        <v>13548</v>
      </c>
      <c r="J27" s="23" t="s">
        <v>801</v>
      </c>
      <c r="K27" s="26" t="s">
        <v>396</v>
      </c>
      <c r="L27" s="23" t="s">
        <v>13</v>
      </c>
      <c r="M27" s="25" t="s">
        <v>18</v>
      </c>
      <c r="N27" s="23" t="s">
        <v>40</v>
      </c>
      <c r="O27" s="23" t="s">
        <v>387</v>
      </c>
      <c r="P27" s="23" t="s">
        <v>40</v>
      </c>
      <c r="Q27" s="23" t="s">
        <v>40</v>
      </c>
      <c r="R27" s="23" t="s">
        <v>356</v>
      </c>
      <c r="S27" s="23" t="s">
        <v>40</v>
      </c>
      <c r="T27" s="23" t="s">
        <v>40</v>
      </c>
    </row>
    <row r="28" spans="1:20" x14ac:dyDescent="0.25">
      <c r="A28" s="23" t="s">
        <v>13549</v>
      </c>
      <c r="B28" s="23" t="s">
        <v>355</v>
      </c>
      <c r="C28" s="23" t="s">
        <v>13524</v>
      </c>
      <c r="D28" s="23" t="s">
        <v>13550</v>
      </c>
      <c r="E28" s="23" t="s">
        <v>13551</v>
      </c>
      <c r="F28" s="23" t="s">
        <v>13552</v>
      </c>
      <c r="G28" s="23" t="s">
        <v>13553</v>
      </c>
      <c r="H28" s="23" t="s">
        <v>13554</v>
      </c>
      <c r="I28" s="23" t="s">
        <v>13555</v>
      </c>
      <c r="J28" s="23" t="s">
        <v>14</v>
      </c>
      <c r="K28" s="24" t="s">
        <v>386</v>
      </c>
      <c r="L28" s="23" t="s">
        <v>405</v>
      </c>
      <c r="M28" s="25" t="s">
        <v>18</v>
      </c>
      <c r="N28" s="23" t="s">
        <v>40</v>
      </c>
      <c r="O28" s="23" t="s">
        <v>387</v>
      </c>
      <c r="P28" s="23" t="s">
        <v>40</v>
      </c>
      <c r="Q28" s="23" t="s">
        <v>40</v>
      </c>
      <c r="R28" s="23" t="s">
        <v>356</v>
      </c>
      <c r="S28" s="23" t="s">
        <v>13556</v>
      </c>
      <c r="T28" s="23" t="s">
        <v>40</v>
      </c>
    </row>
    <row r="29" spans="1:20" x14ac:dyDescent="0.25">
      <c r="A29" s="23" t="s">
        <v>13557</v>
      </c>
      <c r="B29" s="23" t="s">
        <v>355</v>
      </c>
      <c r="C29" s="23" t="s">
        <v>13524</v>
      </c>
      <c r="D29" s="23" t="s">
        <v>13558</v>
      </c>
      <c r="E29" s="23" t="s">
        <v>13559</v>
      </c>
      <c r="F29" s="23" t="s">
        <v>40</v>
      </c>
      <c r="G29" s="23" t="s">
        <v>13560</v>
      </c>
      <c r="H29" s="23" t="s">
        <v>13561</v>
      </c>
      <c r="I29" s="23" t="s">
        <v>12668</v>
      </c>
      <c r="J29" s="23" t="s">
        <v>395</v>
      </c>
      <c r="K29" s="26" t="s">
        <v>396</v>
      </c>
      <c r="L29" s="23" t="s">
        <v>13</v>
      </c>
      <c r="M29" s="25" t="s">
        <v>18</v>
      </c>
      <c r="N29" s="23" t="s">
        <v>40</v>
      </c>
      <c r="O29" s="23" t="s">
        <v>387</v>
      </c>
      <c r="P29" s="23" t="s">
        <v>40</v>
      </c>
      <c r="Q29" s="23" t="s">
        <v>40</v>
      </c>
      <c r="R29" s="23" t="s">
        <v>356</v>
      </c>
      <c r="S29" s="23" t="s">
        <v>40</v>
      </c>
      <c r="T29" s="23" t="s">
        <v>40</v>
      </c>
    </row>
    <row r="30" spans="1:20" x14ac:dyDescent="0.25">
      <c r="A30" s="23" t="s">
        <v>13562</v>
      </c>
      <c r="B30" s="23" t="s">
        <v>355</v>
      </c>
      <c r="C30" s="23" t="s">
        <v>13524</v>
      </c>
      <c r="D30" s="23" t="s">
        <v>13563</v>
      </c>
      <c r="E30" s="23" t="s">
        <v>13564</v>
      </c>
      <c r="F30" s="23" t="s">
        <v>40</v>
      </c>
      <c r="G30" s="23" t="s">
        <v>13565</v>
      </c>
      <c r="H30" s="23" t="s">
        <v>13566</v>
      </c>
      <c r="I30" s="23" t="s">
        <v>13567</v>
      </c>
      <c r="J30" s="23" t="s">
        <v>14</v>
      </c>
      <c r="K30" s="24" t="s">
        <v>386</v>
      </c>
      <c r="L30" s="23" t="s">
        <v>405</v>
      </c>
      <c r="M30" s="25" t="s">
        <v>18</v>
      </c>
      <c r="N30" s="23" t="s">
        <v>40</v>
      </c>
      <c r="O30" s="23" t="s">
        <v>387</v>
      </c>
      <c r="P30" s="23" t="s">
        <v>40</v>
      </c>
      <c r="Q30" s="23" t="s">
        <v>40</v>
      </c>
      <c r="R30" s="23" t="s">
        <v>356</v>
      </c>
      <c r="S30" s="23" t="s">
        <v>13568</v>
      </c>
      <c r="T30" s="23" t="s">
        <v>40</v>
      </c>
    </row>
    <row r="31" spans="1:20" x14ac:dyDescent="0.25">
      <c r="A31" s="23" t="s">
        <v>13569</v>
      </c>
      <c r="B31" s="23" t="s">
        <v>355</v>
      </c>
      <c r="C31" s="23" t="s">
        <v>783</v>
      </c>
      <c r="D31" s="23" t="s">
        <v>13570</v>
      </c>
      <c r="E31" s="23" t="s">
        <v>13571</v>
      </c>
      <c r="F31" s="23" t="s">
        <v>40</v>
      </c>
      <c r="G31" s="23" t="s">
        <v>13572</v>
      </c>
      <c r="H31" s="23" t="s">
        <v>13573</v>
      </c>
      <c r="I31" s="23" t="s">
        <v>13574</v>
      </c>
      <c r="J31" s="23" t="s">
        <v>801</v>
      </c>
      <c r="K31" s="24" t="s">
        <v>386</v>
      </c>
      <c r="L31" s="23" t="s">
        <v>405</v>
      </c>
      <c r="M31" s="25" t="s">
        <v>18</v>
      </c>
      <c r="N31" s="23" t="s">
        <v>40</v>
      </c>
      <c r="O31" s="23" t="s">
        <v>387</v>
      </c>
      <c r="P31" s="23" t="s">
        <v>40</v>
      </c>
      <c r="Q31" s="23" t="s">
        <v>40</v>
      </c>
      <c r="R31" s="23" t="s">
        <v>356</v>
      </c>
      <c r="S31" s="23" t="s">
        <v>40</v>
      </c>
      <c r="T31" s="23" t="s">
        <v>40</v>
      </c>
    </row>
    <row r="32" spans="1:20" x14ac:dyDescent="0.25">
      <c r="A32" s="23" t="s">
        <v>13575</v>
      </c>
      <c r="B32" s="23" t="s">
        <v>355</v>
      </c>
      <c r="C32" s="23" t="s">
        <v>395</v>
      </c>
      <c r="D32" s="23" t="s">
        <v>13576</v>
      </c>
      <c r="E32" s="23" t="s">
        <v>5249</v>
      </c>
      <c r="F32" s="23" t="s">
        <v>40</v>
      </c>
      <c r="G32" s="23" t="s">
        <v>13577</v>
      </c>
      <c r="H32" s="23" t="s">
        <v>13578</v>
      </c>
      <c r="I32" s="23" t="s">
        <v>3428</v>
      </c>
      <c r="J32" s="23" t="s">
        <v>395</v>
      </c>
      <c r="K32" s="24" t="s">
        <v>386</v>
      </c>
      <c r="L32" s="23" t="s">
        <v>405</v>
      </c>
      <c r="M32" s="25" t="s">
        <v>18</v>
      </c>
      <c r="N32" s="23" t="s">
        <v>40</v>
      </c>
      <c r="O32" s="23" t="s">
        <v>387</v>
      </c>
      <c r="P32" s="23" t="s">
        <v>40</v>
      </c>
      <c r="Q32" s="23" t="s">
        <v>40</v>
      </c>
      <c r="R32" s="23" t="s">
        <v>356</v>
      </c>
      <c r="S32" s="23" t="s">
        <v>40</v>
      </c>
      <c r="T32" s="23" t="s">
        <v>40</v>
      </c>
    </row>
    <row r="33" spans="1:20" x14ac:dyDescent="0.25">
      <c r="A33" s="23" t="s">
        <v>13579</v>
      </c>
      <c r="B33" s="23" t="s">
        <v>361</v>
      </c>
      <c r="C33" s="23" t="s">
        <v>944</v>
      </c>
      <c r="D33" s="23" t="s">
        <v>13580</v>
      </c>
      <c r="E33" s="23" t="s">
        <v>3835</v>
      </c>
      <c r="F33" s="23" t="s">
        <v>40</v>
      </c>
      <c r="G33" s="23" t="s">
        <v>13581</v>
      </c>
      <c r="H33" s="23" t="s">
        <v>13582</v>
      </c>
      <c r="I33" s="23" t="s">
        <v>13583</v>
      </c>
      <c r="J33" s="23" t="s">
        <v>385</v>
      </c>
      <c r="K33" s="24" t="s">
        <v>386</v>
      </c>
      <c r="L33" s="23" t="s">
        <v>13</v>
      </c>
      <c r="M33" s="31" t="s">
        <v>17</v>
      </c>
      <c r="N33" s="23" t="s">
        <v>13584</v>
      </c>
      <c r="O33" s="29" t="s">
        <v>87</v>
      </c>
      <c r="P33" s="23" t="s">
        <v>40</v>
      </c>
      <c r="Q33" s="23" t="s">
        <v>40</v>
      </c>
      <c r="R33" s="23" t="s">
        <v>362</v>
      </c>
      <c r="S33" s="23" t="s">
        <v>40</v>
      </c>
      <c r="T33" s="23" t="s">
        <v>40</v>
      </c>
    </row>
    <row r="34" spans="1:20" x14ac:dyDescent="0.25">
      <c r="A34" s="23" t="s">
        <v>13585</v>
      </c>
      <c r="B34" s="23" t="s">
        <v>361</v>
      </c>
      <c r="C34" s="23" t="s">
        <v>951</v>
      </c>
      <c r="D34" s="23" t="s">
        <v>13586</v>
      </c>
      <c r="E34" s="23" t="s">
        <v>13587</v>
      </c>
      <c r="F34" s="23" t="s">
        <v>40</v>
      </c>
      <c r="G34" s="23" t="s">
        <v>13588</v>
      </c>
      <c r="H34" s="23" t="s">
        <v>13589</v>
      </c>
      <c r="I34" s="23" t="s">
        <v>13590</v>
      </c>
      <c r="J34" s="23" t="s">
        <v>801</v>
      </c>
      <c r="K34" s="26" t="s">
        <v>396</v>
      </c>
      <c r="L34" s="23" t="s">
        <v>13</v>
      </c>
      <c r="M34" s="25" t="s">
        <v>18</v>
      </c>
      <c r="N34" s="23" t="s">
        <v>40</v>
      </c>
      <c r="O34" s="23" t="s">
        <v>387</v>
      </c>
      <c r="P34" s="23" t="s">
        <v>40</v>
      </c>
      <c r="Q34" s="23" t="s">
        <v>40</v>
      </c>
      <c r="R34" s="23" t="s">
        <v>362</v>
      </c>
      <c r="S34" s="23" t="s">
        <v>13591</v>
      </c>
      <c r="T34" s="23" t="s">
        <v>40</v>
      </c>
    </row>
    <row r="35" spans="1:20" x14ac:dyDescent="0.25">
      <c r="A35" s="23" t="s">
        <v>13592</v>
      </c>
      <c r="B35" s="23" t="s">
        <v>361</v>
      </c>
      <c r="C35" s="23" t="s">
        <v>951</v>
      </c>
      <c r="D35" s="23" t="s">
        <v>13593</v>
      </c>
      <c r="E35" s="23" t="s">
        <v>13594</v>
      </c>
      <c r="F35" s="23" t="s">
        <v>13595</v>
      </c>
      <c r="G35" s="23" t="s">
        <v>13596</v>
      </c>
      <c r="H35" s="23" t="s">
        <v>13597</v>
      </c>
      <c r="I35" s="23" t="s">
        <v>13598</v>
      </c>
      <c r="J35" s="23" t="s">
        <v>14</v>
      </c>
      <c r="K35" s="26" t="s">
        <v>396</v>
      </c>
      <c r="L35" s="23" t="s">
        <v>13</v>
      </c>
      <c r="M35" s="28" t="s">
        <v>16</v>
      </c>
      <c r="N35" s="23" t="s">
        <v>13599</v>
      </c>
      <c r="O35" s="29" t="s">
        <v>87</v>
      </c>
      <c r="P35" s="23" t="s">
        <v>40</v>
      </c>
      <c r="Q35" s="23" t="s">
        <v>40</v>
      </c>
      <c r="R35" s="23" t="s">
        <v>362</v>
      </c>
      <c r="S35" s="23" t="s">
        <v>40</v>
      </c>
      <c r="T35" s="23" t="s">
        <v>40</v>
      </c>
    </row>
    <row r="36" spans="1:20" x14ac:dyDescent="0.25">
      <c r="A36" s="23" t="s">
        <v>13600</v>
      </c>
      <c r="B36" s="23" t="s">
        <v>361</v>
      </c>
      <c r="C36" s="23" t="s">
        <v>951</v>
      </c>
      <c r="D36" s="23" t="s">
        <v>13601</v>
      </c>
      <c r="E36" s="23" t="s">
        <v>3835</v>
      </c>
      <c r="F36" s="23" t="s">
        <v>13602</v>
      </c>
      <c r="G36" s="23" t="s">
        <v>13603</v>
      </c>
      <c r="H36" s="23" t="s">
        <v>13604</v>
      </c>
      <c r="I36" s="23" t="s">
        <v>13605</v>
      </c>
      <c r="J36" s="23" t="s">
        <v>14</v>
      </c>
      <c r="K36" s="24" t="s">
        <v>386</v>
      </c>
      <c r="L36" s="23" t="s">
        <v>405</v>
      </c>
      <c r="M36" s="25" t="s">
        <v>18</v>
      </c>
      <c r="N36" s="23" t="s">
        <v>40</v>
      </c>
      <c r="O36" s="23" t="s">
        <v>387</v>
      </c>
      <c r="P36" s="23" t="s">
        <v>40</v>
      </c>
      <c r="Q36" s="23" t="s">
        <v>40</v>
      </c>
      <c r="R36" s="23" t="s">
        <v>362</v>
      </c>
      <c r="S36" s="23" t="s">
        <v>40</v>
      </c>
      <c r="T36" s="23" t="s">
        <v>40</v>
      </c>
    </row>
    <row r="37" spans="1:20" x14ac:dyDescent="0.25">
      <c r="A37" s="23" t="s">
        <v>13606</v>
      </c>
      <c r="B37" s="23" t="s">
        <v>361</v>
      </c>
      <c r="C37" s="23" t="s">
        <v>951</v>
      </c>
      <c r="D37" s="23" t="s">
        <v>13607</v>
      </c>
      <c r="E37" s="23" t="s">
        <v>3835</v>
      </c>
      <c r="F37" s="23" t="s">
        <v>40</v>
      </c>
      <c r="G37" s="23" t="s">
        <v>13608</v>
      </c>
      <c r="H37" s="23" t="s">
        <v>13609</v>
      </c>
      <c r="I37" s="23" t="s">
        <v>13610</v>
      </c>
      <c r="J37" s="23" t="s">
        <v>14</v>
      </c>
      <c r="K37" s="27" t="s">
        <v>404</v>
      </c>
      <c r="L37" s="23" t="s">
        <v>490</v>
      </c>
      <c r="M37" s="25" t="s">
        <v>18</v>
      </c>
      <c r="N37" s="23" t="s">
        <v>40</v>
      </c>
      <c r="O37" s="23" t="s">
        <v>387</v>
      </c>
      <c r="P37" s="23" t="s">
        <v>40</v>
      </c>
      <c r="Q37" s="23" t="s">
        <v>40</v>
      </c>
      <c r="R37" s="23" t="s">
        <v>362</v>
      </c>
      <c r="S37" s="23" t="s">
        <v>40</v>
      </c>
      <c r="T37" s="23" t="s">
        <v>40</v>
      </c>
    </row>
    <row r="38" spans="1:20" x14ac:dyDescent="0.25">
      <c r="A38" s="23" t="s">
        <v>13611</v>
      </c>
      <c r="B38" s="23" t="s">
        <v>361</v>
      </c>
      <c r="C38" s="23" t="s">
        <v>951</v>
      </c>
      <c r="D38" s="23" t="s">
        <v>2917</v>
      </c>
      <c r="E38" s="23" t="s">
        <v>3835</v>
      </c>
      <c r="F38" s="23" t="s">
        <v>40</v>
      </c>
      <c r="G38" s="23" t="s">
        <v>13612</v>
      </c>
      <c r="H38" s="23" t="s">
        <v>13613</v>
      </c>
      <c r="I38" s="23" t="s">
        <v>13614</v>
      </c>
      <c r="J38" s="23" t="s">
        <v>385</v>
      </c>
      <c r="K38" s="32" t="s">
        <v>747</v>
      </c>
      <c r="L38" s="23" t="s">
        <v>490</v>
      </c>
      <c r="M38" s="25" t="s">
        <v>18</v>
      </c>
      <c r="N38" s="23" t="s">
        <v>40</v>
      </c>
      <c r="O38" s="23" t="s">
        <v>387</v>
      </c>
      <c r="P38" s="23" t="s">
        <v>40</v>
      </c>
      <c r="Q38" s="23" t="s">
        <v>40</v>
      </c>
      <c r="R38" s="23" t="s">
        <v>362</v>
      </c>
      <c r="S38" s="23" t="s">
        <v>40</v>
      </c>
      <c r="T38" s="23" t="s">
        <v>40</v>
      </c>
    </row>
    <row r="39" spans="1:20" x14ac:dyDescent="0.25">
      <c r="A39" s="23" t="s">
        <v>13615</v>
      </c>
      <c r="B39" s="23" t="s">
        <v>361</v>
      </c>
      <c r="C39" s="23" t="s">
        <v>1741</v>
      </c>
      <c r="D39" s="23" t="s">
        <v>13616</v>
      </c>
      <c r="E39" s="23" t="s">
        <v>13617</v>
      </c>
      <c r="F39" s="23" t="s">
        <v>40</v>
      </c>
      <c r="G39" s="23" t="s">
        <v>13618</v>
      </c>
      <c r="H39" s="23" t="s">
        <v>13619</v>
      </c>
      <c r="I39" s="23" t="s">
        <v>13620</v>
      </c>
      <c r="J39" s="23" t="s">
        <v>14</v>
      </c>
      <c r="K39" s="24" t="s">
        <v>386</v>
      </c>
      <c r="L39" s="23" t="s">
        <v>405</v>
      </c>
      <c r="M39" s="25" t="s">
        <v>18</v>
      </c>
      <c r="N39" s="23" t="s">
        <v>40</v>
      </c>
      <c r="O39" s="23" t="s">
        <v>387</v>
      </c>
      <c r="P39" s="23" t="s">
        <v>40</v>
      </c>
      <c r="Q39" s="23" t="s">
        <v>40</v>
      </c>
      <c r="R39" s="23" t="s">
        <v>362</v>
      </c>
      <c r="S39" s="23" t="s">
        <v>40</v>
      </c>
      <c r="T39" s="23" t="s">
        <v>40</v>
      </c>
    </row>
    <row r="40" spans="1:20" x14ac:dyDescent="0.25">
      <c r="A40" s="23" t="s">
        <v>13621</v>
      </c>
      <c r="B40" s="23" t="s">
        <v>361</v>
      </c>
      <c r="C40" s="23" t="s">
        <v>1741</v>
      </c>
      <c r="D40" s="23" t="s">
        <v>13622</v>
      </c>
      <c r="E40" s="23" t="s">
        <v>13623</v>
      </c>
      <c r="F40" s="23" t="s">
        <v>40</v>
      </c>
      <c r="G40" s="23" t="s">
        <v>13624</v>
      </c>
      <c r="H40" s="23" t="s">
        <v>13625</v>
      </c>
      <c r="I40" s="23" t="s">
        <v>13626</v>
      </c>
      <c r="J40" s="23" t="s">
        <v>14</v>
      </c>
      <c r="K40" s="27" t="s">
        <v>404</v>
      </c>
      <c r="L40" s="23" t="s">
        <v>490</v>
      </c>
      <c r="M40" s="25" t="s">
        <v>18</v>
      </c>
      <c r="N40" s="23" t="s">
        <v>40</v>
      </c>
      <c r="O40" s="23" t="s">
        <v>387</v>
      </c>
      <c r="P40" s="23" t="s">
        <v>40</v>
      </c>
      <c r="Q40" s="23" t="s">
        <v>40</v>
      </c>
      <c r="R40" s="23" t="s">
        <v>362</v>
      </c>
      <c r="S40" s="23" t="s">
        <v>40</v>
      </c>
      <c r="T40" s="23" t="s">
        <v>40</v>
      </c>
    </row>
    <row r="41" spans="1:20" x14ac:dyDescent="0.25">
      <c r="A41" s="23" t="s">
        <v>13627</v>
      </c>
      <c r="B41" s="23" t="s">
        <v>361</v>
      </c>
      <c r="C41" s="23" t="s">
        <v>1741</v>
      </c>
      <c r="D41" s="23" t="s">
        <v>13628</v>
      </c>
      <c r="E41" s="23" t="s">
        <v>13629</v>
      </c>
      <c r="F41" s="23" t="s">
        <v>40</v>
      </c>
      <c r="G41" s="23" t="s">
        <v>13630</v>
      </c>
      <c r="H41" s="23" t="s">
        <v>13631</v>
      </c>
      <c r="I41" s="23" t="s">
        <v>13632</v>
      </c>
      <c r="J41" s="23" t="s">
        <v>14</v>
      </c>
      <c r="K41" s="27" t="s">
        <v>404</v>
      </c>
      <c r="L41" s="23" t="s">
        <v>490</v>
      </c>
      <c r="M41" s="25" t="s">
        <v>18</v>
      </c>
      <c r="N41" s="23" t="s">
        <v>40</v>
      </c>
      <c r="O41" s="23" t="s">
        <v>387</v>
      </c>
      <c r="P41" s="23" t="s">
        <v>40</v>
      </c>
      <c r="Q41" s="23" t="s">
        <v>40</v>
      </c>
      <c r="R41" s="23" t="s">
        <v>362</v>
      </c>
      <c r="S41" s="23" t="s">
        <v>40</v>
      </c>
      <c r="T41" s="23" t="s">
        <v>40</v>
      </c>
    </row>
    <row r="42" spans="1:20" x14ac:dyDescent="0.25">
      <c r="A42" s="23" t="s">
        <v>13633</v>
      </c>
      <c r="B42" s="23" t="s">
        <v>361</v>
      </c>
      <c r="C42" s="23" t="s">
        <v>1741</v>
      </c>
      <c r="D42" s="23" t="s">
        <v>13634</v>
      </c>
      <c r="E42" s="23" t="s">
        <v>13635</v>
      </c>
      <c r="F42" s="23" t="s">
        <v>40</v>
      </c>
      <c r="G42" s="23" t="s">
        <v>13636</v>
      </c>
      <c r="H42" s="23" t="s">
        <v>13637</v>
      </c>
      <c r="I42" s="23" t="s">
        <v>13638</v>
      </c>
      <c r="J42" s="23" t="s">
        <v>14</v>
      </c>
      <c r="K42" s="27" t="s">
        <v>404</v>
      </c>
      <c r="L42" s="23" t="s">
        <v>490</v>
      </c>
      <c r="M42" s="25" t="s">
        <v>18</v>
      </c>
      <c r="N42" s="23" t="s">
        <v>40</v>
      </c>
      <c r="O42" s="23" t="s">
        <v>387</v>
      </c>
      <c r="P42" s="23" t="s">
        <v>40</v>
      </c>
      <c r="Q42" s="23" t="s">
        <v>40</v>
      </c>
      <c r="R42" s="23" t="s">
        <v>362</v>
      </c>
      <c r="S42" s="23" t="s">
        <v>40</v>
      </c>
      <c r="T42" s="23" t="s">
        <v>40</v>
      </c>
    </row>
    <row r="43" spans="1:20" x14ac:dyDescent="0.25">
      <c r="A43" s="23" t="s">
        <v>13639</v>
      </c>
      <c r="B43" s="23" t="s">
        <v>361</v>
      </c>
      <c r="C43" s="23" t="s">
        <v>1741</v>
      </c>
      <c r="D43" s="23" t="s">
        <v>13640</v>
      </c>
      <c r="E43" s="23" t="s">
        <v>13641</v>
      </c>
      <c r="F43" s="23" t="s">
        <v>40</v>
      </c>
      <c r="G43" s="23" t="s">
        <v>13642</v>
      </c>
      <c r="H43" s="23" t="s">
        <v>13643</v>
      </c>
      <c r="I43" s="23" t="s">
        <v>13644</v>
      </c>
      <c r="J43" s="23" t="s">
        <v>14</v>
      </c>
      <c r="K43" s="27" t="s">
        <v>404</v>
      </c>
      <c r="L43" s="23" t="s">
        <v>490</v>
      </c>
      <c r="M43" s="25" t="s">
        <v>18</v>
      </c>
      <c r="N43" s="23" t="s">
        <v>40</v>
      </c>
      <c r="O43" s="23" t="s">
        <v>387</v>
      </c>
      <c r="P43" s="23" t="s">
        <v>40</v>
      </c>
      <c r="Q43" s="23" t="s">
        <v>40</v>
      </c>
      <c r="R43" s="23" t="s">
        <v>362</v>
      </c>
      <c r="S43" s="23" t="s">
        <v>40</v>
      </c>
      <c r="T43" s="23" t="s">
        <v>40</v>
      </c>
    </row>
    <row r="44" spans="1:20" x14ac:dyDescent="0.25">
      <c r="A44" s="23" t="s">
        <v>13645</v>
      </c>
      <c r="B44" s="23" t="s">
        <v>361</v>
      </c>
      <c r="C44" s="23" t="s">
        <v>1741</v>
      </c>
      <c r="D44" s="23" t="s">
        <v>13646</v>
      </c>
      <c r="E44" s="23" t="s">
        <v>13647</v>
      </c>
      <c r="F44" s="23" t="s">
        <v>40</v>
      </c>
      <c r="G44" s="23" t="s">
        <v>13648</v>
      </c>
      <c r="H44" s="23" t="s">
        <v>13649</v>
      </c>
      <c r="I44" s="23" t="s">
        <v>13650</v>
      </c>
      <c r="J44" s="23" t="s">
        <v>14</v>
      </c>
      <c r="K44" s="24" t="s">
        <v>386</v>
      </c>
      <c r="L44" s="23" t="s">
        <v>405</v>
      </c>
      <c r="M44" s="25" t="s">
        <v>18</v>
      </c>
      <c r="N44" s="23" t="s">
        <v>40</v>
      </c>
      <c r="O44" s="23" t="s">
        <v>387</v>
      </c>
      <c r="P44" s="23" t="s">
        <v>40</v>
      </c>
      <c r="Q44" s="23" t="s">
        <v>40</v>
      </c>
      <c r="R44" s="23" t="s">
        <v>362</v>
      </c>
      <c r="S44" s="23" t="s">
        <v>40</v>
      </c>
      <c r="T44" s="23" t="s">
        <v>40</v>
      </c>
    </row>
    <row r="45" spans="1:20" x14ac:dyDescent="0.25">
      <c r="A45" s="23" t="s">
        <v>13651</v>
      </c>
      <c r="B45" s="23" t="s">
        <v>361</v>
      </c>
      <c r="C45" s="23" t="s">
        <v>1741</v>
      </c>
      <c r="D45" s="23" t="s">
        <v>13652</v>
      </c>
      <c r="E45" s="23" t="s">
        <v>13653</v>
      </c>
      <c r="F45" s="23" t="s">
        <v>40</v>
      </c>
      <c r="G45" s="23" t="s">
        <v>13654</v>
      </c>
      <c r="H45" s="23" t="s">
        <v>13655</v>
      </c>
      <c r="I45" s="23" t="s">
        <v>13656</v>
      </c>
      <c r="J45" s="23" t="s">
        <v>14</v>
      </c>
      <c r="K45" s="27" t="s">
        <v>404</v>
      </c>
      <c r="L45" s="23" t="s">
        <v>490</v>
      </c>
      <c r="M45" s="25" t="s">
        <v>18</v>
      </c>
      <c r="N45" s="23" t="s">
        <v>40</v>
      </c>
      <c r="O45" s="23" t="s">
        <v>387</v>
      </c>
      <c r="P45" s="23" t="s">
        <v>40</v>
      </c>
      <c r="Q45" s="23" t="s">
        <v>40</v>
      </c>
      <c r="R45" s="23" t="s">
        <v>362</v>
      </c>
      <c r="S45" s="23" t="s">
        <v>40</v>
      </c>
      <c r="T45" s="23" t="s">
        <v>40</v>
      </c>
    </row>
    <row r="46" spans="1:20" x14ac:dyDescent="0.25">
      <c r="A46" s="23" t="s">
        <v>13657</v>
      </c>
      <c r="B46" s="23" t="s">
        <v>361</v>
      </c>
      <c r="C46" s="23" t="s">
        <v>1741</v>
      </c>
      <c r="D46" s="23" t="s">
        <v>13658</v>
      </c>
      <c r="E46" s="23" t="s">
        <v>13659</v>
      </c>
      <c r="F46" s="23" t="s">
        <v>40</v>
      </c>
      <c r="G46" s="23" t="s">
        <v>13660</v>
      </c>
      <c r="H46" s="23" t="s">
        <v>13661</v>
      </c>
      <c r="I46" s="23" t="s">
        <v>13662</v>
      </c>
      <c r="J46" s="23" t="s">
        <v>14</v>
      </c>
      <c r="K46" s="27" t="s">
        <v>404</v>
      </c>
      <c r="L46" s="23" t="s">
        <v>490</v>
      </c>
      <c r="M46" s="25" t="s">
        <v>18</v>
      </c>
      <c r="N46" s="23" t="s">
        <v>40</v>
      </c>
      <c r="O46" s="23" t="s">
        <v>387</v>
      </c>
      <c r="P46" s="23" t="s">
        <v>40</v>
      </c>
      <c r="Q46" s="23" t="s">
        <v>40</v>
      </c>
      <c r="R46" s="23" t="s">
        <v>362</v>
      </c>
      <c r="S46" s="23" t="s">
        <v>40</v>
      </c>
      <c r="T46" s="23" t="s">
        <v>40</v>
      </c>
    </row>
    <row r="47" spans="1:20" x14ac:dyDescent="0.25">
      <c r="A47" s="23" t="s">
        <v>13663</v>
      </c>
      <c r="B47" s="23" t="s">
        <v>361</v>
      </c>
      <c r="C47" s="23" t="s">
        <v>1741</v>
      </c>
      <c r="D47" s="23" t="s">
        <v>13664</v>
      </c>
      <c r="E47" s="23" t="s">
        <v>3835</v>
      </c>
      <c r="F47" s="23" t="s">
        <v>40</v>
      </c>
      <c r="G47" s="23" t="s">
        <v>13665</v>
      </c>
      <c r="H47" s="23" t="s">
        <v>13666</v>
      </c>
      <c r="I47" s="23" t="s">
        <v>13667</v>
      </c>
      <c r="J47" s="23" t="s">
        <v>14</v>
      </c>
      <c r="K47" s="24" t="s">
        <v>386</v>
      </c>
      <c r="L47" s="23" t="s">
        <v>405</v>
      </c>
      <c r="M47" s="25" t="s">
        <v>18</v>
      </c>
      <c r="N47" s="23" t="s">
        <v>40</v>
      </c>
      <c r="O47" s="23" t="s">
        <v>387</v>
      </c>
      <c r="P47" s="23" t="s">
        <v>40</v>
      </c>
      <c r="Q47" s="23" t="s">
        <v>40</v>
      </c>
      <c r="R47" s="23" t="s">
        <v>362</v>
      </c>
      <c r="S47" s="23" t="s">
        <v>40</v>
      </c>
      <c r="T47" s="23" t="s">
        <v>40</v>
      </c>
    </row>
    <row r="48" spans="1:20" x14ac:dyDescent="0.25">
      <c r="A48" s="23" t="s">
        <v>13668</v>
      </c>
      <c r="B48" s="23" t="s">
        <v>361</v>
      </c>
      <c r="C48" s="23" t="s">
        <v>1741</v>
      </c>
      <c r="D48" s="23" t="s">
        <v>13669</v>
      </c>
      <c r="E48" s="23" t="s">
        <v>3835</v>
      </c>
      <c r="F48" s="23" t="s">
        <v>40</v>
      </c>
      <c r="G48" s="23" t="s">
        <v>13670</v>
      </c>
      <c r="H48" s="23" t="s">
        <v>13671</v>
      </c>
      <c r="I48" s="23" t="s">
        <v>13672</v>
      </c>
      <c r="J48" s="23" t="s">
        <v>14</v>
      </c>
      <c r="K48" s="27" t="s">
        <v>404</v>
      </c>
      <c r="L48" s="23" t="s">
        <v>490</v>
      </c>
      <c r="M48" s="25" t="s">
        <v>18</v>
      </c>
      <c r="N48" s="23" t="s">
        <v>40</v>
      </c>
      <c r="O48" s="23" t="s">
        <v>387</v>
      </c>
      <c r="P48" s="23" t="s">
        <v>40</v>
      </c>
      <c r="Q48" s="23" t="s">
        <v>40</v>
      </c>
      <c r="R48" s="23" t="s">
        <v>362</v>
      </c>
      <c r="S48" s="23" t="s">
        <v>40</v>
      </c>
      <c r="T48" s="23" t="s">
        <v>40</v>
      </c>
    </row>
    <row r="49" spans="1:20" x14ac:dyDescent="0.25">
      <c r="A49" s="23" t="s">
        <v>13673</v>
      </c>
      <c r="B49" s="23" t="s">
        <v>361</v>
      </c>
      <c r="C49" s="23" t="s">
        <v>1741</v>
      </c>
      <c r="D49" s="23" t="s">
        <v>13674</v>
      </c>
      <c r="E49" s="23" t="s">
        <v>3835</v>
      </c>
      <c r="F49" s="23" t="s">
        <v>40</v>
      </c>
      <c r="G49" s="23" t="s">
        <v>13675</v>
      </c>
      <c r="H49" s="23" t="s">
        <v>13676</v>
      </c>
      <c r="I49" s="23" t="s">
        <v>13677</v>
      </c>
      <c r="J49" s="23" t="s">
        <v>385</v>
      </c>
      <c r="K49" s="32" t="s">
        <v>747</v>
      </c>
      <c r="L49" s="23" t="s">
        <v>490</v>
      </c>
      <c r="M49" s="25" t="s">
        <v>18</v>
      </c>
      <c r="N49" s="23" t="s">
        <v>40</v>
      </c>
      <c r="O49" s="23" t="s">
        <v>387</v>
      </c>
      <c r="P49" s="23" t="s">
        <v>40</v>
      </c>
      <c r="Q49" s="23" t="s">
        <v>40</v>
      </c>
      <c r="R49" s="23" t="s">
        <v>362</v>
      </c>
      <c r="S49" s="23" t="s">
        <v>13678</v>
      </c>
      <c r="T49" s="23" t="s">
        <v>40</v>
      </c>
    </row>
    <row r="50" spans="1:20" x14ac:dyDescent="0.25">
      <c r="A50" s="23" t="s">
        <v>13679</v>
      </c>
      <c r="B50" s="23" t="s">
        <v>361</v>
      </c>
      <c r="C50" s="23" t="s">
        <v>1741</v>
      </c>
      <c r="D50" s="23" t="s">
        <v>13680</v>
      </c>
      <c r="E50" s="23" t="s">
        <v>13681</v>
      </c>
      <c r="F50" s="23" t="s">
        <v>40</v>
      </c>
      <c r="G50" s="23" t="s">
        <v>13682</v>
      </c>
      <c r="H50" s="23" t="s">
        <v>13683</v>
      </c>
      <c r="I50" s="23" t="s">
        <v>13684</v>
      </c>
      <c r="J50" s="23" t="s">
        <v>385</v>
      </c>
      <c r="K50" s="32" t="s">
        <v>747</v>
      </c>
      <c r="L50" s="23" t="s">
        <v>490</v>
      </c>
      <c r="M50" s="25" t="s">
        <v>18</v>
      </c>
      <c r="N50" s="23" t="s">
        <v>40</v>
      </c>
      <c r="O50" s="23" t="s">
        <v>387</v>
      </c>
      <c r="P50" s="23" t="s">
        <v>40</v>
      </c>
      <c r="Q50" s="23" t="s">
        <v>40</v>
      </c>
      <c r="R50" s="23" t="s">
        <v>362</v>
      </c>
      <c r="S50" s="23" t="s">
        <v>40</v>
      </c>
      <c r="T50" s="23" t="s">
        <v>40</v>
      </c>
    </row>
    <row r="51" spans="1:20" x14ac:dyDescent="0.25">
      <c r="A51" s="23" t="s">
        <v>13685</v>
      </c>
      <c r="B51" s="23" t="s">
        <v>361</v>
      </c>
      <c r="C51" s="23" t="s">
        <v>1741</v>
      </c>
      <c r="D51" s="23" t="s">
        <v>13686</v>
      </c>
      <c r="E51" s="23" t="s">
        <v>3835</v>
      </c>
      <c r="F51" s="23" t="s">
        <v>40</v>
      </c>
      <c r="G51" s="23" t="s">
        <v>13687</v>
      </c>
      <c r="H51" s="23" t="s">
        <v>13688</v>
      </c>
      <c r="I51" s="23" t="s">
        <v>13689</v>
      </c>
      <c r="J51" s="23" t="s">
        <v>385</v>
      </c>
      <c r="K51" s="32" t="s">
        <v>747</v>
      </c>
      <c r="L51" s="23" t="s">
        <v>490</v>
      </c>
      <c r="M51" s="25" t="s">
        <v>18</v>
      </c>
      <c r="N51" s="23" t="s">
        <v>40</v>
      </c>
      <c r="O51" s="23" t="s">
        <v>387</v>
      </c>
      <c r="P51" s="23" t="s">
        <v>40</v>
      </c>
      <c r="Q51" s="23" t="s">
        <v>40</v>
      </c>
      <c r="R51" s="23" t="s">
        <v>362</v>
      </c>
      <c r="S51" s="23" t="s">
        <v>40</v>
      </c>
      <c r="T51" s="23" t="s">
        <v>40</v>
      </c>
    </row>
    <row r="52" spans="1:20" x14ac:dyDescent="0.25">
      <c r="A52" s="23" t="s">
        <v>13690</v>
      </c>
      <c r="B52" s="23" t="s">
        <v>361</v>
      </c>
      <c r="C52" s="23" t="s">
        <v>7270</v>
      </c>
      <c r="D52" s="23" t="s">
        <v>13691</v>
      </c>
      <c r="E52" s="23" t="s">
        <v>13594</v>
      </c>
      <c r="F52" s="23" t="s">
        <v>40</v>
      </c>
      <c r="G52" s="23" t="s">
        <v>13692</v>
      </c>
      <c r="H52" s="23" t="s">
        <v>13693</v>
      </c>
      <c r="I52" s="23" t="s">
        <v>13694</v>
      </c>
      <c r="J52" s="23" t="s">
        <v>14</v>
      </c>
      <c r="K52" s="26" t="s">
        <v>396</v>
      </c>
      <c r="L52" s="23" t="s">
        <v>13</v>
      </c>
      <c r="M52" s="28" t="s">
        <v>16</v>
      </c>
      <c r="N52" s="23" t="s">
        <v>13599</v>
      </c>
      <c r="O52" s="29" t="s">
        <v>87</v>
      </c>
      <c r="P52" s="23" t="s">
        <v>40</v>
      </c>
      <c r="Q52" s="23" t="s">
        <v>40</v>
      </c>
      <c r="R52" s="23" t="s">
        <v>13695</v>
      </c>
      <c r="S52" s="23" t="s">
        <v>40</v>
      </c>
      <c r="T52" s="23" t="s">
        <v>40</v>
      </c>
    </row>
    <row r="53" spans="1:20" x14ac:dyDescent="0.25">
      <c r="A53" s="23" t="s">
        <v>13696</v>
      </c>
      <c r="B53" s="23" t="s">
        <v>361</v>
      </c>
      <c r="C53" s="23" t="s">
        <v>525</v>
      </c>
      <c r="D53" s="23" t="s">
        <v>13697</v>
      </c>
      <c r="E53" s="23" t="s">
        <v>13438</v>
      </c>
      <c r="F53" s="23" t="s">
        <v>40</v>
      </c>
      <c r="G53" s="23" t="s">
        <v>13698</v>
      </c>
      <c r="H53" s="23" t="s">
        <v>13699</v>
      </c>
      <c r="I53" s="23" t="s">
        <v>13700</v>
      </c>
      <c r="J53" s="23" t="s">
        <v>525</v>
      </c>
      <c r="K53" s="24" t="s">
        <v>386</v>
      </c>
      <c r="L53" s="23" t="s">
        <v>13</v>
      </c>
      <c r="M53" s="25" t="s">
        <v>18</v>
      </c>
      <c r="N53" s="23" t="s">
        <v>40</v>
      </c>
      <c r="O53" s="23" t="s">
        <v>387</v>
      </c>
      <c r="P53" s="23" t="s">
        <v>40</v>
      </c>
      <c r="Q53" s="23" t="s">
        <v>40</v>
      </c>
      <c r="R53" s="23" t="s">
        <v>362</v>
      </c>
      <c r="S53" s="23" t="s">
        <v>40</v>
      </c>
      <c r="T53" s="23" t="s">
        <v>40</v>
      </c>
    </row>
    <row r="54" spans="1:20" x14ac:dyDescent="0.25">
      <c r="A54" s="23" t="s">
        <v>13701</v>
      </c>
      <c r="B54" s="23" t="s">
        <v>361</v>
      </c>
      <c r="C54" s="23" t="s">
        <v>525</v>
      </c>
      <c r="D54" s="23" t="s">
        <v>13702</v>
      </c>
      <c r="E54" s="23" t="s">
        <v>13438</v>
      </c>
      <c r="F54" s="23" t="s">
        <v>40</v>
      </c>
      <c r="G54" s="23" t="s">
        <v>13703</v>
      </c>
      <c r="H54" s="23" t="s">
        <v>13704</v>
      </c>
      <c r="I54" s="23" t="s">
        <v>13705</v>
      </c>
      <c r="J54" s="23" t="s">
        <v>395</v>
      </c>
      <c r="K54" s="26" t="s">
        <v>396</v>
      </c>
      <c r="L54" s="23" t="s">
        <v>13</v>
      </c>
      <c r="M54" s="25" t="s">
        <v>18</v>
      </c>
      <c r="N54" s="23" t="s">
        <v>40</v>
      </c>
      <c r="O54" s="23" t="s">
        <v>387</v>
      </c>
      <c r="P54" s="23" t="s">
        <v>40</v>
      </c>
      <c r="Q54" s="23" t="s">
        <v>40</v>
      </c>
      <c r="R54" s="23" t="s">
        <v>362</v>
      </c>
      <c r="S54" s="23" t="s">
        <v>40</v>
      </c>
      <c r="T54" s="23" t="s">
        <v>40</v>
      </c>
    </row>
    <row r="55" spans="1:20" x14ac:dyDescent="0.25">
      <c r="A55" s="23" t="s">
        <v>13706</v>
      </c>
      <c r="B55" s="23" t="s">
        <v>361</v>
      </c>
      <c r="C55" s="23" t="s">
        <v>395</v>
      </c>
      <c r="D55" s="23" t="s">
        <v>4749</v>
      </c>
      <c r="E55" s="23" t="s">
        <v>5249</v>
      </c>
      <c r="F55" s="23" t="s">
        <v>40</v>
      </c>
      <c r="G55" s="23" t="s">
        <v>13707</v>
      </c>
      <c r="H55" s="23" t="s">
        <v>13708</v>
      </c>
      <c r="I55" s="23" t="s">
        <v>3428</v>
      </c>
      <c r="J55" s="23" t="s">
        <v>395</v>
      </c>
      <c r="K55" s="24" t="s">
        <v>386</v>
      </c>
      <c r="L55" s="23" t="s">
        <v>405</v>
      </c>
      <c r="M55" s="25" t="s">
        <v>18</v>
      </c>
      <c r="N55" s="23" t="s">
        <v>40</v>
      </c>
      <c r="O55" s="23" t="s">
        <v>387</v>
      </c>
      <c r="P55" s="23" t="s">
        <v>40</v>
      </c>
      <c r="Q55" s="23" t="s">
        <v>40</v>
      </c>
      <c r="R55" s="23" t="s">
        <v>362</v>
      </c>
      <c r="S55" s="23" t="s">
        <v>40</v>
      </c>
      <c r="T55" s="23" t="s">
        <v>40</v>
      </c>
    </row>
    <row r="56" spans="1:20" x14ac:dyDescent="0.25">
      <c r="A56" s="23" t="s">
        <v>13709</v>
      </c>
      <c r="B56" s="23" t="s">
        <v>361</v>
      </c>
      <c r="C56" s="23" t="s">
        <v>13710</v>
      </c>
      <c r="D56" s="23" t="s">
        <v>13711</v>
      </c>
      <c r="E56" s="23" t="s">
        <v>13712</v>
      </c>
      <c r="F56" s="23" t="s">
        <v>40</v>
      </c>
      <c r="G56" s="23" t="s">
        <v>13713</v>
      </c>
      <c r="H56" s="23" t="s">
        <v>13714</v>
      </c>
      <c r="I56" s="23" t="s">
        <v>13715</v>
      </c>
      <c r="J56" s="23" t="s">
        <v>14</v>
      </c>
      <c r="K56" s="26" t="s">
        <v>396</v>
      </c>
      <c r="L56" s="23" t="s">
        <v>13</v>
      </c>
      <c r="M56" s="25" t="s">
        <v>18</v>
      </c>
      <c r="N56" s="23" t="s">
        <v>40</v>
      </c>
      <c r="O56" s="23" t="s">
        <v>387</v>
      </c>
      <c r="P56" s="23" t="s">
        <v>40</v>
      </c>
      <c r="Q56" s="23" t="s">
        <v>40</v>
      </c>
      <c r="R56" s="23" t="s">
        <v>13695</v>
      </c>
      <c r="S56" s="23" t="s">
        <v>40</v>
      </c>
      <c r="T56" s="23" t="s">
        <v>40</v>
      </c>
    </row>
    <row r="57" spans="1:20" x14ac:dyDescent="0.25">
      <c r="A57" s="23" t="s">
        <v>13716</v>
      </c>
      <c r="B57" s="23" t="s">
        <v>361</v>
      </c>
      <c r="C57" s="23" t="s">
        <v>13710</v>
      </c>
      <c r="D57" s="23" t="s">
        <v>13717</v>
      </c>
      <c r="E57" s="23" t="s">
        <v>13712</v>
      </c>
      <c r="F57" s="23" t="s">
        <v>40</v>
      </c>
      <c r="G57" s="23" t="s">
        <v>13718</v>
      </c>
      <c r="H57" s="23" t="s">
        <v>13719</v>
      </c>
      <c r="I57" s="23" t="s">
        <v>13720</v>
      </c>
      <c r="J57" s="23" t="s">
        <v>14</v>
      </c>
      <c r="K57" s="26" t="s">
        <v>396</v>
      </c>
      <c r="L57" s="23" t="s">
        <v>13</v>
      </c>
      <c r="M57" s="28" t="s">
        <v>16</v>
      </c>
      <c r="N57" s="23" t="s">
        <v>13599</v>
      </c>
      <c r="O57" s="29" t="s">
        <v>87</v>
      </c>
      <c r="P57" s="23" t="s">
        <v>40</v>
      </c>
      <c r="Q57" s="23" t="s">
        <v>40</v>
      </c>
      <c r="R57" s="23" t="s">
        <v>13695</v>
      </c>
      <c r="S57" s="23" t="s">
        <v>13721</v>
      </c>
      <c r="T57" s="23" t="s">
        <v>40</v>
      </c>
    </row>
    <row r="58" spans="1:20" x14ac:dyDescent="0.25">
      <c r="A58" s="23" t="s">
        <v>13722</v>
      </c>
      <c r="B58" s="23" t="s">
        <v>361</v>
      </c>
      <c r="C58" s="23" t="s">
        <v>13710</v>
      </c>
      <c r="D58" s="23" t="s">
        <v>13723</v>
      </c>
      <c r="E58" s="23" t="s">
        <v>13724</v>
      </c>
      <c r="F58" s="23" t="s">
        <v>40</v>
      </c>
      <c r="G58" s="23" t="s">
        <v>13725</v>
      </c>
      <c r="H58" s="23" t="s">
        <v>13726</v>
      </c>
      <c r="I58" s="23" t="s">
        <v>13727</v>
      </c>
      <c r="J58" s="23" t="s">
        <v>14</v>
      </c>
      <c r="K58" s="24" t="s">
        <v>386</v>
      </c>
      <c r="L58" s="23" t="s">
        <v>405</v>
      </c>
      <c r="M58" s="25" t="s">
        <v>18</v>
      </c>
      <c r="N58" s="23" t="s">
        <v>40</v>
      </c>
      <c r="O58" s="23" t="s">
        <v>387</v>
      </c>
      <c r="P58" s="23" t="s">
        <v>40</v>
      </c>
      <c r="Q58" s="23" t="s">
        <v>40</v>
      </c>
      <c r="R58" s="23" t="s">
        <v>13695</v>
      </c>
      <c r="S58" s="23" t="s">
        <v>40</v>
      </c>
      <c r="T58" s="23" t="s">
        <v>40</v>
      </c>
    </row>
    <row r="59" spans="1:20" x14ac:dyDescent="0.25">
      <c r="A59" s="23" t="s">
        <v>13728</v>
      </c>
      <c r="B59" s="23" t="s">
        <v>361</v>
      </c>
      <c r="C59" s="23" t="s">
        <v>13710</v>
      </c>
      <c r="D59" s="23" t="s">
        <v>13729</v>
      </c>
      <c r="E59" s="23" t="s">
        <v>13730</v>
      </c>
      <c r="F59" s="23" t="s">
        <v>40</v>
      </c>
      <c r="G59" s="23" t="s">
        <v>13731</v>
      </c>
      <c r="H59" s="23" t="s">
        <v>13732</v>
      </c>
      <c r="I59" s="23" t="s">
        <v>13733</v>
      </c>
      <c r="J59" s="23" t="s">
        <v>14</v>
      </c>
      <c r="K59" s="24" t="s">
        <v>386</v>
      </c>
      <c r="L59" s="23" t="s">
        <v>405</v>
      </c>
      <c r="M59" s="25" t="s">
        <v>18</v>
      </c>
      <c r="N59" s="23" t="s">
        <v>40</v>
      </c>
      <c r="O59" s="23" t="s">
        <v>387</v>
      </c>
      <c r="P59" s="23" t="s">
        <v>40</v>
      </c>
      <c r="Q59" s="23" t="s">
        <v>40</v>
      </c>
      <c r="R59" s="23" t="s">
        <v>13695</v>
      </c>
      <c r="S59" s="23" t="s">
        <v>40</v>
      </c>
      <c r="T59" s="23" t="s">
        <v>40</v>
      </c>
    </row>
    <row r="60" spans="1:20" x14ac:dyDescent="0.25">
      <c r="A60" s="23" t="s">
        <v>13734</v>
      </c>
      <c r="B60" s="23" t="s">
        <v>361</v>
      </c>
      <c r="C60" s="23" t="s">
        <v>13710</v>
      </c>
      <c r="D60" s="23" t="s">
        <v>13735</v>
      </c>
      <c r="E60" s="23" t="s">
        <v>13712</v>
      </c>
      <c r="F60" s="23" t="s">
        <v>40</v>
      </c>
      <c r="G60" s="23" t="s">
        <v>13736</v>
      </c>
      <c r="H60" s="23" t="s">
        <v>13737</v>
      </c>
      <c r="I60" s="23" t="s">
        <v>13738</v>
      </c>
      <c r="J60" s="23" t="s">
        <v>466</v>
      </c>
      <c r="K60" s="27" t="s">
        <v>404</v>
      </c>
      <c r="L60" s="23" t="s">
        <v>405</v>
      </c>
      <c r="M60" s="25" t="s">
        <v>18</v>
      </c>
      <c r="N60" s="23" t="s">
        <v>40</v>
      </c>
      <c r="O60" s="23" t="s">
        <v>387</v>
      </c>
      <c r="P60" s="23" t="s">
        <v>40</v>
      </c>
      <c r="Q60" s="23" t="s">
        <v>40</v>
      </c>
      <c r="R60" s="23" t="s">
        <v>13695</v>
      </c>
      <c r="S60" s="23" t="s">
        <v>40</v>
      </c>
      <c r="T60" s="23" t="s">
        <v>40</v>
      </c>
    </row>
    <row r="61" spans="1:20" x14ac:dyDescent="0.25">
      <c r="A61" s="23" t="s">
        <v>13739</v>
      </c>
      <c r="B61" s="23" t="s">
        <v>361</v>
      </c>
      <c r="C61" s="23" t="s">
        <v>13710</v>
      </c>
      <c r="D61" s="23" t="s">
        <v>13740</v>
      </c>
      <c r="E61" s="23" t="s">
        <v>13712</v>
      </c>
      <c r="F61" s="23" t="s">
        <v>40</v>
      </c>
      <c r="G61" s="23" t="s">
        <v>13741</v>
      </c>
      <c r="H61" s="23" t="s">
        <v>13742</v>
      </c>
      <c r="I61" s="23" t="s">
        <v>13743</v>
      </c>
      <c r="J61" s="23" t="s">
        <v>14</v>
      </c>
      <c r="K61" s="24" t="s">
        <v>386</v>
      </c>
      <c r="L61" s="23" t="s">
        <v>405</v>
      </c>
      <c r="M61" s="25" t="s">
        <v>18</v>
      </c>
      <c r="N61" s="23" t="s">
        <v>40</v>
      </c>
      <c r="O61" s="23" t="s">
        <v>387</v>
      </c>
      <c r="P61" s="23" t="s">
        <v>40</v>
      </c>
      <c r="Q61" s="23" t="s">
        <v>40</v>
      </c>
      <c r="R61" s="23" t="s">
        <v>13695</v>
      </c>
      <c r="S61" s="23" t="s">
        <v>40</v>
      </c>
      <c r="T61" s="23" t="s">
        <v>40</v>
      </c>
    </row>
    <row r="62" spans="1:20" x14ac:dyDescent="0.25">
      <c r="A62" s="23" t="s">
        <v>13744</v>
      </c>
      <c r="B62" s="23" t="s">
        <v>361</v>
      </c>
      <c r="C62" s="23" t="s">
        <v>13710</v>
      </c>
      <c r="D62" s="23" t="s">
        <v>13745</v>
      </c>
      <c r="E62" s="23" t="s">
        <v>13712</v>
      </c>
      <c r="F62" s="23" t="s">
        <v>13746</v>
      </c>
      <c r="G62" s="23" t="s">
        <v>13747</v>
      </c>
      <c r="H62" s="23" t="s">
        <v>13748</v>
      </c>
      <c r="I62" s="23" t="s">
        <v>13749</v>
      </c>
      <c r="J62" s="23" t="s">
        <v>14</v>
      </c>
      <c r="K62" s="27" t="s">
        <v>404</v>
      </c>
      <c r="L62" s="23" t="s">
        <v>490</v>
      </c>
      <c r="M62" s="25" t="s">
        <v>18</v>
      </c>
      <c r="N62" s="23" t="s">
        <v>40</v>
      </c>
      <c r="O62" s="23" t="s">
        <v>387</v>
      </c>
      <c r="P62" s="23" t="s">
        <v>40</v>
      </c>
      <c r="Q62" s="23" t="s">
        <v>40</v>
      </c>
      <c r="R62" s="23" t="s">
        <v>13695</v>
      </c>
      <c r="S62" s="23" t="s">
        <v>40</v>
      </c>
      <c r="T62" s="23" t="s">
        <v>40</v>
      </c>
    </row>
    <row r="63" spans="1:20" x14ac:dyDescent="0.25">
      <c r="A63" s="23" t="s">
        <v>13750</v>
      </c>
      <c r="B63" s="23" t="s">
        <v>361</v>
      </c>
      <c r="C63" s="23" t="s">
        <v>7991</v>
      </c>
      <c r="D63" s="23" t="s">
        <v>13751</v>
      </c>
      <c r="E63" s="23" t="s">
        <v>13712</v>
      </c>
      <c r="F63" s="23" t="s">
        <v>13752</v>
      </c>
      <c r="G63" s="23" t="s">
        <v>13753</v>
      </c>
      <c r="H63" s="23" t="s">
        <v>13754</v>
      </c>
      <c r="I63" s="23" t="s">
        <v>13755</v>
      </c>
      <c r="J63" s="23" t="s">
        <v>14</v>
      </c>
      <c r="K63" s="26" t="s">
        <v>396</v>
      </c>
      <c r="L63" s="23" t="s">
        <v>13</v>
      </c>
      <c r="M63" s="25" t="s">
        <v>18</v>
      </c>
      <c r="N63" s="23" t="s">
        <v>40</v>
      </c>
      <c r="O63" s="23" t="s">
        <v>387</v>
      </c>
      <c r="P63" s="23" t="s">
        <v>40</v>
      </c>
      <c r="Q63" s="23" t="s">
        <v>40</v>
      </c>
      <c r="R63" s="23" t="s">
        <v>13695</v>
      </c>
      <c r="S63" s="23" t="s">
        <v>13756</v>
      </c>
      <c r="T63" s="23" t="s">
        <v>40</v>
      </c>
    </row>
    <row r="64" spans="1:20" x14ac:dyDescent="0.25">
      <c r="A64" s="23" t="s">
        <v>13757</v>
      </c>
      <c r="B64" s="23" t="s">
        <v>361</v>
      </c>
      <c r="C64" s="23" t="s">
        <v>7991</v>
      </c>
      <c r="D64" s="23" t="s">
        <v>13758</v>
      </c>
      <c r="E64" s="23" t="s">
        <v>13759</v>
      </c>
      <c r="F64" s="23" t="s">
        <v>40</v>
      </c>
      <c r="G64" s="23" t="s">
        <v>13760</v>
      </c>
      <c r="H64" s="23" t="s">
        <v>13761</v>
      </c>
      <c r="I64" s="23" t="s">
        <v>13762</v>
      </c>
      <c r="J64" s="23" t="s">
        <v>14</v>
      </c>
      <c r="K64" s="24" t="s">
        <v>386</v>
      </c>
      <c r="L64" s="23" t="s">
        <v>405</v>
      </c>
      <c r="M64" s="25" t="s">
        <v>18</v>
      </c>
      <c r="N64" s="23" t="s">
        <v>40</v>
      </c>
      <c r="O64" s="23" t="s">
        <v>387</v>
      </c>
      <c r="P64" s="23" t="s">
        <v>40</v>
      </c>
      <c r="Q64" s="23" t="s">
        <v>40</v>
      </c>
      <c r="R64" s="23" t="s">
        <v>13695</v>
      </c>
      <c r="S64" s="23" t="s">
        <v>13763</v>
      </c>
      <c r="T64" s="23" t="s">
        <v>40</v>
      </c>
    </row>
    <row r="65" spans="1:20" x14ac:dyDescent="0.25">
      <c r="A65" s="23" t="s">
        <v>13764</v>
      </c>
      <c r="B65" s="23" t="s">
        <v>361</v>
      </c>
      <c r="C65" s="23" t="s">
        <v>7991</v>
      </c>
      <c r="D65" s="23" t="s">
        <v>13765</v>
      </c>
      <c r="E65" s="23" t="s">
        <v>13766</v>
      </c>
      <c r="F65" s="23" t="s">
        <v>40</v>
      </c>
      <c r="G65" s="23" t="s">
        <v>13767</v>
      </c>
      <c r="H65" s="23" t="s">
        <v>13768</v>
      </c>
      <c r="I65" s="23" t="s">
        <v>13769</v>
      </c>
      <c r="J65" s="23" t="s">
        <v>525</v>
      </c>
      <c r="K65" s="24" t="s">
        <v>386</v>
      </c>
      <c r="L65" s="23" t="s">
        <v>13</v>
      </c>
      <c r="M65" s="25" t="s">
        <v>18</v>
      </c>
      <c r="N65" s="23" t="s">
        <v>40</v>
      </c>
      <c r="O65" s="23" t="s">
        <v>387</v>
      </c>
      <c r="P65" s="23" t="s">
        <v>40</v>
      </c>
      <c r="Q65" s="23" t="s">
        <v>40</v>
      </c>
      <c r="R65" s="23" t="s">
        <v>13695</v>
      </c>
      <c r="S65" s="23" t="s">
        <v>13763</v>
      </c>
      <c r="T65" s="23" t="s">
        <v>40</v>
      </c>
    </row>
    <row r="66" spans="1:20" x14ac:dyDescent="0.25">
      <c r="A66" s="23" t="s">
        <v>13770</v>
      </c>
      <c r="B66" s="23" t="s">
        <v>361</v>
      </c>
      <c r="C66" s="23" t="s">
        <v>7991</v>
      </c>
      <c r="D66" s="23" t="s">
        <v>13771</v>
      </c>
      <c r="E66" s="23" t="s">
        <v>13772</v>
      </c>
      <c r="F66" s="23" t="s">
        <v>13773</v>
      </c>
      <c r="G66" s="23" t="s">
        <v>13774</v>
      </c>
      <c r="H66" s="23" t="s">
        <v>13775</v>
      </c>
      <c r="I66" s="23" t="s">
        <v>13776</v>
      </c>
      <c r="J66" s="23" t="s">
        <v>14</v>
      </c>
      <c r="K66" s="26" t="s">
        <v>396</v>
      </c>
      <c r="L66" s="23" t="s">
        <v>13</v>
      </c>
      <c r="M66" s="25" t="s">
        <v>18</v>
      </c>
      <c r="N66" s="23" t="s">
        <v>40</v>
      </c>
      <c r="O66" s="23" t="s">
        <v>387</v>
      </c>
      <c r="P66" s="23" t="s">
        <v>40</v>
      </c>
      <c r="Q66" s="23" t="s">
        <v>40</v>
      </c>
      <c r="R66" s="23" t="s">
        <v>13695</v>
      </c>
      <c r="S66" s="23" t="s">
        <v>13756</v>
      </c>
      <c r="T66" s="23" t="s">
        <v>40</v>
      </c>
    </row>
    <row r="67" spans="1:20" x14ac:dyDescent="0.25">
      <c r="A67" s="23" t="s">
        <v>13777</v>
      </c>
      <c r="B67" s="23" t="s">
        <v>361</v>
      </c>
      <c r="C67" s="23" t="s">
        <v>7991</v>
      </c>
      <c r="D67" s="23" t="s">
        <v>13778</v>
      </c>
      <c r="E67" s="23" t="s">
        <v>13712</v>
      </c>
      <c r="F67" s="23" t="s">
        <v>40</v>
      </c>
      <c r="G67" s="23" t="s">
        <v>13779</v>
      </c>
      <c r="H67" s="23" t="s">
        <v>13780</v>
      </c>
      <c r="I67" s="23" t="s">
        <v>13781</v>
      </c>
      <c r="J67" s="23" t="s">
        <v>466</v>
      </c>
      <c r="K67" s="27" t="s">
        <v>404</v>
      </c>
      <c r="L67" s="23" t="s">
        <v>405</v>
      </c>
      <c r="M67" s="25" t="s">
        <v>18</v>
      </c>
      <c r="N67" s="23" t="s">
        <v>40</v>
      </c>
      <c r="O67" s="23" t="s">
        <v>387</v>
      </c>
      <c r="P67" s="23" t="s">
        <v>40</v>
      </c>
      <c r="Q67" s="23" t="s">
        <v>40</v>
      </c>
      <c r="R67" s="23" t="s">
        <v>13695</v>
      </c>
      <c r="S67" s="23" t="s">
        <v>40</v>
      </c>
      <c r="T67" s="23" t="s">
        <v>40</v>
      </c>
    </row>
    <row r="68" spans="1:20" x14ac:dyDescent="0.25">
      <c r="A68" s="23" t="s">
        <v>13782</v>
      </c>
      <c r="B68" s="23" t="s">
        <v>361</v>
      </c>
      <c r="C68" s="23" t="s">
        <v>7991</v>
      </c>
      <c r="D68" s="23" t="s">
        <v>13783</v>
      </c>
      <c r="E68" s="23" t="s">
        <v>13712</v>
      </c>
      <c r="F68" s="23" t="s">
        <v>40</v>
      </c>
      <c r="G68" s="23" t="s">
        <v>13784</v>
      </c>
      <c r="H68" s="23" t="s">
        <v>13785</v>
      </c>
      <c r="I68" s="23" t="s">
        <v>13786</v>
      </c>
      <c r="J68" s="23" t="s">
        <v>403</v>
      </c>
      <c r="K68" s="32" t="s">
        <v>747</v>
      </c>
      <c r="L68" s="23" t="s">
        <v>490</v>
      </c>
      <c r="M68" s="25" t="s">
        <v>18</v>
      </c>
      <c r="N68" s="23" t="s">
        <v>40</v>
      </c>
      <c r="O68" s="23" t="s">
        <v>387</v>
      </c>
      <c r="P68" s="23" t="s">
        <v>40</v>
      </c>
      <c r="Q68" s="23" t="s">
        <v>40</v>
      </c>
      <c r="R68" s="23" t="s">
        <v>13695</v>
      </c>
      <c r="S68" s="23" t="s">
        <v>13787</v>
      </c>
      <c r="T68" s="23" t="s">
        <v>40</v>
      </c>
    </row>
    <row r="69" spans="1:20" x14ac:dyDescent="0.25">
      <c r="A69" s="23" t="s">
        <v>13788</v>
      </c>
      <c r="B69" s="23" t="s">
        <v>361</v>
      </c>
      <c r="C69" s="23" t="s">
        <v>7991</v>
      </c>
      <c r="D69" s="23" t="s">
        <v>13789</v>
      </c>
      <c r="E69" s="23" t="s">
        <v>13712</v>
      </c>
      <c r="F69" s="23" t="s">
        <v>40</v>
      </c>
      <c r="G69" s="23" t="s">
        <v>13790</v>
      </c>
      <c r="H69" s="23" t="s">
        <v>13791</v>
      </c>
      <c r="I69" s="23" t="s">
        <v>13792</v>
      </c>
      <c r="J69" s="23" t="s">
        <v>801</v>
      </c>
      <c r="K69" s="24" t="s">
        <v>386</v>
      </c>
      <c r="L69" s="23" t="s">
        <v>405</v>
      </c>
      <c r="M69" s="25" t="s">
        <v>18</v>
      </c>
      <c r="N69" s="23" t="s">
        <v>40</v>
      </c>
      <c r="O69" s="23" t="s">
        <v>387</v>
      </c>
      <c r="P69" s="23" t="s">
        <v>40</v>
      </c>
      <c r="Q69" s="23" t="s">
        <v>40</v>
      </c>
      <c r="R69" s="23" t="s">
        <v>13695</v>
      </c>
      <c r="S69" s="23" t="s">
        <v>40</v>
      </c>
      <c r="T69" s="23" t="s">
        <v>40</v>
      </c>
    </row>
    <row r="70" spans="1:20" x14ac:dyDescent="0.25">
      <c r="A70" s="23" t="s">
        <v>13793</v>
      </c>
      <c r="B70" s="23" t="s">
        <v>361</v>
      </c>
      <c r="C70" s="23" t="s">
        <v>13794</v>
      </c>
      <c r="D70" s="23" t="s">
        <v>13795</v>
      </c>
      <c r="E70" s="23" t="s">
        <v>13712</v>
      </c>
      <c r="F70" s="23" t="s">
        <v>13796</v>
      </c>
      <c r="G70" s="23" t="s">
        <v>13797</v>
      </c>
      <c r="H70" s="23" t="s">
        <v>13798</v>
      </c>
      <c r="I70" s="23" t="s">
        <v>13799</v>
      </c>
      <c r="J70" s="23" t="s">
        <v>14</v>
      </c>
      <c r="K70" s="26" t="s">
        <v>396</v>
      </c>
      <c r="L70" s="23" t="s">
        <v>13</v>
      </c>
      <c r="M70" s="28" t="s">
        <v>16</v>
      </c>
      <c r="N70" s="23" t="s">
        <v>13599</v>
      </c>
      <c r="O70" s="29" t="s">
        <v>87</v>
      </c>
      <c r="P70" s="23" t="s">
        <v>40</v>
      </c>
      <c r="Q70" s="23" t="s">
        <v>40</v>
      </c>
      <c r="R70" s="23" t="s">
        <v>13695</v>
      </c>
      <c r="S70" s="23" t="s">
        <v>13800</v>
      </c>
      <c r="T70" s="23" t="s">
        <v>40</v>
      </c>
    </row>
    <row r="71" spans="1:20" x14ac:dyDescent="0.25">
      <c r="A71" s="23" t="s">
        <v>13801</v>
      </c>
      <c r="B71" s="23" t="s">
        <v>361</v>
      </c>
      <c r="C71" s="23" t="s">
        <v>13794</v>
      </c>
      <c r="D71" s="23" t="s">
        <v>13802</v>
      </c>
      <c r="E71" s="23" t="s">
        <v>13712</v>
      </c>
      <c r="F71" s="23" t="s">
        <v>40</v>
      </c>
      <c r="G71" s="23" t="s">
        <v>13803</v>
      </c>
      <c r="H71" s="23" t="s">
        <v>13804</v>
      </c>
      <c r="I71" s="23" t="s">
        <v>13805</v>
      </c>
      <c r="J71" s="23" t="s">
        <v>466</v>
      </c>
      <c r="K71" s="27" t="s">
        <v>404</v>
      </c>
      <c r="L71" s="23" t="s">
        <v>405</v>
      </c>
      <c r="M71" s="25" t="s">
        <v>18</v>
      </c>
      <c r="N71" s="23" t="s">
        <v>40</v>
      </c>
      <c r="O71" s="23" t="s">
        <v>387</v>
      </c>
      <c r="P71" s="23" t="s">
        <v>40</v>
      </c>
      <c r="Q71" s="23" t="s">
        <v>40</v>
      </c>
      <c r="R71" s="23" t="s">
        <v>13695</v>
      </c>
      <c r="S71" s="23" t="s">
        <v>40</v>
      </c>
      <c r="T71" s="23" t="s">
        <v>40</v>
      </c>
    </row>
    <row r="72" spans="1:20" x14ac:dyDescent="0.25">
      <c r="A72" s="23" t="s">
        <v>13806</v>
      </c>
      <c r="B72" s="23" t="s">
        <v>361</v>
      </c>
      <c r="C72" s="23" t="s">
        <v>13794</v>
      </c>
      <c r="D72" s="23" t="s">
        <v>13807</v>
      </c>
      <c r="E72" s="23" t="s">
        <v>13808</v>
      </c>
      <c r="F72" s="23" t="s">
        <v>40</v>
      </c>
      <c r="G72" s="23" t="s">
        <v>13809</v>
      </c>
      <c r="H72" s="23" t="s">
        <v>13810</v>
      </c>
      <c r="I72" s="23" t="s">
        <v>13811</v>
      </c>
      <c r="J72" s="23" t="s">
        <v>395</v>
      </c>
      <c r="K72" s="26" t="s">
        <v>396</v>
      </c>
      <c r="L72" s="23" t="s">
        <v>13</v>
      </c>
      <c r="M72" s="25" t="s">
        <v>18</v>
      </c>
      <c r="N72" s="23" t="s">
        <v>40</v>
      </c>
      <c r="O72" s="23" t="s">
        <v>387</v>
      </c>
      <c r="P72" s="23" t="s">
        <v>40</v>
      </c>
      <c r="Q72" s="23" t="s">
        <v>40</v>
      </c>
      <c r="R72" s="23" t="s">
        <v>13695</v>
      </c>
      <c r="S72" s="23" t="s">
        <v>40</v>
      </c>
      <c r="T72" s="23" t="s">
        <v>40</v>
      </c>
    </row>
    <row r="73" spans="1:20" x14ac:dyDescent="0.25">
      <c r="A73" s="23" t="s">
        <v>13812</v>
      </c>
      <c r="B73" s="23" t="s">
        <v>361</v>
      </c>
      <c r="C73" s="23" t="s">
        <v>13794</v>
      </c>
      <c r="D73" s="23" t="s">
        <v>13813</v>
      </c>
      <c r="E73" s="23" t="s">
        <v>13712</v>
      </c>
      <c r="F73" s="23" t="s">
        <v>40</v>
      </c>
      <c r="G73" s="23" t="s">
        <v>13814</v>
      </c>
      <c r="H73" s="23" t="s">
        <v>13815</v>
      </c>
      <c r="I73" s="23" t="s">
        <v>13816</v>
      </c>
      <c r="J73" s="23" t="s">
        <v>14</v>
      </c>
      <c r="K73" s="27" t="s">
        <v>404</v>
      </c>
      <c r="L73" s="23" t="s">
        <v>490</v>
      </c>
      <c r="M73" s="25" t="s">
        <v>18</v>
      </c>
      <c r="N73" s="23" t="s">
        <v>40</v>
      </c>
      <c r="O73" s="23" t="s">
        <v>387</v>
      </c>
      <c r="P73" s="23" t="s">
        <v>40</v>
      </c>
      <c r="Q73" s="23" t="s">
        <v>40</v>
      </c>
      <c r="R73" s="23" t="s">
        <v>13695</v>
      </c>
      <c r="S73" s="23" t="s">
        <v>40</v>
      </c>
      <c r="T73" s="23" t="s">
        <v>40</v>
      </c>
    </row>
    <row r="74" spans="1:20" x14ac:dyDescent="0.25">
      <c r="A74" s="23" t="s">
        <v>13817</v>
      </c>
      <c r="B74" s="23" t="s">
        <v>361</v>
      </c>
      <c r="C74" s="23" t="s">
        <v>13818</v>
      </c>
      <c r="D74" s="23" t="s">
        <v>13819</v>
      </c>
      <c r="E74" s="23" t="s">
        <v>13724</v>
      </c>
      <c r="F74" s="23" t="s">
        <v>13820</v>
      </c>
      <c r="G74" s="23" t="s">
        <v>13821</v>
      </c>
      <c r="H74" s="23" t="s">
        <v>13822</v>
      </c>
      <c r="I74" s="23" t="s">
        <v>13823</v>
      </c>
      <c r="J74" s="23" t="s">
        <v>14</v>
      </c>
      <c r="K74" s="26" t="s">
        <v>396</v>
      </c>
      <c r="L74" s="23" t="s">
        <v>13</v>
      </c>
      <c r="M74" s="28" t="s">
        <v>16</v>
      </c>
      <c r="N74" s="23" t="s">
        <v>13599</v>
      </c>
      <c r="O74" s="29" t="s">
        <v>87</v>
      </c>
      <c r="P74" s="23" t="s">
        <v>40</v>
      </c>
      <c r="Q74" s="23" t="s">
        <v>40</v>
      </c>
      <c r="R74" s="23" t="s">
        <v>13695</v>
      </c>
      <c r="S74" s="23" t="s">
        <v>13824</v>
      </c>
      <c r="T74" s="23" t="s">
        <v>40</v>
      </c>
    </row>
    <row r="75" spans="1:20" x14ac:dyDescent="0.25">
      <c r="A75" s="23" t="s">
        <v>13825</v>
      </c>
      <c r="B75" s="23" t="s">
        <v>361</v>
      </c>
      <c r="C75" s="23" t="s">
        <v>13818</v>
      </c>
      <c r="D75" s="23" t="s">
        <v>13826</v>
      </c>
      <c r="E75" s="23" t="s">
        <v>13827</v>
      </c>
      <c r="F75" s="23" t="s">
        <v>40</v>
      </c>
      <c r="G75" s="23" t="s">
        <v>13828</v>
      </c>
      <c r="H75" s="23" t="s">
        <v>13829</v>
      </c>
      <c r="I75" s="23" t="s">
        <v>13830</v>
      </c>
      <c r="J75" s="23" t="s">
        <v>466</v>
      </c>
      <c r="K75" s="24" t="s">
        <v>386</v>
      </c>
      <c r="L75" s="23" t="s">
        <v>13</v>
      </c>
      <c r="M75" s="25" t="s">
        <v>18</v>
      </c>
      <c r="N75" s="23" t="s">
        <v>40</v>
      </c>
      <c r="O75" s="23" t="s">
        <v>387</v>
      </c>
      <c r="P75" s="23" t="s">
        <v>40</v>
      </c>
      <c r="Q75" s="23" t="s">
        <v>40</v>
      </c>
      <c r="R75" s="23" t="s">
        <v>13695</v>
      </c>
      <c r="S75" s="23" t="s">
        <v>40</v>
      </c>
      <c r="T75" s="23" t="s">
        <v>40</v>
      </c>
    </row>
    <row r="76" spans="1:20" x14ac:dyDescent="0.25">
      <c r="A76" s="23" t="s">
        <v>13831</v>
      </c>
      <c r="B76" s="23" t="s">
        <v>361</v>
      </c>
      <c r="C76" s="23" t="s">
        <v>13818</v>
      </c>
      <c r="D76" s="23" t="s">
        <v>13832</v>
      </c>
      <c r="E76" s="23" t="s">
        <v>13833</v>
      </c>
      <c r="F76" s="23" t="s">
        <v>40</v>
      </c>
      <c r="G76" s="23" t="s">
        <v>13834</v>
      </c>
      <c r="H76" s="23" t="s">
        <v>13835</v>
      </c>
      <c r="I76" s="23" t="s">
        <v>13836</v>
      </c>
      <c r="J76" s="23" t="s">
        <v>14</v>
      </c>
      <c r="K76" s="24" t="s">
        <v>386</v>
      </c>
      <c r="L76" s="23" t="s">
        <v>405</v>
      </c>
      <c r="M76" s="25" t="s">
        <v>18</v>
      </c>
      <c r="N76" s="23" t="s">
        <v>40</v>
      </c>
      <c r="O76" s="23" t="s">
        <v>387</v>
      </c>
      <c r="P76" s="23" t="s">
        <v>40</v>
      </c>
      <c r="Q76" s="23" t="s">
        <v>40</v>
      </c>
      <c r="R76" s="23" t="s">
        <v>13695</v>
      </c>
      <c r="S76" s="23" t="s">
        <v>13837</v>
      </c>
      <c r="T76" s="23" t="s">
        <v>40</v>
      </c>
    </row>
    <row r="77" spans="1:20" x14ac:dyDescent="0.25">
      <c r="A77" s="23" t="s">
        <v>13838</v>
      </c>
      <c r="B77" s="23" t="s">
        <v>361</v>
      </c>
      <c r="C77" s="23" t="s">
        <v>13839</v>
      </c>
      <c r="D77" s="23" t="s">
        <v>13840</v>
      </c>
      <c r="E77" s="23" t="s">
        <v>13833</v>
      </c>
      <c r="F77" s="23" t="s">
        <v>40</v>
      </c>
      <c r="G77" s="23" t="s">
        <v>13841</v>
      </c>
      <c r="H77" s="23" t="s">
        <v>13842</v>
      </c>
      <c r="I77" s="23" t="s">
        <v>13843</v>
      </c>
      <c r="J77" s="23" t="s">
        <v>14</v>
      </c>
      <c r="K77" s="24" t="s">
        <v>386</v>
      </c>
      <c r="L77" s="23" t="s">
        <v>405</v>
      </c>
      <c r="M77" s="25" t="s">
        <v>18</v>
      </c>
      <c r="N77" s="23" t="s">
        <v>40</v>
      </c>
      <c r="O77" s="23" t="s">
        <v>387</v>
      </c>
      <c r="P77" s="23" t="s">
        <v>40</v>
      </c>
      <c r="Q77" s="23" t="s">
        <v>40</v>
      </c>
      <c r="R77" s="23" t="s">
        <v>13695</v>
      </c>
      <c r="S77" s="23" t="s">
        <v>13844</v>
      </c>
      <c r="T77" s="23" t="s">
        <v>40</v>
      </c>
    </row>
    <row r="78" spans="1:20" x14ac:dyDescent="0.25">
      <c r="A78" s="23" t="s">
        <v>13845</v>
      </c>
      <c r="B78" s="23" t="s">
        <v>361</v>
      </c>
      <c r="C78" s="23" t="s">
        <v>13846</v>
      </c>
      <c r="D78" s="23" t="s">
        <v>13847</v>
      </c>
      <c r="E78" s="23" t="s">
        <v>13833</v>
      </c>
      <c r="F78" s="23" t="s">
        <v>40</v>
      </c>
      <c r="G78" s="23" t="s">
        <v>13848</v>
      </c>
      <c r="H78" s="23" t="s">
        <v>13849</v>
      </c>
      <c r="I78" s="23" t="s">
        <v>13850</v>
      </c>
      <c r="J78" s="23" t="s">
        <v>14</v>
      </c>
      <c r="K78" s="24" t="s">
        <v>386</v>
      </c>
      <c r="L78" s="23" t="s">
        <v>405</v>
      </c>
      <c r="M78" s="25" t="s">
        <v>18</v>
      </c>
      <c r="N78" s="23" t="s">
        <v>40</v>
      </c>
      <c r="O78" s="23" t="s">
        <v>387</v>
      </c>
      <c r="P78" s="23" t="s">
        <v>40</v>
      </c>
      <c r="Q78" s="23" t="s">
        <v>40</v>
      </c>
      <c r="R78" s="23" t="s">
        <v>13695</v>
      </c>
      <c r="S78" s="23" t="s">
        <v>13568</v>
      </c>
      <c r="T78" s="23" t="s">
        <v>40</v>
      </c>
    </row>
    <row r="79" spans="1:20" x14ac:dyDescent="0.25">
      <c r="A79" s="23" t="s">
        <v>13851</v>
      </c>
      <c r="B79" s="23" t="s">
        <v>361</v>
      </c>
      <c r="C79" s="23" t="s">
        <v>13846</v>
      </c>
      <c r="D79" s="23" t="s">
        <v>13852</v>
      </c>
      <c r="E79" s="23" t="s">
        <v>13853</v>
      </c>
      <c r="F79" s="23" t="s">
        <v>40</v>
      </c>
      <c r="G79" s="23" t="s">
        <v>13854</v>
      </c>
      <c r="H79" s="23" t="s">
        <v>13855</v>
      </c>
      <c r="I79" s="23" t="s">
        <v>13856</v>
      </c>
      <c r="J79" s="23" t="s">
        <v>14</v>
      </c>
      <c r="K79" s="27" t="s">
        <v>404</v>
      </c>
      <c r="L79" s="23" t="s">
        <v>490</v>
      </c>
      <c r="M79" s="25" t="s">
        <v>18</v>
      </c>
      <c r="N79" s="23" t="s">
        <v>40</v>
      </c>
      <c r="O79" s="23" t="s">
        <v>387</v>
      </c>
      <c r="P79" s="23" t="s">
        <v>40</v>
      </c>
      <c r="Q79" s="23" t="s">
        <v>40</v>
      </c>
      <c r="R79" s="23" t="s">
        <v>13695</v>
      </c>
      <c r="S79" s="23" t="s">
        <v>40</v>
      </c>
      <c r="T79" s="23" t="s">
        <v>40</v>
      </c>
    </row>
    <row r="80" spans="1:20" x14ac:dyDescent="0.25">
      <c r="A80" s="23" t="s">
        <v>13857</v>
      </c>
      <c r="B80" s="23" t="s">
        <v>361</v>
      </c>
      <c r="C80" s="23" t="s">
        <v>2651</v>
      </c>
      <c r="D80" s="23" t="s">
        <v>13858</v>
      </c>
      <c r="E80" s="23" t="s">
        <v>13859</v>
      </c>
      <c r="F80" s="23" t="s">
        <v>40</v>
      </c>
      <c r="G80" s="23" t="s">
        <v>13860</v>
      </c>
      <c r="H80" s="23" t="s">
        <v>13861</v>
      </c>
      <c r="I80" s="23" t="s">
        <v>13862</v>
      </c>
      <c r="J80" s="23" t="s">
        <v>563</v>
      </c>
      <c r="K80" s="26" t="s">
        <v>396</v>
      </c>
      <c r="L80" s="23" t="s">
        <v>13</v>
      </c>
      <c r="M80" s="25" t="s">
        <v>18</v>
      </c>
      <c r="N80" s="23" t="s">
        <v>40</v>
      </c>
      <c r="O80" s="23" t="s">
        <v>387</v>
      </c>
      <c r="P80" s="23" t="s">
        <v>40</v>
      </c>
      <c r="Q80" s="23" t="s">
        <v>40</v>
      </c>
      <c r="R80" s="23" t="s">
        <v>13695</v>
      </c>
      <c r="S80" s="23" t="s">
        <v>40</v>
      </c>
      <c r="T80" s="23" t="s">
        <v>40</v>
      </c>
    </row>
    <row r="81" spans="1:20" x14ac:dyDescent="0.25">
      <c r="A81" s="23" t="s">
        <v>13863</v>
      </c>
      <c r="B81" s="23" t="s">
        <v>361</v>
      </c>
      <c r="C81" s="23" t="s">
        <v>2651</v>
      </c>
      <c r="D81" s="23" t="s">
        <v>13864</v>
      </c>
      <c r="E81" s="23" t="s">
        <v>13833</v>
      </c>
      <c r="F81" s="23" t="s">
        <v>40</v>
      </c>
      <c r="G81" s="23" t="s">
        <v>13865</v>
      </c>
      <c r="H81" s="23" t="s">
        <v>13866</v>
      </c>
      <c r="I81" s="23" t="s">
        <v>13867</v>
      </c>
      <c r="J81" s="23" t="s">
        <v>15</v>
      </c>
      <c r="K81" s="27" t="s">
        <v>404</v>
      </c>
      <c r="L81" s="23" t="s">
        <v>490</v>
      </c>
      <c r="M81" s="25" t="s">
        <v>18</v>
      </c>
      <c r="N81" s="23" t="s">
        <v>40</v>
      </c>
      <c r="O81" s="23" t="s">
        <v>387</v>
      </c>
      <c r="P81" s="23" t="s">
        <v>40</v>
      </c>
      <c r="Q81" s="23" t="s">
        <v>40</v>
      </c>
      <c r="R81" s="23" t="s">
        <v>13695</v>
      </c>
      <c r="S81" s="23" t="s">
        <v>40</v>
      </c>
      <c r="T81" s="23" t="s">
        <v>40</v>
      </c>
    </row>
    <row r="82" spans="1:20" x14ac:dyDescent="0.25">
      <c r="A82" s="23" t="s">
        <v>13868</v>
      </c>
      <c r="B82" s="23" t="s">
        <v>361</v>
      </c>
      <c r="C82" s="23" t="s">
        <v>2651</v>
      </c>
      <c r="D82" s="23" t="s">
        <v>13869</v>
      </c>
      <c r="E82" s="23" t="s">
        <v>13870</v>
      </c>
      <c r="F82" s="23" t="s">
        <v>40</v>
      </c>
      <c r="G82" s="23" t="s">
        <v>13871</v>
      </c>
      <c r="H82" s="23" t="s">
        <v>13872</v>
      </c>
      <c r="I82" s="23" t="s">
        <v>13873</v>
      </c>
      <c r="J82" s="23" t="s">
        <v>15</v>
      </c>
      <c r="K82" s="27" t="s">
        <v>404</v>
      </c>
      <c r="L82" s="23" t="s">
        <v>490</v>
      </c>
      <c r="M82" s="25" t="s">
        <v>18</v>
      </c>
      <c r="N82" s="23" t="s">
        <v>40</v>
      </c>
      <c r="O82" s="23" t="s">
        <v>387</v>
      </c>
      <c r="P82" s="23" t="s">
        <v>40</v>
      </c>
      <c r="Q82" s="23" t="s">
        <v>40</v>
      </c>
      <c r="R82" s="23" t="s">
        <v>13695</v>
      </c>
      <c r="S82" s="23" t="s">
        <v>40</v>
      </c>
      <c r="T82" s="23" t="s">
        <v>40</v>
      </c>
    </row>
    <row r="83" spans="1:20" x14ac:dyDescent="0.25">
      <c r="A83" s="23" t="s">
        <v>13874</v>
      </c>
      <c r="B83" s="23" t="s">
        <v>361</v>
      </c>
      <c r="C83" s="23" t="s">
        <v>13875</v>
      </c>
      <c r="D83" s="23" t="s">
        <v>13876</v>
      </c>
      <c r="E83" s="23" t="s">
        <v>13877</v>
      </c>
      <c r="F83" s="23" t="s">
        <v>40</v>
      </c>
      <c r="G83" s="23" t="s">
        <v>13878</v>
      </c>
      <c r="H83" s="23" t="s">
        <v>13879</v>
      </c>
      <c r="I83" s="23" t="s">
        <v>13880</v>
      </c>
      <c r="J83" s="23" t="s">
        <v>385</v>
      </c>
      <c r="K83" s="32" t="s">
        <v>747</v>
      </c>
      <c r="L83" s="23" t="s">
        <v>490</v>
      </c>
      <c r="M83" s="25" t="s">
        <v>18</v>
      </c>
      <c r="N83" s="23" t="s">
        <v>40</v>
      </c>
      <c r="O83" s="23" t="s">
        <v>387</v>
      </c>
      <c r="P83" s="23" t="s">
        <v>40</v>
      </c>
      <c r="Q83" s="23" t="s">
        <v>40</v>
      </c>
      <c r="R83" s="23" t="s">
        <v>13695</v>
      </c>
      <c r="S83" s="23" t="s">
        <v>40</v>
      </c>
      <c r="T83" s="23" t="s">
        <v>40</v>
      </c>
    </row>
    <row r="84" spans="1:20" x14ac:dyDescent="0.25">
      <c r="A84" s="23" t="s">
        <v>13881</v>
      </c>
      <c r="B84" s="23" t="s">
        <v>361</v>
      </c>
      <c r="C84" s="23" t="s">
        <v>13875</v>
      </c>
      <c r="D84" s="23" t="s">
        <v>13882</v>
      </c>
      <c r="E84" s="23" t="s">
        <v>13712</v>
      </c>
      <c r="F84" s="23" t="s">
        <v>40</v>
      </c>
      <c r="G84" s="23" t="s">
        <v>13883</v>
      </c>
      <c r="H84" s="23" t="s">
        <v>13884</v>
      </c>
      <c r="I84" s="23" t="s">
        <v>13885</v>
      </c>
      <c r="J84" s="23" t="s">
        <v>14</v>
      </c>
      <c r="K84" s="27" t="s">
        <v>404</v>
      </c>
      <c r="L84" s="23" t="s">
        <v>490</v>
      </c>
      <c r="M84" s="25" t="s">
        <v>18</v>
      </c>
      <c r="N84" s="23" t="s">
        <v>40</v>
      </c>
      <c r="O84" s="23" t="s">
        <v>387</v>
      </c>
      <c r="P84" s="23" t="s">
        <v>40</v>
      </c>
      <c r="Q84" s="23" t="s">
        <v>40</v>
      </c>
      <c r="R84" s="23" t="s">
        <v>13695</v>
      </c>
      <c r="S84" s="23" t="s">
        <v>13886</v>
      </c>
      <c r="T84" s="23" t="s">
        <v>40</v>
      </c>
    </row>
    <row r="85" spans="1:20" x14ac:dyDescent="0.25">
      <c r="A85" s="23" t="s">
        <v>13887</v>
      </c>
      <c r="B85" s="23" t="s">
        <v>361</v>
      </c>
      <c r="C85" s="23" t="s">
        <v>13875</v>
      </c>
      <c r="D85" s="23" t="s">
        <v>13888</v>
      </c>
      <c r="E85" s="23" t="s">
        <v>13889</v>
      </c>
      <c r="F85" s="23" t="s">
        <v>40</v>
      </c>
      <c r="G85" s="23" t="s">
        <v>13890</v>
      </c>
      <c r="H85" s="23" t="s">
        <v>13891</v>
      </c>
      <c r="I85" s="23" t="s">
        <v>13892</v>
      </c>
      <c r="J85" s="23" t="s">
        <v>14</v>
      </c>
      <c r="K85" s="27" t="s">
        <v>404</v>
      </c>
      <c r="L85" s="23" t="s">
        <v>490</v>
      </c>
      <c r="M85" s="25" t="s">
        <v>18</v>
      </c>
      <c r="N85" s="23" t="s">
        <v>40</v>
      </c>
      <c r="O85" s="23" t="s">
        <v>387</v>
      </c>
      <c r="P85" s="23" t="s">
        <v>40</v>
      </c>
      <c r="Q85" s="23" t="s">
        <v>40</v>
      </c>
      <c r="R85" s="23" t="s">
        <v>13695</v>
      </c>
      <c r="S85" s="23" t="s">
        <v>13893</v>
      </c>
      <c r="T85" s="23" t="s">
        <v>40</v>
      </c>
    </row>
    <row r="86" spans="1:20" x14ac:dyDescent="0.25">
      <c r="A86" s="23" t="s">
        <v>13894</v>
      </c>
      <c r="B86" s="23" t="s">
        <v>361</v>
      </c>
      <c r="C86" s="23" t="s">
        <v>783</v>
      </c>
      <c r="D86" s="23" t="s">
        <v>13895</v>
      </c>
      <c r="E86" s="23" t="s">
        <v>13896</v>
      </c>
      <c r="F86" s="23" t="s">
        <v>40</v>
      </c>
      <c r="G86" s="23" t="s">
        <v>13897</v>
      </c>
      <c r="H86" s="23" t="s">
        <v>13898</v>
      </c>
      <c r="I86" s="23" t="s">
        <v>13899</v>
      </c>
      <c r="J86" s="23" t="s">
        <v>801</v>
      </c>
      <c r="K86" s="24" t="s">
        <v>386</v>
      </c>
      <c r="L86" s="23" t="s">
        <v>405</v>
      </c>
      <c r="M86" s="25" t="s">
        <v>18</v>
      </c>
      <c r="N86" s="23" t="s">
        <v>40</v>
      </c>
      <c r="O86" s="23" t="s">
        <v>387</v>
      </c>
      <c r="P86" s="23" t="s">
        <v>40</v>
      </c>
      <c r="Q86" s="23" t="s">
        <v>40</v>
      </c>
      <c r="R86" s="23" t="s">
        <v>13695</v>
      </c>
      <c r="S86" s="23" t="s">
        <v>40</v>
      </c>
      <c r="T86" s="23" t="s">
        <v>40</v>
      </c>
    </row>
    <row r="87" spans="1:20" x14ac:dyDescent="0.25">
      <c r="A87" s="23" t="s">
        <v>13900</v>
      </c>
      <c r="B87" s="23" t="s">
        <v>361</v>
      </c>
      <c r="C87" s="23" t="s">
        <v>783</v>
      </c>
      <c r="D87" s="23" t="s">
        <v>13901</v>
      </c>
      <c r="E87" s="23" t="s">
        <v>13902</v>
      </c>
      <c r="F87" s="23" t="s">
        <v>40</v>
      </c>
      <c r="G87" s="23" t="s">
        <v>13903</v>
      </c>
      <c r="H87" s="23" t="s">
        <v>13904</v>
      </c>
      <c r="I87" s="23" t="s">
        <v>13905</v>
      </c>
      <c r="J87" s="23" t="s">
        <v>801</v>
      </c>
      <c r="K87" s="27" t="s">
        <v>404</v>
      </c>
      <c r="L87" s="23" t="s">
        <v>490</v>
      </c>
      <c r="M87" s="25" t="s">
        <v>18</v>
      </c>
      <c r="N87" s="23" t="s">
        <v>40</v>
      </c>
      <c r="O87" s="23" t="s">
        <v>387</v>
      </c>
      <c r="P87" s="23" t="s">
        <v>40</v>
      </c>
      <c r="Q87" s="23" t="s">
        <v>40</v>
      </c>
      <c r="R87" s="23" t="s">
        <v>13695</v>
      </c>
      <c r="S87" s="23" t="s">
        <v>40</v>
      </c>
      <c r="T87" s="23" t="s">
        <v>40</v>
      </c>
    </row>
    <row r="88" spans="1:20" x14ac:dyDescent="0.25">
      <c r="A88" s="23" t="s">
        <v>13906</v>
      </c>
      <c r="B88" s="23" t="s">
        <v>361</v>
      </c>
      <c r="C88" s="23" t="s">
        <v>801</v>
      </c>
      <c r="D88" s="23" t="s">
        <v>13907</v>
      </c>
      <c r="E88" s="23" t="s">
        <v>13908</v>
      </c>
      <c r="F88" s="23" t="s">
        <v>40</v>
      </c>
      <c r="G88" s="23" t="s">
        <v>13909</v>
      </c>
      <c r="H88" s="23" t="s">
        <v>13910</v>
      </c>
      <c r="I88" s="23" t="s">
        <v>13911</v>
      </c>
      <c r="J88" s="23" t="s">
        <v>801</v>
      </c>
      <c r="K88" s="27" t="s">
        <v>404</v>
      </c>
      <c r="L88" s="23" t="s">
        <v>490</v>
      </c>
      <c r="M88" s="25" t="s">
        <v>18</v>
      </c>
      <c r="N88" s="23" t="s">
        <v>40</v>
      </c>
      <c r="O88" s="23" t="s">
        <v>387</v>
      </c>
      <c r="P88" s="23" t="s">
        <v>40</v>
      </c>
      <c r="Q88" s="23" t="s">
        <v>40</v>
      </c>
      <c r="R88" s="23" t="s">
        <v>13695</v>
      </c>
      <c r="S88" s="23" t="s">
        <v>40</v>
      </c>
      <c r="T88" s="23" t="s">
        <v>40</v>
      </c>
    </row>
    <row r="89" spans="1:20" x14ac:dyDescent="0.25">
      <c r="A89" s="23" t="s">
        <v>13912</v>
      </c>
      <c r="B89" s="23" t="s">
        <v>361</v>
      </c>
      <c r="C89" s="23" t="s">
        <v>434</v>
      </c>
      <c r="D89" s="23" t="s">
        <v>13913</v>
      </c>
      <c r="E89" s="23" t="s">
        <v>13914</v>
      </c>
      <c r="F89" s="23" t="s">
        <v>40</v>
      </c>
      <c r="G89" s="23" t="s">
        <v>13915</v>
      </c>
      <c r="H89" s="23" t="s">
        <v>13916</v>
      </c>
      <c r="I89" s="23" t="s">
        <v>13917</v>
      </c>
      <c r="J89" s="23" t="s">
        <v>434</v>
      </c>
      <c r="K89" s="27" t="s">
        <v>404</v>
      </c>
      <c r="L89" s="23" t="s">
        <v>490</v>
      </c>
      <c r="M89" s="25" t="s">
        <v>18</v>
      </c>
      <c r="N89" s="23" t="s">
        <v>40</v>
      </c>
      <c r="O89" s="23" t="s">
        <v>387</v>
      </c>
      <c r="P89" s="23" t="s">
        <v>40</v>
      </c>
      <c r="Q89" s="23" t="s">
        <v>40</v>
      </c>
      <c r="R89" s="23" t="s">
        <v>13695</v>
      </c>
      <c r="S89" s="23" t="s">
        <v>40</v>
      </c>
      <c r="T89" s="23" t="s">
        <v>40</v>
      </c>
    </row>
  </sheetData>
  <autoFilter ref="A1:T89"/>
  <dataValidations count="2">
    <dataValidation type="list" allowBlank="1" sqref="O10:O89">
      <formula1>"Passed,Failed,Blocked,Not Executed,Passed (19 Oct 2026)"</formula1>
    </dataValidation>
    <dataValidation type="list" allowBlank="1" sqref="O2:O89">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9"/>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13918</v>
      </c>
      <c r="B2" s="23" t="s">
        <v>13919</v>
      </c>
      <c r="C2" s="23" t="s">
        <v>13920</v>
      </c>
      <c r="D2" s="23" t="s">
        <v>13921</v>
      </c>
      <c r="E2" s="23" t="s">
        <v>589</v>
      </c>
      <c r="F2" s="23" t="s">
        <v>13922</v>
      </c>
      <c r="G2" s="23" t="s">
        <v>13923</v>
      </c>
      <c r="H2" s="23" t="s">
        <v>13924</v>
      </c>
      <c r="I2" s="23" t="s">
        <v>13925</v>
      </c>
      <c r="J2" s="23" t="s">
        <v>563</v>
      </c>
      <c r="K2" s="26" t="s">
        <v>396</v>
      </c>
      <c r="L2" s="23" t="s">
        <v>13</v>
      </c>
      <c r="M2" s="28" t="s">
        <v>16</v>
      </c>
      <c r="N2" s="23" t="s">
        <v>2720</v>
      </c>
      <c r="O2" s="29" t="s">
        <v>87</v>
      </c>
      <c r="P2" s="23" t="s">
        <v>40</v>
      </c>
      <c r="Q2" s="23" t="s">
        <v>40</v>
      </c>
      <c r="R2" s="23" t="s">
        <v>40</v>
      </c>
      <c r="S2" s="23" t="s">
        <v>40</v>
      </c>
      <c r="T2" s="23" t="s">
        <v>40</v>
      </c>
    </row>
    <row r="3" spans="1:20" x14ac:dyDescent="0.25">
      <c r="A3" s="23" t="s">
        <v>13926</v>
      </c>
      <c r="B3" s="23" t="s">
        <v>13919</v>
      </c>
      <c r="C3" s="23" t="s">
        <v>13920</v>
      </c>
      <c r="D3" s="23" t="s">
        <v>13927</v>
      </c>
      <c r="E3" s="23" t="s">
        <v>13928</v>
      </c>
      <c r="F3" s="23" t="s">
        <v>40</v>
      </c>
      <c r="G3" s="23" t="s">
        <v>13929</v>
      </c>
      <c r="H3" s="23" t="s">
        <v>13930</v>
      </c>
      <c r="I3" s="23" t="s">
        <v>13931</v>
      </c>
      <c r="J3" s="23" t="s">
        <v>563</v>
      </c>
      <c r="K3" s="24" t="s">
        <v>386</v>
      </c>
      <c r="L3" s="23" t="s">
        <v>405</v>
      </c>
      <c r="M3" s="28" t="s">
        <v>16</v>
      </c>
      <c r="N3" s="23" t="s">
        <v>2720</v>
      </c>
      <c r="O3" s="29" t="s">
        <v>87</v>
      </c>
      <c r="P3" s="23" t="s">
        <v>40</v>
      </c>
      <c r="Q3" s="23" t="s">
        <v>40</v>
      </c>
      <c r="R3" s="23" t="s">
        <v>40</v>
      </c>
      <c r="S3" s="23" t="s">
        <v>40</v>
      </c>
      <c r="T3" s="23" t="s">
        <v>40</v>
      </c>
    </row>
    <row r="4" spans="1:20" x14ac:dyDescent="0.25">
      <c r="A4" s="23" t="s">
        <v>13932</v>
      </c>
      <c r="B4" s="23" t="s">
        <v>13919</v>
      </c>
      <c r="C4" s="23" t="s">
        <v>13920</v>
      </c>
      <c r="D4" s="23" t="s">
        <v>13933</v>
      </c>
      <c r="E4" s="23" t="s">
        <v>13934</v>
      </c>
      <c r="F4" s="23" t="s">
        <v>13935</v>
      </c>
      <c r="G4" s="23" t="s">
        <v>13936</v>
      </c>
      <c r="H4" s="23" t="s">
        <v>13937</v>
      </c>
      <c r="I4" s="23" t="s">
        <v>13938</v>
      </c>
      <c r="J4" s="23" t="s">
        <v>563</v>
      </c>
      <c r="K4" s="26" t="s">
        <v>396</v>
      </c>
      <c r="L4" s="23" t="s">
        <v>13</v>
      </c>
      <c r="M4" s="28" t="s">
        <v>16</v>
      </c>
      <c r="N4" s="23" t="s">
        <v>2982</v>
      </c>
      <c r="O4" s="29" t="s">
        <v>87</v>
      </c>
      <c r="P4" s="23" t="s">
        <v>40</v>
      </c>
      <c r="Q4" s="23" t="s">
        <v>40</v>
      </c>
      <c r="R4" s="23" t="s">
        <v>40</v>
      </c>
      <c r="S4" s="23" t="s">
        <v>40</v>
      </c>
      <c r="T4" s="23" t="s">
        <v>40</v>
      </c>
    </row>
    <row r="5" spans="1:20" x14ac:dyDescent="0.25">
      <c r="A5" s="23" t="s">
        <v>13939</v>
      </c>
      <c r="B5" s="23" t="s">
        <v>13919</v>
      </c>
      <c r="C5" s="23" t="s">
        <v>13920</v>
      </c>
      <c r="D5" s="23" t="s">
        <v>13940</v>
      </c>
      <c r="E5" s="23" t="s">
        <v>13941</v>
      </c>
      <c r="F5" s="23" t="s">
        <v>40</v>
      </c>
      <c r="G5" s="23" t="s">
        <v>13942</v>
      </c>
      <c r="H5" s="23" t="s">
        <v>13943</v>
      </c>
      <c r="I5" s="23" t="s">
        <v>13944</v>
      </c>
      <c r="J5" s="23" t="s">
        <v>563</v>
      </c>
      <c r="K5" s="24" t="s">
        <v>386</v>
      </c>
      <c r="L5" s="23" t="s">
        <v>405</v>
      </c>
      <c r="M5" s="25" t="s">
        <v>18</v>
      </c>
      <c r="N5" s="23" t="s">
        <v>40</v>
      </c>
      <c r="O5" s="23" t="s">
        <v>387</v>
      </c>
      <c r="P5" s="23" t="s">
        <v>40</v>
      </c>
      <c r="Q5" s="23" t="s">
        <v>40</v>
      </c>
      <c r="R5" s="23" t="s">
        <v>40</v>
      </c>
      <c r="S5" s="23" t="s">
        <v>40</v>
      </c>
      <c r="T5" s="23" t="s">
        <v>40</v>
      </c>
    </row>
    <row r="6" spans="1:20" x14ac:dyDescent="0.25">
      <c r="A6" s="23" t="s">
        <v>13945</v>
      </c>
      <c r="B6" s="23" t="s">
        <v>13919</v>
      </c>
      <c r="C6" s="23" t="s">
        <v>13920</v>
      </c>
      <c r="D6" s="23" t="s">
        <v>13946</v>
      </c>
      <c r="E6" s="23" t="s">
        <v>13947</v>
      </c>
      <c r="F6" s="23" t="s">
        <v>40</v>
      </c>
      <c r="G6" s="23" t="s">
        <v>13948</v>
      </c>
      <c r="H6" s="23" t="s">
        <v>13949</v>
      </c>
      <c r="I6" s="23" t="s">
        <v>13950</v>
      </c>
      <c r="J6" s="23" t="s">
        <v>563</v>
      </c>
      <c r="K6" s="26" t="s">
        <v>396</v>
      </c>
      <c r="L6" s="23" t="s">
        <v>13</v>
      </c>
      <c r="M6" s="28" t="s">
        <v>16</v>
      </c>
      <c r="N6" s="23" t="s">
        <v>2982</v>
      </c>
      <c r="O6" s="29" t="s">
        <v>87</v>
      </c>
      <c r="P6" s="23" t="s">
        <v>40</v>
      </c>
      <c r="Q6" s="23" t="s">
        <v>40</v>
      </c>
      <c r="R6" s="23" t="s">
        <v>40</v>
      </c>
      <c r="S6" s="23" t="s">
        <v>40</v>
      </c>
      <c r="T6" s="23" t="s">
        <v>40</v>
      </c>
    </row>
    <row r="7" spans="1:20" x14ac:dyDescent="0.25">
      <c r="A7" s="23" t="s">
        <v>13951</v>
      </c>
      <c r="B7" s="23" t="s">
        <v>13919</v>
      </c>
      <c r="C7" s="23" t="s">
        <v>13920</v>
      </c>
      <c r="D7" s="23" t="s">
        <v>13952</v>
      </c>
      <c r="E7" s="23" t="s">
        <v>13953</v>
      </c>
      <c r="F7" s="23" t="s">
        <v>13954</v>
      </c>
      <c r="G7" s="23" t="s">
        <v>13955</v>
      </c>
      <c r="H7" s="23" t="s">
        <v>13956</v>
      </c>
      <c r="I7" s="23" t="s">
        <v>13957</v>
      </c>
      <c r="J7" s="23" t="s">
        <v>563</v>
      </c>
      <c r="K7" s="26" t="s">
        <v>396</v>
      </c>
      <c r="L7" s="23" t="s">
        <v>13</v>
      </c>
      <c r="M7" s="28" t="s">
        <v>16</v>
      </c>
      <c r="N7" s="23" t="s">
        <v>3107</v>
      </c>
      <c r="O7" s="29" t="s">
        <v>87</v>
      </c>
      <c r="P7" s="23" t="s">
        <v>40</v>
      </c>
      <c r="Q7" s="23" t="s">
        <v>40</v>
      </c>
      <c r="R7" s="23" t="s">
        <v>40</v>
      </c>
      <c r="S7" s="23" t="s">
        <v>40</v>
      </c>
      <c r="T7" s="23" t="s">
        <v>40</v>
      </c>
    </row>
    <row r="8" spans="1:20" x14ac:dyDescent="0.25">
      <c r="A8" s="23" t="s">
        <v>13958</v>
      </c>
      <c r="B8" s="23" t="s">
        <v>13919</v>
      </c>
      <c r="C8" s="23" t="s">
        <v>13920</v>
      </c>
      <c r="D8" s="23" t="s">
        <v>13959</v>
      </c>
      <c r="E8" s="23" t="s">
        <v>13960</v>
      </c>
      <c r="F8" s="23" t="s">
        <v>40</v>
      </c>
      <c r="G8" s="23" t="s">
        <v>13961</v>
      </c>
      <c r="H8" s="23" t="s">
        <v>13962</v>
      </c>
      <c r="I8" s="23" t="s">
        <v>13963</v>
      </c>
      <c r="J8" s="23" t="s">
        <v>563</v>
      </c>
      <c r="K8" s="24" t="s">
        <v>386</v>
      </c>
      <c r="L8" s="23" t="s">
        <v>405</v>
      </c>
      <c r="M8" s="25" t="s">
        <v>18</v>
      </c>
      <c r="N8" s="23" t="s">
        <v>40</v>
      </c>
      <c r="O8" s="23" t="s">
        <v>387</v>
      </c>
      <c r="P8" s="23" t="s">
        <v>40</v>
      </c>
      <c r="Q8" s="23" t="s">
        <v>40</v>
      </c>
      <c r="R8" s="23" t="s">
        <v>40</v>
      </c>
      <c r="S8" s="23" t="s">
        <v>40</v>
      </c>
      <c r="T8" s="23" t="s">
        <v>40</v>
      </c>
    </row>
    <row r="9" spans="1:20" x14ac:dyDescent="0.25">
      <c r="A9" s="23" t="s">
        <v>13964</v>
      </c>
      <c r="B9" s="23" t="s">
        <v>13919</v>
      </c>
      <c r="C9" s="23" t="s">
        <v>13920</v>
      </c>
      <c r="D9" s="23" t="s">
        <v>13965</v>
      </c>
      <c r="E9" s="23" t="s">
        <v>13966</v>
      </c>
      <c r="F9" s="23" t="s">
        <v>40</v>
      </c>
      <c r="G9" s="23" t="s">
        <v>13967</v>
      </c>
      <c r="H9" s="23" t="s">
        <v>13968</v>
      </c>
      <c r="I9" s="23" t="s">
        <v>13969</v>
      </c>
      <c r="J9" s="23" t="s">
        <v>563</v>
      </c>
      <c r="K9" s="26" t="s">
        <v>396</v>
      </c>
      <c r="L9" s="23" t="s">
        <v>13</v>
      </c>
      <c r="M9" s="28" t="s">
        <v>16</v>
      </c>
      <c r="N9" s="23" t="s">
        <v>3698</v>
      </c>
      <c r="O9" s="29" t="s">
        <v>87</v>
      </c>
      <c r="P9" s="23" t="s">
        <v>40</v>
      </c>
      <c r="Q9" s="23" t="s">
        <v>40</v>
      </c>
      <c r="R9" s="23" t="s">
        <v>40</v>
      </c>
      <c r="S9" s="23" t="s">
        <v>40</v>
      </c>
      <c r="T9" s="23" t="s">
        <v>40</v>
      </c>
    </row>
    <row r="10" spans="1:20" x14ac:dyDescent="0.25">
      <c r="A10" s="23" t="s">
        <v>13970</v>
      </c>
      <c r="B10" s="23" t="s">
        <v>13919</v>
      </c>
      <c r="C10" s="23" t="s">
        <v>13920</v>
      </c>
      <c r="D10" s="23" t="s">
        <v>13971</v>
      </c>
      <c r="E10" s="23" t="s">
        <v>13972</v>
      </c>
      <c r="F10" s="23" t="s">
        <v>40</v>
      </c>
      <c r="G10" s="23" t="s">
        <v>13973</v>
      </c>
      <c r="H10" s="23" t="s">
        <v>13974</v>
      </c>
      <c r="I10" s="23" t="s">
        <v>13975</v>
      </c>
      <c r="J10" s="23" t="s">
        <v>563</v>
      </c>
      <c r="K10" s="24" t="s">
        <v>386</v>
      </c>
      <c r="L10" s="23" t="s">
        <v>405</v>
      </c>
      <c r="M10" s="30" t="s">
        <v>19</v>
      </c>
      <c r="N10" s="23" t="s">
        <v>40</v>
      </c>
      <c r="O10" s="23" t="s">
        <v>387</v>
      </c>
      <c r="P10" s="23" t="s">
        <v>40</v>
      </c>
      <c r="Q10" s="23" t="s">
        <v>40</v>
      </c>
      <c r="R10" s="23" t="s">
        <v>40</v>
      </c>
      <c r="S10" s="23" t="s">
        <v>13976</v>
      </c>
      <c r="T10" s="23" t="s">
        <v>40</v>
      </c>
    </row>
    <row r="11" spans="1:20" x14ac:dyDescent="0.25">
      <c r="A11" s="23" t="s">
        <v>13977</v>
      </c>
      <c r="B11" s="23" t="s">
        <v>13919</v>
      </c>
      <c r="C11" s="23" t="s">
        <v>13920</v>
      </c>
      <c r="D11" s="23" t="s">
        <v>13978</v>
      </c>
      <c r="E11" s="23" t="s">
        <v>13979</v>
      </c>
      <c r="F11" s="23" t="s">
        <v>40</v>
      </c>
      <c r="G11" s="23" t="s">
        <v>13980</v>
      </c>
      <c r="H11" s="23" t="s">
        <v>13981</v>
      </c>
      <c r="I11" s="23" t="s">
        <v>13982</v>
      </c>
      <c r="J11" s="23" t="s">
        <v>563</v>
      </c>
      <c r="K11" s="26" t="s">
        <v>396</v>
      </c>
      <c r="L11" s="23" t="s">
        <v>13</v>
      </c>
      <c r="M11" s="28" t="s">
        <v>16</v>
      </c>
      <c r="N11" s="23" t="s">
        <v>3782</v>
      </c>
      <c r="O11" s="29" t="s">
        <v>87</v>
      </c>
      <c r="P11" s="23" t="s">
        <v>40</v>
      </c>
      <c r="Q11" s="23" t="s">
        <v>40</v>
      </c>
      <c r="R11" s="23" t="s">
        <v>40</v>
      </c>
      <c r="S11" s="23" t="s">
        <v>40</v>
      </c>
      <c r="T11" s="23" t="s">
        <v>40</v>
      </c>
    </row>
    <row r="12" spans="1:20" x14ac:dyDescent="0.25">
      <c r="A12" s="23" t="s">
        <v>13983</v>
      </c>
      <c r="B12" s="23" t="s">
        <v>13919</v>
      </c>
      <c r="C12" s="23" t="s">
        <v>13920</v>
      </c>
      <c r="D12" s="23" t="s">
        <v>13984</v>
      </c>
      <c r="E12" s="23" t="s">
        <v>13985</v>
      </c>
      <c r="F12" s="23" t="s">
        <v>40</v>
      </c>
      <c r="G12" s="23" t="s">
        <v>13986</v>
      </c>
      <c r="H12" s="23" t="s">
        <v>13987</v>
      </c>
      <c r="I12" s="23" t="s">
        <v>13988</v>
      </c>
      <c r="J12" s="23" t="s">
        <v>563</v>
      </c>
      <c r="K12" s="24" t="s">
        <v>386</v>
      </c>
      <c r="L12" s="23" t="s">
        <v>405</v>
      </c>
      <c r="M12" s="25" t="s">
        <v>18</v>
      </c>
      <c r="N12" s="23" t="s">
        <v>40</v>
      </c>
      <c r="O12" s="23" t="s">
        <v>387</v>
      </c>
      <c r="P12" s="23" t="s">
        <v>40</v>
      </c>
      <c r="Q12" s="23" t="s">
        <v>40</v>
      </c>
      <c r="R12" s="23" t="s">
        <v>40</v>
      </c>
      <c r="S12" s="23" t="s">
        <v>40</v>
      </c>
      <c r="T12" s="23" t="s">
        <v>40</v>
      </c>
    </row>
    <row r="13" spans="1:20" x14ac:dyDescent="0.25">
      <c r="A13" s="23" t="s">
        <v>13989</v>
      </c>
      <c r="B13" s="23" t="s">
        <v>13919</v>
      </c>
      <c r="C13" s="23" t="s">
        <v>13920</v>
      </c>
      <c r="D13" s="23" t="s">
        <v>13990</v>
      </c>
      <c r="E13" s="23" t="s">
        <v>13991</v>
      </c>
      <c r="F13" s="23" t="s">
        <v>13992</v>
      </c>
      <c r="G13" s="23" t="s">
        <v>13993</v>
      </c>
      <c r="H13" s="23" t="s">
        <v>13994</v>
      </c>
      <c r="I13" s="23" t="s">
        <v>13995</v>
      </c>
      <c r="J13" s="23" t="s">
        <v>563</v>
      </c>
      <c r="K13" s="26" t="s">
        <v>396</v>
      </c>
      <c r="L13" s="23" t="s">
        <v>13</v>
      </c>
      <c r="M13" s="28" t="s">
        <v>16</v>
      </c>
      <c r="N13" s="23" t="s">
        <v>4077</v>
      </c>
      <c r="O13" s="29" t="s">
        <v>87</v>
      </c>
      <c r="P13" s="23" t="s">
        <v>40</v>
      </c>
      <c r="Q13" s="23" t="s">
        <v>40</v>
      </c>
      <c r="R13" s="23" t="s">
        <v>40</v>
      </c>
      <c r="S13" s="23" t="s">
        <v>40</v>
      </c>
      <c r="T13" s="23" t="s">
        <v>40</v>
      </c>
    </row>
    <row r="14" spans="1:20" x14ac:dyDescent="0.25">
      <c r="A14" s="23" t="s">
        <v>13996</v>
      </c>
      <c r="B14" s="23" t="s">
        <v>13919</v>
      </c>
      <c r="C14" s="23" t="s">
        <v>13920</v>
      </c>
      <c r="D14" s="23" t="s">
        <v>13997</v>
      </c>
      <c r="E14" s="23" t="s">
        <v>13998</v>
      </c>
      <c r="F14" s="23" t="s">
        <v>40</v>
      </c>
      <c r="G14" s="23" t="s">
        <v>13999</v>
      </c>
      <c r="H14" s="23" t="s">
        <v>14000</v>
      </c>
      <c r="I14" s="23" t="s">
        <v>14001</v>
      </c>
      <c r="J14" s="23" t="s">
        <v>563</v>
      </c>
      <c r="K14" s="24" t="s">
        <v>386</v>
      </c>
      <c r="L14" s="23" t="s">
        <v>405</v>
      </c>
      <c r="M14" s="25" t="s">
        <v>18</v>
      </c>
      <c r="N14" s="23" t="s">
        <v>40</v>
      </c>
      <c r="O14" s="23" t="s">
        <v>387</v>
      </c>
      <c r="P14" s="23" t="s">
        <v>40</v>
      </c>
      <c r="Q14" s="23" t="s">
        <v>40</v>
      </c>
      <c r="R14" s="23" t="s">
        <v>40</v>
      </c>
      <c r="S14" s="23" t="s">
        <v>40</v>
      </c>
      <c r="T14" s="23" t="s">
        <v>40</v>
      </c>
    </row>
    <row r="15" spans="1:20" x14ac:dyDescent="0.25">
      <c r="A15" s="23" t="s">
        <v>14002</v>
      </c>
      <c r="B15" s="23" t="s">
        <v>13919</v>
      </c>
      <c r="C15" s="23" t="s">
        <v>13920</v>
      </c>
      <c r="D15" s="23" t="s">
        <v>14003</v>
      </c>
      <c r="E15" s="23" t="s">
        <v>14004</v>
      </c>
      <c r="F15" s="23" t="s">
        <v>40</v>
      </c>
      <c r="G15" s="23" t="s">
        <v>14005</v>
      </c>
      <c r="H15" s="23" t="s">
        <v>14006</v>
      </c>
      <c r="I15" s="23" t="s">
        <v>14007</v>
      </c>
      <c r="J15" s="23" t="s">
        <v>563</v>
      </c>
      <c r="K15" s="26" t="s">
        <v>396</v>
      </c>
      <c r="L15" s="23" t="s">
        <v>13</v>
      </c>
      <c r="M15" s="28" t="s">
        <v>16</v>
      </c>
      <c r="N15" s="23" t="s">
        <v>4267</v>
      </c>
      <c r="O15" s="29" t="s">
        <v>87</v>
      </c>
      <c r="P15" s="23" t="s">
        <v>40</v>
      </c>
      <c r="Q15" s="23" t="s">
        <v>40</v>
      </c>
      <c r="R15" s="23" t="s">
        <v>40</v>
      </c>
      <c r="S15" s="23" t="s">
        <v>40</v>
      </c>
      <c r="T15" s="23" t="s">
        <v>40</v>
      </c>
    </row>
    <row r="16" spans="1:20" x14ac:dyDescent="0.25">
      <c r="A16" s="23" t="s">
        <v>14008</v>
      </c>
      <c r="B16" s="23" t="s">
        <v>13919</v>
      </c>
      <c r="C16" s="23" t="s">
        <v>13920</v>
      </c>
      <c r="D16" s="23" t="s">
        <v>14009</v>
      </c>
      <c r="E16" s="23" t="s">
        <v>14010</v>
      </c>
      <c r="F16" s="23" t="s">
        <v>40</v>
      </c>
      <c r="G16" s="23" t="s">
        <v>14011</v>
      </c>
      <c r="H16" s="23" t="s">
        <v>14012</v>
      </c>
      <c r="I16" s="23" t="s">
        <v>14013</v>
      </c>
      <c r="J16" s="23" t="s">
        <v>563</v>
      </c>
      <c r="K16" s="24" t="s">
        <v>386</v>
      </c>
      <c r="L16" s="23" t="s">
        <v>405</v>
      </c>
      <c r="M16" s="30" t="s">
        <v>19</v>
      </c>
      <c r="N16" s="23" t="s">
        <v>40</v>
      </c>
      <c r="O16" s="23" t="s">
        <v>387</v>
      </c>
      <c r="P16" s="23" t="s">
        <v>40</v>
      </c>
      <c r="Q16" s="23" t="s">
        <v>40</v>
      </c>
      <c r="R16" s="23" t="s">
        <v>40</v>
      </c>
      <c r="S16" s="23" t="s">
        <v>14014</v>
      </c>
      <c r="T16" s="23" t="s">
        <v>40</v>
      </c>
    </row>
    <row r="17" spans="1:20" x14ac:dyDescent="0.25">
      <c r="A17" s="23" t="s">
        <v>14015</v>
      </c>
      <c r="B17" s="23" t="s">
        <v>13919</v>
      </c>
      <c r="C17" s="23" t="s">
        <v>13920</v>
      </c>
      <c r="D17" s="23" t="s">
        <v>14016</v>
      </c>
      <c r="E17" s="23" t="s">
        <v>14017</v>
      </c>
      <c r="F17" s="23" t="s">
        <v>40</v>
      </c>
      <c r="G17" s="23" t="s">
        <v>14018</v>
      </c>
      <c r="H17" s="23" t="s">
        <v>14019</v>
      </c>
      <c r="I17" s="23" t="s">
        <v>14020</v>
      </c>
      <c r="J17" s="23" t="s">
        <v>563</v>
      </c>
      <c r="K17" s="26" t="s">
        <v>396</v>
      </c>
      <c r="L17" s="23" t="s">
        <v>13</v>
      </c>
      <c r="M17" s="25" t="s">
        <v>18</v>
      </c>
      <c r="N17" s="23" t="s">
        <v>40</v>
      </c>
      <c r="O17" s="23" t="s">
        <v>387</v>
      </c>
      <c r="P17" s="23" t="s">
        <v>40</v>
      </c>
      <c r="Q17" s="23" t="s">
        <v>40</v>
      </c>
      <c r="R17" s="23" t="s">
        <v>40</v>
      </c>
      <c r="S17" s="23" t="s">
        <v>14021</v>
      </c>
      <c r="T17" s="23" t="s">
        <v>40</v>
      </c>
    </row>
    <row r="18" spans="1:20" x14ac:dyDescent="0.25">
      <c r="A18" s="23" t="s">
        <v>14022</v>
      </c>
      <c r="B18" s="23" t="s">
        <v>13919</v>
      </c>
      <c r="C18" s="23" t="s">
        <v>13920</v>
      </c>
      <c r="D18" s="23" t="s">
        <v>14023</v>
      </c>
      <c r="E18" s="23" t="s">
        <v>14024</v>
      </c>
      <c r="F18" s="23" t="s">
        <v>40</v>
      </c>
      <c r="G18" s="23" t="s">
        <v>14025</v>
      </c>
      <c r="H18" s="23" t="s">
        <v>14026</v>
      </c>
      <c r="I18" s="23" t="s">
        <v>14027</v>
      </c>
      <c r="J18" s="23" t="s">
        <v>563</v>
      </c>
      <c r="K18" s="26" t="s">
        <v>396</v>
      </c>
      <c r="L18" s="23" t="s">
        <v>13</v>
      </c>
      <c r="M18" s="25" t="s">
        <v>18</v>
      </c>
      <c r="N18" s="23" t="s">
        <v>40</v>
      </c>
      <c r="O18" s="23" t="s">
        <v>387</v>
      </c>
      <c r="P18" s="23" t="s">
        <v>40</v>
      </c>
      <c r="Q18" s="23" t="s">
        <v>40</v>
      </c>
      <c r="R18" s="23" t="s">
        <v>40</v>
      </c>
      <c r="S18" s="23" t="s">
        <v>40</v>
      </c>
      <c r="T18" s="23" t="s">
        <v>40</v>
      </c>
    </row>
    <row r="19" spans="1:20" x14ac:dyDescent="0.25">
      <c r="A19" s="23" t="s">
        <v>14028</v>
      </c>
      <c r="B19" s="23" t="s">
        <v>13919</v>
      </c>
      <c r="C19" s="23" t="s">
        <v>13920</v>
      </c>
      <c r="D19" s="23" t="s">
        <v>14029</v>
      </c>
      <c r="E19" s="23" t="s">
        <v>14030</v>
      </c>
      <c r="F19" s="23" t="s">
        <v>40</v>
      </c>
      <c r="G19" s="23" t="s">
        <v>14031</v>
      </c>
      <c r="H19" s="23" t="s">
        <v>14032</v>
      </c>
      <c r="I19" s="23" t="s">
        <v>14033</v>
      </c>
      <c r="J19" s="23" t="s">
        <v>563</v>
      </c>
      <c r="K19" s="24" t="s">
        <v>386</v>
      </c>
      <c r="L19" s="23" t="s">
        <v>405</v>
      </c>
      <c r="M19" s="25" t="s">
        <v>18</v>
      </c>
      <c r="N19" s="23" t="s">
        <v>40</v>
      </c>
      <c r="O19" s="23" t="s">
        <v>387</v>
      </c>
      <c r="P19" s="23" t="s">
        <v>40</v>
      </c>
      <c r="Q19" s="23" t="s">
        <v>40</v>
      </c>
      <c r="R19" s="23" t="s">
        <v>40</v>
      </c>
      <c r="S19" s="23" t="s">
        <v>40</v>
      </c>
      <c r="T19" s="23" t="s">
        <v>40</v>
      </c>
    </row>
    <row r="20" spans="1:20" x14ac:dyDescent="0.25">
      <c r="A20" s="23" t="s">
        <v>14034</v>
      </c>
      <c r="B20" s="23" t="s">
        <v>13919</v>
      </c>
      <c r="C20" s="23" t="s">
        <v>13920</v>
      </c>
      <c r="D20" s="23" t="s">
        <v>14035</v>
      </c>
      <c r="E20" s="23" t="s">
        <v>589</v>
      </c>
      <c r="F20" s="23" t="s">
        <v>40</v>
      </c>
      <c r="G20" s="23" t="s">
        <v>14036</v>
      </c>
      <c r="H20" s="23" t="s">
        <v>14037</v>
      </c>
      <c r="I20" s="23" t="s">
        <v>14038</v>
      </c>
      <c r="J20" s="23" t="s">
        <v>563</v>
      </c>
      <c r="K20" s="27" t="s">
        <v>404</v>
      </c>
      <c r="L20" s="23" t="s">
        <v>490</v>
      </c>
      <c r="M20" s="28" t="s">
        <v>16</v>
      </c>
      <c r="N20" s="23" t="s">
        <v>5020</v>
      </c>
      <c r="O20" s="29" t="s">
        <v>87</v>
      </c>
      <c r="P20" s="23" t="s">
        <v>40</v>
      </c>
      <c r="Q20" s="23" t="s">
        <v>40</v>
      </c>
      <c r="R20" s="23" t="s">
        <v>40</v>
      </c>
      <c r="S20" s="23" t="s">
        <v>40</v>
      </c>
      <c r="T20" s="23" t="s">
        <v>40</v>
      </c>
    </row>
    <row r="21" spans="1:20" x14ac:dyDescent="0.25">
      <c r="A21" s="23" t="s">
        <v>14039</v>
      </c>
      <c r="B21" s="23" t="s">
        <v>14040</v>
      </c>
      <c r="C21" s="23" t="s">
        <v>27</v>
      </c>
      <c r="D21" s="23" t="s">
        <v>14041</v>
      </c>
      <c r="E21" s="23" t="s">
        <v>14042</v>
      </c>
      <c r="F21" s="23" t="s">
        <v>40</v>
      </c>
      <c r="G21" s="23" t="s">
        <v>14043</v>
      </c>
      <c r="H21" s="23" t="s">
        <v>14044</v>
      </c>
      <c r="I21" s="23" t="s">
        <v>14045</v>
      </c>
      <c r="J21" s="23" t="s">
        <v>563</v>
      </c>
      <c r="K21" s="26" t="s">
        <v>396</v>
      </c>
      <c r="L21" s="23" t="s">
        <v>13</v>
      </c>
      <c r="M21" s="28" t="s">
        <v>16</v>
      </c>
      <c r="N21" s="23" t="s">
        <v>3341</v>
      </c>
      <c r="O21" s="29" t="s">
        <v>87</v>
      </c>
      <c r="P21" s="23" t="s">
        <v>40</v>
      </c>
      <c r="Q21" s="23" t="s">
        <v>40</v>
      </c>
      <c r="R21" s="23" t="s">
        <v>40</v>
      </c>
      <c r="S21" s="23" t="s">
        <v>40</v>
      </c>
      <c r="T21" s="23" t="s">
        <v>40</v>
      </c>
    </row>
    <row r="22" spans="1:20" x14ac:dyDescent="0.25">
      <c r="A22" s="23" t="s">
        <v>14046</v>
      </c>
      <c r="B22" s="23" t="s">
        <v>14040</v>
      </c>
      <c r="C22" s="23" t="s">
        <v>27</v>
      </c>
      <c r="D22" s="23" t="s">
        <v>14047</v>
      </c>
      <c r="E22" s="23" t="s">
        <v>14048</v>
      </c>
      <c r="F22" s="23" t="s">
        <v>40</v>
      </c>
      <c r="G22" s="23" t="s">
        <v>14049</v>
      </c>
      <c r="H22" s="23" t="s">
        <v>14050</v>
      </c>
      <c r="I22" s="23" t="s">
        <v>14051</v>
      </c>
      <c r="J22" s="23" t="s">
        <v>563</v>
      </c>
      <c r="K22" s="26" t="s">
        <v>396</v>
      </c>
      <c r="L22" s="23" t="s">
        <v>13</v>
      </c>
      <c r="M22" s="28" t="s">
        <v>16</v>
      </c>
      <c r="N22" s="23" t="s">
        <v>3341</v>
      </c>
      <c r="O22" s="29" t="s">
        <v>87</v>
      </c>
      <c r="P22" s="23" t="s">
        <v>40</v>
      </c>
      <c r="Q22" s="23" t="s">
        <v>40</v>
      </c>
      <c r="R22" s="23" t="s">
        <v>40</v>
      </c>
      <c r="S22" s="23" t="s">
        <v>40</v>
      </c>
      <c r="T22" s="23" t="s">
        <v>40</v>
      </c>
    </row>
    <row r="23" spans="1:20" x14ac:dyDescent="0.25">
      <c r="A23" s="23" t="s">
        <v>14052</v>
      </c>
      <c r="B23" s="23" t="s">
        <v>14040</v>
      </c>
      <c r="C23" s="23" t="s">
        <v>27</v>
      </c>
      <c r="D23" s="23" t="s">
        <v>4875</v>
      </c>
      <c r="E23" s="23" t="s">
        <v>14053</v>
      </c>
      <c r="F23" s="23" t="s">
        <v>40</v>
      </c>
      <c r="G23" s="23" t="s">
        <v>14054</v>
      </c>
      <c r="H23" s="23" t="s">
        <v>14055</v>
      </c>
      <c r="I23" s="23" t="s">
        <v>14056</v>
      </c>
      <c r="J23" s="23" t="s">
        <v>563</v>
      </c>
      <c r="K23" s="26" t="s">
        <v>396</v>
      </c>
      <c r="L23" s="23" t="s">
        <v>13</v>
      </c>
      <c r="M23" s="28" t="s">
        <v>16</v>
      </c>
      <c r="N23" s="23" t="s">
        <v>3341</v>
      </c>
      <c r="O23" s="29" t="s">
        <v>87</v>
      </c>
      <c r="P23" s="23" t="s">
        <v>40</v>
      </c>
      <c r="Q23" s="23" t="s">
        <v>40</v>
      </c>
      <c r="R23" s="23" t="s">
        <v>40</v>
      </c>
      <c r="S23" s="23" t="s">
        <v>40</v>
      </c>
      <c r="T23" s="23" t="s">
        <v>40</v>
      </c>
    </row>
    <row r="24" spans="1:20" x14ac:dyDescent="0.25">
      <c r="A24" s="23" t="s">
        <v>14057</v>
      </c>
      <c r="B24" s="23" t="s">
        <v>14040</v>
      </c>
      <c r="C24" s="23" t="s">
        <v>27</v>
      </c>
      <c r="D24" s="23" t="s">
        <v>4902</v>
      </c>
      <c r="E24" s="23" t="s">
        <v>14058</v>
      </c>
      <c r="F24" s="23" t="s">
        <v>40</v>
      </c>
      <c r="G24" s="23" t="s">
        <v>14059</v>
      </c>
      <c r="H24" s="23" t="s">
        <v>14060</v>
      </c>
      <c r="I24" s="23" t="s">
        <v>14061</v>
      </c>
      <c r="J24" s="23" t="s">
        <v>563</v>
      </c>
      <c r="K24" s="26" t="s">
        <v>396</v>
      </c>
      <c r="L24" s="23" t="s">
        <v>13</v>
      </c>
      <c r="M24" s="28" t="s">
        <v>16</v>
      </c>
      <c r="N24" s="23" t="s">
        <v>3341</v>
      </c>
      <c r="O24" s="29" t="s">
        <v>87</v>
      </c>
      <c r="P24" s="23" t="s">
        <v>40</v>
      </c>
      <c r="Q24" s="23" t="s">
        <v>40</v>
      </c>
      <c r="R24" s="23" t="s">
        <v>40</v>
      </c>
      <c r="S24" s="23" t="s">
        <v>40</v>
      </c>
      <c r="T24" s="23" t="s">
        <v>40</v>
      </c>
    </row>
    <row r="25" spans="1:20" x14ac:dyDescent="0.25">
      <c r="A25" s="23" t="s">
        <v>14062</v>
      </c>
      <c r="B25" s="23" t="s">
        <v>14040</v>
      </c>
      <c r="C25" s="23" t="s">
        <v>27</v>
      </c>
      <c r="D25" s="23" t="s">
        <v>14063</v>
      </c>
      <c r="E25" s="23" t="s">
        <v>14064</v>
      </c>
      <c r="F25" s="23" t="s">
        <v>40</v>
      </c>
      <c r="G25" s="23" t="s">
        <v>14065</v>
      </c>
      <c r="H25" s="23" t="s">
        <v>14066</v>
      </c>
      <c r="I25" s="23" t="s">
        <v>14067</v>
      </c>
      <c r="J25" s="23" t="s">
        <v>563</v>
      </c>
      <c r="K25" s="24" t="s">
        <v>386</v>
      </c>
      <c r="L25" s="23" t="s">
        <v>405</v>
      </c>
      <c r="M25" s="33" t="s">
        <v>20</v>
      </c>
      <c r="N25" s="23" t="s">
        <v>40</v>
      </c>
      <c r="O25" s="23" t="s">
        <v>387</v>
      </c>
      <c r="P25" s="23" t="s">
        <v>40</v>
      </c>
      <c r="Q25" s="23" t="s">
        <v>40</v>
      </c>
      <c r="R25" s="23" t="s">
        <v>40</v>
      </c>
      <c r="S25" s="23" t="s">
        <v>14068</v>
      </c>
      <c r="T25" s="23" t="s">
        <v>40</v>
      </c>
    </row>
    <row r="26" spans="1:20" x14ac:dyDescent="0.25">
      <c r="A26" s="23" t="s">
        <v>14069</v>
      </c>
      <c r="B26" s="23" t="s">
        <v>14040</v>
      </c>
      <c r="C26" s="23" t="s">
        <v>27</v>
      </c>
      <c r="D26" s="23" t="s">
        <v>14070</v>
      </c>
      <c r="E26" s="23" t="s">
        <v>14071</v>
      </c>
      <c r="F26" s="23" t="s">
        <v>40</v>
      </c>
      <c r="G26" s="23" t="s">
        <v>14072</v>
      </c>
      <c r="H26" s="23" t="s">
        <v>14073</v>
      </c>
      <c r="I26" s="23" t="s">
        <v>14074</v>
      </c>
      <c r="J26" s="23" t="s">
        <v>563</v>
      </c>
      <c r="K26" s="24" t="s">
        <v>386</v>
      </c>
      <c r="L26" s="23" t="s">
        <v>405</v>
      </c>
      <c r="M26" s="25" t="s">
        <v>18</v>
      </c>
      <c r="N26" s="23" t="s">
        <v>40</v>
      </c>
      <c r="O26" s="23" t="s">
        <v>387</v>
      </c>
      <c r="P26" s="23" t="s">
        <v>40</v>
      </c>
      <c r="Q26" s="23" t="s">
        <v>40</v>
      </c>
      <c r="R26" s="23" t="s">
        <v>40</v>
      </c>
      <c r="S26" s="23" t="s">
        <v>40</v>
      </c>
      <c r="T26" s="23" t="s">
        <v>40</v>
      </c>
    </row>
    <row r="27" spans="1:20" x14ac:dyDescent="0.25">
      <c r="A27" s="23" t="s">
        <v>14075</v>
      </c>
      <c r="B27" s="23" t="s">
        <v>14040</v>
      </c>
      <c r="C27" s="23" t="s">
        <v>27</v>
      </c>
      <c r="D27" s="23" t="s">
        <v>14076</v>
      </c>
      <c r="E27" s="23" t="s">
        <v>14077</v>
      </c>
      <c r="F27" s="23" t="s">
        <v>40</v>
      </c>
      <c r="G27" s="23" t="s">
        <v>14078</v>
      </c>
      <c r="H27" s="23" t="s">
        <v>14079</v>
      </c>
      <c r="I27" s="23" t="s">
        <v>14080</v>
      </c>
      <c r="J27" s="23" t="s">
        <v>563</v>
      </c>
      <c r="K27" s="24" t="s">
        <v>386</v>
      </c>
      <c r="L27" s="23" t="s">
        <v>405</v>
      </c>
      <c r="M27" s="25" t="s">
        <v>18</v>
      </c>
      <c r="N27" s="23" t="s">
        <v>40</v>
      </c>
      <c r="O27" s="23" t="s">
        <v>387</v>
      </c>
      <c r="P27" s="23" t="s">
        <v>40</v>
      </c>
      <c r="Q27" s="23" t="s">
        <v>40</v>
      </c>
      <c r="R27" s="23" t="s">
        <v>40</v>
      </c>
      <c r="S27" s="23" t="s">
        <v>40</v>
      </c>
      <c r="T27" s="23" t="s">
        <v>40</v>
      </c>
    </row>
    <row r="28" spans="1:20" x14ac:dyDescent="0.25">
      <c r="A28" s="23" t="s">
        <v>14081</v>
      </c>
      <c r="B28" s="23" t="s">
        <v>14082</v>
      </c>
      <c r="C28" s="23" t="s">
        <v>14083</v>
      </c>
      <c r="D28" s="23" t="s">
        <v>14084</v>
      </c>
      <c r="E28" s="23" t="s">
        <v>589</v>
      </c>
      <c r="F28" s="23" t="s">
        <v>40</v>
      </c>
      <c r="G28" s="23" t="s">
        <v>14085</v>
      </c>
      <c r="H28" s="23" t="s">
        <v>14086</v>
      </c>
      <c r="I28" s="23" t="s">
        <v>14087</v>
      </c>
      <c r="J28" s="23" t="s">
        <v>563</v>
      </c>
      <c r="K28" s="26" t="s">
        <v>396</v>
      </c>
      <c r="L28" s="23" t="s">
        <v>13</v>
      </c>
      <c r="M28" s="28" t="s">
        <v>16</v>
      </c>
      <c r="N28" s="23" t="s">
        <v>14088</v>
      </c>
      <c r="O28" s="29" t="s">
        <v>87</v>
      </c>
      <c r="P28" s="23" t="s">
        <v>40</v>
      </c>
      <c r="Q28" s="23" t="s">
        <v>40</v>
      </c>
      <c r="R28" s="23" t="s">
        <v>40</v>
      </c>
      <c r="S28" s="23" t="s">
        <v>40</v>
      </c>
      <c r="T28" s="23" t="s">
        <v>40</v>
      </c>
    </row>
    <row r="29" spans="1:20" x14ac:dyDescent="0.25">
      <c r="A29" s="23" t="s">
        <v>14089</v>
      </c>
      <c r="B29" s="23" t="s">
        <v>14082</v>
      </c>
      <c r="C29" s="23" t="s">
        <v>14083</v>
      </c>
      <c r="D29" s="23" t="s">
        <v>14090</v>
      </c>
      <c r="E29" s="23" t="s">
        <v>14091</v>
      </c>
      <c r="F29" s="23" t="s">
        <v>40</v>
      </c>
      <c r="G29" s="23" t="s">
        <v>14092</v>
      </c>
      <c r="H29" s="23" t="s">
        <v>14093</v>
      </c>
      <c r="I29" s="23" t="s">
        <v>14094</v>
      </c>
      <c r="J29" s="23" t="s">
        <v>563</v>
      </c>
      <c r="K29" s="26" t="s">
        <v>396</v>
      </c>
      <c r="L29" s="23" t="s">
        <v>13</v>
      </c>
      <c r="M29" s="28" t="s">
        <v>16</v>
      </c>
      <c r="N29" s="23" t="s">
        <v>7998</v>
      </c>
      <c r="O29" s="29" t="s">
        <v>87</v>
      </c>
      <c r="P29" s="23" t="s">
        <v>40</v>
      </c>
      <c r="Q29" s="23" t="s">
        <v>40</v>
      </c>
      <c r="R29" s="23" t="s">
        <v>40</v>
      </c>
      <c r="S29" s="23" t="s">
        <v>40</v>
      </c>
      <c r="T29" s="23" t="s">
        <v>40</v>
      </c>
    </row>
    <row r="30" spans="1:20" x14ac:dyDescent="0.25">
      <c r="A30" s="23" t="s">
        <v>14095</v>
      </c>
      <c r="B30" s="23" t="s">
        <v>14082</v>
      </c>
      <c r="C30" s="23" t="s">
        <v>14083</v>
      </c>
      <c r="D30" s="23" t="s">
        <v>14096</v>
      </c>
      <c r="E30" s="23" t="s">
        <v>589</v>
      </c>
      <c r="F30" s="23" t="s">
        <v>40</v>
      </c>
      <c r="G30" s="23" t="s">
        <v>14097</v>
      </c>
      <c r="H30" s="23" t="s">
        <v>14098</v>
      </c>
      <c r="I30" s="23" t="s">
        <v>14099</v>
      </c>
      <c r="J30" s="23" t="s">
        <v>563</v>
      </c>
      <c r="K30" s="24" t="s">
        <v>386</v>
      </c>
      <c r="L30" s="23" t="s">
        <v>405</v>
      </c>
      <c r="M30" s="28" t="s">
        <v>16</v>
      </c>
      <c r="N30" s="23" t="s">
        <v>14100</v>
      </c>
      <c r="O30" s="29" t="s">
        <v>87</v>
      </c>
      <c r="P30" s="23" t="s">
        <v>40</v>
      </c>
      <c r="Q30" s="23" t="s">
        <v>40</v>
      </c>
      <c r="R30" s="23" t="s">
        <v>40</v>
      </c>
      <c r="S30" s="23" t="s">
        <v>40</v>
      </c>
      <c r="T30" s="23" t="s">
        <v>40</v>
      </c>
    </row>
    <row r="31" spans="1:20" x14ac:dyDescent="0.25">
      <c r="A31" s="23" t="s">
        <v>14101</v>
      </c>
      <c r="B31" s="23" t="s">
        <v>14082</v>
      </c>
      <c r="C31" s="23" t="s">
        <v>14083</v>
      </c>
      <c r="D31" s="23" t="s">
        <v>14102</v>
      </c>
      <c r="E31" s="23" t="s">
        <v>589</v>
      </c>
      <c r="F31" s="23" t="s">
        <v>40</v>
      </c>
      <c r="G31" s="23" t="s">
        <v>14103</v>
      </c>
      <c r="H31" s="23" t="s">
        <v>14104</v>
      </c>
      <c r="I31" s="23" t="s">
        <v>14105</v>
      </c>
      <c r="J31" s="23" t="s">
        <v>563</v>
      </c>
      <c r="K31" s="26" t="s">
        <v>396</v>
      </c>
      <c r="L31" s="23" t="s">
        <v>13</v>
      </c>
      <c r="M31" s="28" t="s">
        <v>16</v>
      </c>
      <c r="N31" s="23" t="s">
        <v>8342</v>
      </c>
      <c r="O31" s="29" t="s">
        <v>87</v>
      </c>
      <c r="P31" s="23" t="s">
        <v>40</v>
      </c>
      <c r="Q31" s="23" t="s">
        <v>40</v>
      </c>
      <c r="R31" s="23" t="s">
        <v>40</v>
      </c>
      <c r="S31" s="23" t="s">
        <v>40</v>
      </c>
      <c r="T31" s="23" t="s">
        <v>40</v>
      </c>
    </row>
    <row r="32" spans="1:20" x14ac:dyDescent="0.25">
      <c r="A32" s="23" t="s">
        <v>14106</v>
      </c>
      <c r="B32" s="23" t="s">
        <v>14082</v>
      </c>
      <c r="C32" s="23" t="s">
        <v>14083</v>
      </c>
      <c r="D32" s="23" t="s">
        <v>14107</v>
      </c>
      <c r="E32" s="23" t="s">
        <v>14108</v>
      </c>
      <c r="F32" s="23" t="s">
        <v>40</v>
      </c>
      <c r="G32" s="23" t="s">
        <v>14109</v>
      </c>
      <c r="H32" s="23" t="s">
        <v>14110</v>
      </c>
      <c r="I32" s="23" t="s">
        <v>14111</v>
      </c>
      <c r="J32" s="23" t="s">
        <v>563</v>
      </c>
      <c r="K32" s="26" t="s">
        <v>396</v>
      </c>
      <c r="L32" s="23" t="s">
        <v>13</v>
      </c>
      <c r="M32" s="28" t="s">
        <v>16</v>
      </c>
      <c r="N32" s="23" t="s">
        <v>1457</v>
      </c>
      <c r="O32" s="29" t="s">
        <v>87</v>
      </c>
      <c r="P32" s="23" t="s">
        <v>40</v>
      </c>
      <c r="Q32" s="23" t="s">
        <v>40</v>
      </c>
      <c r="R32" s="23" t="s">
        <v>40</v>
      </c>
      <c r="S32" s="23" t="s">
        <v>40</v>
      </c>
      <c r="T32" s="23" t="s">
        <v>40</v>
      </c>
    </row>
    <row r="33" spans="1:20" x14ac:dyDescent="0.25">
      <c r="A33" s="23" t="s">
        <v>14112</v>
      </c>
      <c r="B33" s="23" t="s">
        <v>14082</v>
      </c>
      <c r="C33" s="23" t="s">
        <v>14083</v>
      </c>
      <c r="D33" s="23" t="s">
        <v>14113</v>
      </c>
      <c r="E33" s="23" t="s">
        <v>14114</v>
      </c>
      <c r="F33" s="23" t="s">
        <v>40</v>
      </c>
      <c r="G33" s="23" t="s">
        <v>14115</v>
      </c>
      <c r="H33" s="23" t="s">
        <v>14116</v>
      </c>
      <c r="I33" s="23" t="s">
        <v>14117</v>
      </c>
      <c r="J33" s="23" t="s">
        <v>563</v>
      </c>
      <c r="K33" s="26" t="s">
        <v>396</v>
      </c>
      <c r="L33" s="23" t="s">
        <v>13</v>
      </c>
      <c r="M33" s="25" t="s">
        <v>18</v>
      </c>
      <c r="N33" s="23" t="s">
        <v>40</v>
      </c>
      <c r="O33" s="23" t="s">
        <v>387</v>
      </c>
      <c r="P33" s="23" t="s">
        <v>40</v>
      </c>
      <c r="Q33" s="23" t="s">
        <v>40</v>
      </c>
      <c r="R33" s="23" t="s">
        <v>40</v>
      </c>
      <c r="S33" s="23" t="s">
        <v>40</v>
      </c>
      <c r="T33" s="23" t="s">
        <v>40</v>
      </c>
    </row>
    <row r="34" spans="1:20" x14ac:dyDescent="0.25">
      <c r="A34" s="23" t="s">
        <v>14118</v>
      </c>
      <c r="B34" s="23" t="s">
        <v>14082</v>
      </c>
      <c r="C34" s="23" t="s">
        <v>14083</v>
      </c>
      <c r="D34" s="23" t="s">
        <v>14119</v>
      </c>
      <c r="E34" s="23" t="s">
        <v>14120</v>
      </c>
      <c r="F34" s="23" t="s">
        <v>40</v>
      </c>
      <c r="G34" s="23" t="s">
        <v>14121</v>
      </c>
      <c r="H34" s="23" t="s">
        <v>14122</v>
      </c>
      <c r="I34" s="23" t="s">
        <v>14123</v>
      </c>
      <c r="J34" s="23" t="s">
        <v>563</v>
      </c>
      <c r="K34" s="26" t="s">
        <v>396</v>
      </c>
      <c r="L34" s="23" t="s">
        <v>13</v>
      </c>
      <c r="M34" s="25" t="s">
        <v>18</v>
      </c>
      <c r="N34" s="23" t="s">
        <v>40</v>
      </c>
      <c r="O34" s="23" t="s">
        <v>387</v>
      </c>
      <c r="P34" s="23" t="s">
        <v>40</v>
      </c>
      <c r="Q34" s="23" t="s">
        <v>40</v>
      </c>
      <c r="R34" s="23" t="s">
        <v>40</v>
      </c>
      <c r="S34" s="23" t="s">
        <v>1710</v>
      </c>
      <c r="T34" s="23" t="s">
        <v>40</v>
      </c>
    </row>
    <row r="35" spans="1:20" x14ac:dyDescent="0.25">
      <c r="A35" s="23" t="s">
        <v>14124</v>
      </c>
      <c r="B35" s="23" t="s">
        <v>14082</v>
      </c>
      <c r="C35" s="23" t="s">
        <v>14083</v>
      </c>
      <c r="D35" s="23" t="s">
        <v>14125</v>
      </c>
      <c r="E35" s="23" t="s">
        <v>14126</v>
      </c>
      <c r="F35" s="23" t="s">
        <v>40</v>
      </c>
      <c r="G35" s="23" t="s">
        <v>14127</v>
      </c>
      <c r="H35" s="23" t="s">
        <v>14128</v>
      </c>
      <c r="I35" s="23" t="s">
        <v>14129</v>
      </c>
      <c r="J35" s="23" t="s">
        <v>563</v>
      </c>
      <c r="K35" s="26" t="s">
        <v>396</v>
      </c>
      <c r="L35" s="23" t="s">
        <v>13</v>
      </c>
      <c r="M35" s="33" t="s">
        <v>20</v>
      </c>
      <c r="N35" s="23" t="s">
        <v>40</v>
      </c>
      <c r="O35" s="23" t="s">
        <v>387</v>
      </c>
      <c r="P35" s="23" t="s">
        <v>40</v>
      </c>
      <c r="Q35" s="23" t="s">
        <v>40</v>
      </c>
      <c r="R35" s="23" t="s">
        <v>40</v>
      </c>
      <c r="S35" s="23" t="s">
        <v>14130</v>
      </c>
      <c r="T35" s="23" t="s">
        <v>40</v>
      </c>
    </row>
    <row r="36" spans="1:20" x14ac:dyDescent="0.25">
      <c r="A36" s="23" t="s">
        <v>14131</v>
      </c>
      <c r="B36" s="23" t="s">
        <v>14082</v>
      </c>
      <c r="C36" s="23" t="s">
        <v>14083</v>
      </c>
      <c r="D36" s="23" t="s">
        <v>14132</v>
      </c>
      <c r="E36" s="23" t="s">
        <v>14133</v>
      </c>
      <c r="F36" s="23" t="s">
        <v>40</v>
      </c>
      <c r="G36" s="23" t="s">
        <v>14134</v>
      </c>
      <c r="H36" s="23" t="s">
        <v>14135</v>
      </c>
      <c r="I36" s="23" t="s">
        <v>14136</v>
      </c>
      <c r="J36" s="23" t="s">
        <v>563</v>
      </c>
      <c r="K36" s="24" t="s">
        <v>386</v>
      </c>
      <c r="L36" s="23" t="s">
        <v>405</v>
      </c>
      <c r="M36" s="25" t="s">
        <v>18</v>
      </c>
      <c r="N36" s="23" t="s">
        <v>40</v>
      </c>
      <c r="O36" s="23" t="s">
        <v>387</v>
      </c>
      <c r="P36" s="23" t="s">
        <v>40</v>
      </c>
      <c r="Q36" s="23" t="s">
        <v>40</v>
      </c>
      <c r="R36" s="23" t="s">
        <v>40</v>
      </c>
      <c r="S36" s="23" t="s">
        <v>1710</v>
      </c>
      <c r="T36" s="23" t="s">
        <v>40</v>
      </c>
    </row>
    <row r="37" spans="1:20" x14ac:dyDescent="0.25">
      <c r="A37" s="23" t="s">
        <v>14137</v>
      </c>
      <c r="B37" s="23" t="s">
        <v>14082</v>
      </c>
      <c r="C37" s="23" t="s">
        <v>14083</v>
      </c>
      <c r="D37" s="23" t="s">
        <v>14138</v>
      </c>
      <c r="E37" s="23" t="s">
        <v>14139</v>
      </c>
      <c r="F37" s="23" t="s">
        <v>40</v>
      </c>
      <c r="G37" s="23" t="s">
        <v>14140</v>
      </c>
      <c r="H37" s="23" t="s">
        <v>14141</v>
      </c>
      <c r="I37" s="23" t="s">
        <v>14142</v>
      </c>
      <c r="J37" s="23" t="s">
        <v>563</v>
      </c>
      <c r="K37" s="24" t="s">
        <v>386</v>
      </c>
      <c r="L37" s="23" t="s">
        <v>405</v>
      </c>
      <c r="M37" s="25" t="s">
        <v>18</v>
      </c>
      <c r="N37" s="23" t="s">
        <v>40</v>
      </c>
      <c r="O37" s="23" t="s">
        <v>387</v>
      </c>
      <c r="P37" s="23" t="s">
        <v>40</v>
      </c>
      <c r="Q37" s="23" t="s">
        <v>40</v>
      </c>
      <c r="R37" s="23" t="s">
        <v>40</v>
      </c>
      <c r="S37" s="23" t="s">
        <v>14143</v>
      </c>
      <c r="T37" s="23" t="s">
        <v>40</v>
      </c>
    </row>
    <row r="38" spans="1:20" x14ac:dyDescent="0.25">
      <c r="A38" s="23" t="s">
        <v>14144</v>
      </c>
      <c r="B38" s="23" t="s">
        <v>14145</v>
      </c>
      <c r="C38" s="23" t="s">
        <v>14146</v>
      </c>
      <c r="D38" s="23" t="s">
        <v>14147</v>
      </c>
      <c r="E38" s="23" t="s">
        <v>14148</v>
      </c>
      <c r="F38" s="23" t="s">
        <v>14149</v>
      </c>
      <c r="G38" s="23" t="s">
        <v>14150</v>
      </c>
      <c r="H38" s="23" t="s">
        <v>14151</v>
      </c>
      <c r="I38" s="23" t="s">
        <v>14152</v>
      </c>
      <c r="J38" s="23" t="s">
        <v>563</v>
      </c>
      <c r="K38" s="26" t="s">
        <v>396</v>
      </c>
      <c r="L38" s="23" t="s">
        <v>13</v>
      </c>
      <c r="M38" s="25" t="s">
        <v>18</v>
      </c>
      <c r="N38" s="23" t="s">
        <v>40</v>
      </c>
      <c r="O38" s="23" t="s">
        <v>387</v>
      </c>
      <c r="P38" s="23" t="s">
        <v>40</v>
      </c>
      <c r="Q38" s="23" t="s">
        <v>40</v>
      </c>
      <c r="R38" s="23" t="s">
        <v>40</v>
      </c>
      <c r="S38" s="23" t="s">
        <v>1710</v>
      </c>
      <c r="T38" s="23" t="s">
        <v>14153</v>
      </c>
    </row>
    <row r="39" spans="1:20" x14ac:dyDescent="0.25">
      <c r="A39" s="23" t="s">
        <v>14154</v>
      </c>
      <c r="B39" s="23" t="s">
        <v>14145</v>
      </c>
      <c r="C39" s="23" t="s">
        <v>14146</v>
      </c>
      <c r="D39" s="23" t="s">
        <v>14155</v>
      </c>
      <c r="E39" s="23" t="s">
        <v>14156</v>
      </c>
      <c r="F39" s="23" t="s">
        <v>40</v>
      </c>
      <c r="G39" s="23" t="s">
        <v>14157</v>
      </c>
      <c r="H39" s="23" t="s">
        <v>14158</v>
      </c>
      <c r="I39" s="23" t="s">
        <v>14159</v>
      </c>
      <c r="J39" s="23" t="s">
        <v>563</v>
      </c>
      <c r="K39" s="26" t="s">
        <v>396</v>
      </c>
      <c r="L39" s="23" t="s">
        <v>13</v>
      </c>
      <c r="M39" s="33" t="s">
        <v>20</v>
      </c>
      <c r="N39" s="23" t="s">
        <v>40</v>
      </c>
      <c r="O39" s="23" t="s">
        <v>387</v>
      </c>
      <c r="P39" s="23" t="s">
        <v>40</v>
      </c>
      <c r="Q39" s="23" t="s">
        <v>40</v>
      </c>
      <c r="R39" s="23" t="s">
        <v>40</v>
      </c>
      <c r="S39" s="23" t="s">
        <v>14160</v>
      </c>
      <c r="T39" s="23" t="s">
        <v>40</v>
      </c>
    </row>
    <row r="40" spans="1:20" x14ac:dyDescent="0.25">
      <c r="A40" s="23" t="s">
        <v>14161</v>
      </c>
      <c r="B40" s="23" t="s">
        <v>14145</v>
      </c>
      <c r="C40" s="23" t="s">
        <v>14146</v>
      </c>
      <c r="D40" s="23" t="s">
        <v>14162</v>
      </c>
      <c r="E40" s="23" t="s">
        <v>14163</v>
      </c>
      <c r="F40" s="23" t="s">
        <v>40</v>
      </c>
      <c r="G40" s="23" t="s">
        <v>14164</v>
      </c>
      <c r="H40" s="23" t="s">
        <v>14165</v>
      </c>
      <c r="I40" s="23" t="s">
        <v>14166</v>
      </c>
      <c r="J40" s="23" t="s">
        <v>563</v>
      </c>
      <c r="K40" s="24" t="s">
        <v>386</v>
      </c>
      <c r="L40" s="23" t="s">
        <v>405</v>
      </c>
      <c r="M40" s="25" t="s">
        <v>18</v>
      </c>
      <c r="N40" s="23" t="s">
        <v>40</v>
      </c>
      <c r="O40" s="23" t="s">
        <v>387</v>
      </c>
      <c r="P40" s="23" t="s">
        <v>40</v>
      </c>
      <c r="Q40" s="23" t="s">
        <v>40</v>
      </c>
      <c r="R40" s="23" t="s">
        <v>40</v>
      </c>
      <c r="S40" s="23" t="s">
        <v>1710</v>
      </c>
      <c r="T40" s="23" t="s">
        <v>40</v>
      </c>
    </row>
    <row r="41" spans="1:20" x14ac:dyDescent="0.25">
      <c r="A41" s="23" t="s">
        <v>14167</v>
      </c>
      <c r="B41" s="23" t="s">
        <v>14145</v>
      </c>
      <c r="C41" s="23" t="s">
        <v>14146</v>
      </c>
      <c r="D41" s="23" t="s">
        <v>14168</v>
      </c>
      <c r="E41" s="23" t="s">
        <v>14169</v>
      </c>
      <c r="F41" s="23" t="s">
        <v>40</v>
      </c>
      <c r="G41" s="23" t="s">
        <v>14170</v>
      </c>
      <c r="H41" s="23" t="s">
        <v>14171</v>
      </c>
      <c r="I41" s="23" t="s">
        <v>14172</v>
      </c>
      <c r="J41" s="23" t="s">
        <v>563</v>
      </c>
      <c r="K41" s="24" t="s">
        <v>386</v>
      </c>
      <c r="L41" s="23" t="s">
        <v>405</v>
      </c>
      <c r="M41" s="25" t="s">
        <v>18</v>
      </c>
      <c r="N41" s="23" t="s">
        <v>40</v>
      </c>
      <c r="O41" s="23" t="s">
        <v>387</v>
      </c>
      <c r="P41" s="23" t="s">
        <v>40</v>
      </c>
      <c r="Q41" s="23" t="s">
        <v>40</v>
      </c>
      <c r="R41" s="23" t="s">
        <v>40</v>
      </c>
      <c r="S41" s="23" t="s">
        <v>40</v>
      </c>
      <c r="T41" s="23" t="s">
        <v>40</v>
      </c>
    </row>
    <row r="42" spans="1:20" x14ac:dyDescent="0.25">
      <c r="A42" s="23" t="s">
        <v>14173</v>
      </c>
      <c r="B42" s="23" t="s">
        <v>14174</v>
      </c>
      <c r="C42" s="23" t="s">
        <v>14175</v>
      </c>
      <c r="D42" s="23" t="s">
        <v>14176</v>
      </c>
      <c r="E42" s="23" t="s">
        <v>14177</v>
      </c>
      <c r="F42" s="23" t="s">
        <v>40</v>
      </c>
      <c r="G42" s="23" t="s">
        <v>14178</v>
      </c>
      <c r="H42" s="23" t="s">
        <v>14179</v>
      </c>
      <c r="I42" s="23" t="s">
        <v>14180</v>
      </c>
      <c r="J42" s="23" t="s">
        <v>563</v>
      </c>
      <c r="K42" s="26" t="s">
        <v>396</v>
      </c>
      <c r="L42" s="23" t="s">
        <v>13</v>
      </c>
      <c r="M42" s="25" t="s">
        <v>18</v>
      </c>
      <c r="N42" s="23" t="s">
        <v>40</v>
      </c>
      <c r="O42" s="23" t="s">
        <v>387</v>
      </c>
      <c r="P42" s="23" t="s">
        <v>40</v>
      </c>
      <c r="Q42" s="23" t="s">
        <v>40</v>
      </c>
      <c r="R42" s="23" t="s">
        <v>40</v>
      </c>
      <c r="S42" s="23" t="s">
        <v>1710</v>
      </c>
      <c r="T42" s="23" t="s">
        <v>14181</v>
      </c>
    </row>
    <row r="43" spans="1:20" x14ac:dyDescent="0.25">
      <c r="A43" s="23" t="s">
        <v>14182</v>
      </c>
      <c r="B43" s="23" t="s">
        <v>14174</v>
      </c>
      <c r="C43" s="23" t="s">
        <v>14175</v>
      </c>
      <c r="D43" s="23" t="s">
        <v>14183</v>
      </c>
      <c r="E43" s="23" t="s">
        <v>11310</v>
      </c>
      <c r="F43" s="23" t="s">
        <v>40</v>
      </c>
      <c r="G43" s="23" t="s">
        <v>14184</v>
      </c>
      <c r="H43" s="23" t="s">
        <v>14185</v>
      </c>
      <c r="I43" s="23" t="s">
        <v>14186</v>
      </c>
      <c r="J43" s="23" t="s">
        <v>563</v>
      </c>
      <c r="K43" s="24" t="s">
        <v>386</v>
      </c>
      <c r="L43" s="23" t="s">
        <v>405</v>
      </c>
      <c r="M43" s="25" t="s">
        <v>18</v>
      </c>
      <c r="N43" s="23" t="s">
        <v>40</v>
      </c>
      <c r="O43" s="23" t="s">
        <v>387</v>
      </c>
      <c r="P43" s="23" t="s">
        <v>40</v>
      </c>
      <c r="Q43" s="23" t="s">
        <v>40</v>
      </c>
      <c r="R43" s="23" t="s">
        <v>40</v>
      </c>
      <c r="S43" s="23" t="s">
        <v>1710</v>
      </c>
      <c r="T43" s="23" t="s">
        <v>40</v>
      </c>
    </row>
    <row r="44" spans="1:20" x14ac:dyDescent="0.25">
      <c r="A44" s="23" t="s">
        <v>14187</v>
      </c>
      <c r="B44" s="23" t="s">
        <v>14174</v>
      </c>
      <c r="C44" s="23" t="s">
        <v>14175</v>
      </c>
      <c r="D44" s="23" t="s">
        <v>14188</v>
      </c>
      <c r="E44" s="23" t="s">
        <v>11310</v>
      </c>
      <c r="F44" s="23" t="s">
        <v>40</v>
      </c>
      <c r="G44" s="23" t="s">
        <v>14189</v>
      </c>
      <c r="H44" s="23" t="s">
        <v>14190</v>
      </c>
      <c r="I44" s="23" t="s">
        <v>14191</v>
      </c>
      <c r="J44" s="23" t="s">
        <v>563</v>
      </c>
      <c r="K44" s="26" t="s">
        <v>396</v>
      </c>
      <c r="L44" s="23" t="s">
        <v>13</v>
      </c>
      <c r="M44" s="25" t="s">
        <v>18</v>
      </c>
      <c r="N44" s="23" t="s">
        <v>40</v>
      </c>
      <c r="O44" s="23" t="s">
        <v>387</v>
      </c>
      <c r="P44" s="23" t="s">
        <v>40</v>
      </c>
      <c r="Q44" s="23" t="s">
        <v>40</v>
      </c>
      <c r="R44" s="23" t="s">
        <v>40</v>
      </c>
      <c r="S44" s="23" t="s">
        <v>1710</v>
      </c>
      <c r="T44" s="23" t="s">
        <v>40</v>
      </c>
    </row>
    <row r="45" spans="1:20" x14ac:dyDescent="0.25">
      <c r="A45" s="23" t="s">
        <v>14192</v>
      </c>
      <c r="B45" s="23" t="s">
        <v>14174</v>
      </c>
      <c r="C45" s="23" t="s">
        <v>14175</v>
      </c>
      <c r="D45" s="23" t="s">
        <v>14193</v>
      </c>
      <c r="E45" s="23" t="s">
        <v>14194</v>
      </c>
      <c r="F45" s="23" t="s">
        <v>40</v>
      </c>
      <c r="G45" s="23" t="s">
        <v>14195</v>
      </c>
      <c r="H45" s="23" t="s">
        <v>14196</v>
      </c>
      <c r="I45" s="23" t="s">
        <v>14197</v>
      </c>
      <c r="J45" s="23" t="s">
        <v>563</v>
      </c>
      <c r="K45" s="24" t="s">
        <v>386</v>
      </c>
      <c r="L45" s="23" t="s">
        <v>405</v>
      </c>
      <c r="M45" s="25" t="s">
        <v>18</v>
      </c>
      <c r="N45" s="23" t="s">
        <v>40</v>
      </c>
      <c r="O45" s="23" t="s">
        <v>387</v>
      </c>
      <c r="P45" s="23" t="s">
        <v>40</v>
      </c>
      <c r="Q45" s="23" t="s">
        <v>40</v>
      </c>
      <c r="R45" s="23" t="s">
        <v>40</v>
      </c>
      <c r="S45" s="23" t="s">
        <v>14198</v>
      </c>
      <c r="T45" s="23" t="s">
        <v>40</v>
      </c>
    </row>
    <row r="46" spans="1:20" x14ac:dyDescent="0.25">
      <c r="A46" s="23" t="s">
        <v>14199</v>
      </c>
      <c r="B46" s="23" t="s">
        <v>14174</v>
      </c>
      <c r="C46" s="23" t="s">
        <v>14175</v>
      </c>
      <c r="D46" s="23" t="s">
        <v>14200</v>
      </c>
      <c r="E46" s="23" t="s">
        <v>14201</v>
      </c>
      <c r="F46" s="23" t="s">
        <v>40</v>
      </c>
      <c r="G46" s="23" t="s">
        <v>14202</v>
      </c>
      <c r="H46" s="23" t="s">
        <v>14203</v>
      </c>
      <c r="I46" s="23" t="s">
        <v>14204</v>
      </c>
      <c r="J46" s="23" t="s">
        <v>563</v>
      </c>
      <c r="K46" s="26" t="s">
        <v>396</v>
      </c>
      <c r="L46" s="23" t="s">
        <v>13</v>
      </c>
      <c r="M46" s="33" t="s">
        <v>20</v>
      </c>
      <c r="N46" s="23" t="s">
        <v>40</v>
      </c>
      <c r="O46" s="23" t="s">
        <v>387</v>
      </c>
      <c r="P46" s="23" t="s">
        <v>40</v>
      </c>
      <c r="Q46" s="23" t="s">
        <v>40</v>
      </c>
      <c r="R46" s="23" t="s">
        <v>40</v>
      </c>
      <c r="S46" s="23" t="s">
        <v>14205</v>
      </c>
      <c r="T46" s="23" t="s">
        <v>40</v>
      </c>
    </row>
    <row r="47" spans="1:20" x14ac:dyDescent="0.25">
      <c r="A47" s="23" t="s">
        <v>14206</v>
      </c>
      <c r="B47" s="23" t="s">
        <v>14174</v>
      </c>
      <c r="C47" s="23" t="s">
        <v>14175</v>
      </c>
      <c r="D47" s="23" t="s">
        <v>14207</v>
      </c>
      <c r="E47" s="23" t="s">
        <v>14208</v>
      </c>
      <c r="F47" s="23" t="s">
        <v>40</v>
      </c>
      <c r="G47" s="23" t="s">
        <v>14209</v>
      </c>
      <c r="H47" s="23" t="s">
        <v>14210</v>
      </c>
      <c r="I47" s="23" t="s">
        <v>14211</v>
      </c>
      <c r="J47" s="23" t="s">
        <v>563</v>
      </c>
      <c r="K47" s="26" t="s">
        <v>396</v>
      </c>
      <c r="L47" s="23" t="s">
        <v>13</v>
      </c>
      <c r="M47" s="25" t="s">
        <v>18</v>
      </c>
      <c r="N47" s="23" t="s">
        <v>40</v>
      </c>
      <c r="O47" s="23" t="s">
        <v>387</v>
      </c>
      <c r="P47" s="23" t="s">
        <v>40</v>
      </c>
      <c r="Q47" s="23" t="s">
        <v>40</v>
      </c>
      <c r="R47" s="23" t="s">
        <v>40</v>
      </c>
      <c r="S47" s="23" t="s">
        <v>14212</v>
      </c>
      <c r="T47" s="23" t="s">
        <v>40</v>
      </c>
    </row>
    <row r="48" spans="1:20" x14ac:dyDescent="0.25">
      <c r="A48" s="23" t="s">
        <v>14213</v>
      </c>
      <c r="B48" s="23" t="s">
        <v>14174</v>
      </c>
      <c r="C48" s="23" t="s">
        <v>14175</v>
      </c>
      <c r="D48" s="23" t="s">
        <v>14214</v>
      </c>
      <c r="E48" s="23" t="s">
        <v>14215</v>
      </c>
      <c r="F48" s="23" t="s">
        <v>40</v>
      </c>
      <c r="G48" s="23" t="s">
        <v>14216</v>
      </c>
      <c r="H48" s="23" t="s">
        <v>14217</v>
      </c>
      <c r="I48" s="23" t="s">
        <v>14218</v>
      </c>
      <c r="J48" s="23" t="s">
        <v>563</v>
      </c>
      <c r="K48" s="26" t="s">
        <v>396</v>
      </c>
      <c r="L48" s="23" t="s">
        <v>13</v>
      </c>
      <c r="M48" s="25" t="s">
        <v>18</v>
      </c>
      <c r="N48" s="23" t="s">
        <v>40</v>
      </c>
      <c r="O48" s="23" t="s">
        <v>387</v>
      </c>
      <c r="P48" s="23" t="s">
        <v>40</v>
      </c>
      <c r="Q48" s="23" t="s">
        <v>40</v>
      </c>
      <c r="R48" s="23" t="s">
        <v>40</v>
      </c>
      <c r="S48" s="23" t="s">
        <v>1710</v>
      </c>
      <c r="T48" s="23" t="s">
        <v>14219</v>
      </c>
    </row>
    <row r="49" spans="1:20" x14ac:dyDescent="0.25">
      <c r="A49" s="23" t="s">
        <v>14220</v>
      </c>
      <c r="B49" s="23" t="s">
        <v>14174</v>
      </c>
      <c r="C49" s="23" t="s">
        <v>14175</v>
      </c>
      <c r="D49" s="23" t="s">
        <v>14221</v>
      </c>
      <c r="E49" s="23" t="s">
        <v>14222</v>
      </c>
      <c r="F49" s="23" t="s">
        <v>40</v>
      </c>
      <c r="G49" s="23" t="s">
        <v>14223</v>
      </c>
      <c r="H49" s="23" t="s">
        <v>14224</v>
      </c>
      <c r="I49" s="23" t="s">
        <v>14225</v>
      </c>
      <c r="J49" s="23" t="s">
        <v>563</v>
      </c>
      <c r="K49" s="26" t="s">
        <v>396</v>
      </c>
      <c r="L49" s="23" t="s">
        <v>13</v>
      </c>
      <c r="M49" s="33" t="s">
        <v>20</v>
      </c>
      <c r="N49" s="23" t="s">
        <v>40</v>
      </c>
      <c r="O49" s="23" t="s">
        <v>387</v>
      </c>
      <c r="P49" s="23" t="s">
        <v>40</v>
      </c>
      <c r="Q49" s="23" t="s">
        <v>40</v>
      </c>
      <c r="R49" s="23" t="s">
        <v>40</v>
      </c>
      <c r="S49" s="23" t="s">
        <v>14226</v>
      </c>
      <c r="T49" s="23" t="s">
        <v>40</v>
      </c>
    </row>
    <row r="50" spans="1:20" x14ac:dyDescent="0.25">
      <c r="A50" s="23" t="s">
        <v>14227</v>
      </c>
      <c r="B50" s="23" t="s">
        <v>14174</v>
      </c>
      <c r="C50" s="23" t="s">
        <v>14175</v>
      </c>
      <c r="D50" s="23" t="s">
        <v>14228</v>
      </c>
      <c r="E50" s="23" t="s">
        <v>14229</v>
      </c>
      <c r="F50" s="23" t="s">
        <v>40</v>
      </c>
      <c r="G50" s="23" t="s">
        <v>14230</v>
      </c>
      <c r="H50" s="23" t="s">
        <v>14231</v>
      </c>
      <c r="I50" s="23" t="s">
        <v>14232</v>
      </c>
      <c r="J50" s="23" t="s">
        <v>563</v>
      </c>
      <c r="K50" s="24" t="s">
        <v>386</v>
      </c>
      <c r="L50" s="23" t="s">
        <v>405</v>
      </c>
      <c r="M50" s="25" t="s">
        <v>18</v>
      </c>
      <c r="N50" s="23" t="s">
        <v>40</v>
      </c>
      <c r="O50" s="23" t="s">
        <v>387</v>
      </c>
      <c r="P50" s="23" t="s">
        <v>40</v>
      </c>
      <c r="Q50" s="23" t="s">
        <v>40</v>
      </c>
      <c r="R50" s="23" t="s">
        <v>40</v>
      </c>
      <c r="S50" s="23" t="s">
        <v>1710</v>
      </c>
      <c r="T50" s="23" t="s">
        <v>40</v>
      </c>
    </row>
    <row r="51" spans="1:20" x14ac:dyDescent="0.25">
      <c r="A51" s="23" t="s">
        <v>14233</v>
      </c>
      <c r="B51" s="23" t="s">
        <v>14234</v>
      </c>
      <c r="C51" s="23" t="s">
        <v>34</v>
      </c>
      <c r="D51" s="23" t="s">
        <v>14235</v>
      </c>
      <c r="E51" s="23" t="s">
        <v>14236</v>
      </c>
      <c r="F51" s="23" t="s">
        <v>14237</v>
      </c>
      <c r="G51" s="23" t="s">
        <v>14238</v>
      </c>
      <c r="H51" s="23" t="s">
        <v>14239</v>
      </c>
      <c r="I51" s="23" t="s">
        <v>14240</v>
      </c>
      <c r="J51" s="23" t="s">
        <v>563</v>
      </c>
      <c r="K51" s="26" t="s">
        <v>396</v>
      </c>
      <c r="L51" s="23" t="s">
        <v>13</v>
      </c>
      <c r="M51" s="28" t="s">
        <v>16</v>
      </c>
      <c r="N51" s="23" t="s">
        <v>13413</v>
      </c>
      <c r="O51" s="29" t="s">
        <v>87</v>
      </c>
      <c r="P51" s="23" t="s">
        <v>40</v>
      </c>
      <c r="Q51" s="23" t="s">
        <v>40</v>
      </c>
      <c r="R51" s="23" t="s">
        <v>40</v>
      </c>
      <c r="S51" s="23" t="s">
        <v>40</v>
      </c>
      <c r="T51" s="23" t="s">
        <v>40</v>
      </c>
    </row>
    <row r="52" spans="1:20" x14ac:dyDescent="0.25">
      <c r="A52" s="23" t="s">
        <v>14241</v>
      </c>
      <c r="B52" s="23" t="s">
        <v>14234</v>
      </c>
      <c r="C52" s="23" t="s">
        <v>34</v>
      </c>
      <c r="D52" s="23" t="s">
        <v>14242</v>
      </c>
      <c r="E52" s="23" t="s">
        <v>14243</v>
      </c>
      <c r="F52" s="23" t="s">
        <v>40</v>
      </c>
      <c r="G52" s="23" t="s">
        <v>14244</v>
      </c>
      <c r="H52" s="23" t="s">
        <v>14245</v>
      </c>
      <c r="I52" s="23" t="s">
        <v>14246</v>
      </c>
      <c r="J52" s="23" t="s">
        <v>563</v>
      </c>
      <c r="K52" s="26" t="s">
        <v>396</v>
      </c>
      <c r="L52" s="23" t="s">
        <v>13</v>
      </c>
      <c r="M52" s="28" t="s">
        <v>16</v>
      </c>
      <c r="N52" s="23" t="s">
        <v>13599</v>
      </c>
      <c r="O52" s="29" t="s">
        <v>87</v>
      </c>
      <c r="P52" s="23" t="s">
        <v>40</v>
      </c>
      <c r="Q52" s="23" t="s">
        <v>40</v>
      </c>
      <c r="R52" s="23" t="s">
        <v>40</v>
      </c>
      <c r="S52" s="23" t="s">
        <v>40</v>
      </c>
      <c r="T52" s="23" t="s">
        <v>40</v>
      </c>
    </row>
    <row r="53" spans="1:20" x14ac:dyDescent="0.25">
      <c r="A53" s="23" t="s">
        <v>14247</v>
      </c>
      <c r="B53" s="23" t="s">
        <v>14234</v>
      </c>
      <c r="C53" s="23" t="s">
        <v>34</v>
      </c>
      <c r="D53" s="23" t="s">
        <v>14248</v>
      </c>
      <c r="E53" s="23" t="s">
        <v>14249</v>
      </c>
      <c r="F53" s="23" t="s">
        <v>40</v>
      </c>
      <c r="G53" s="23" t="s">
        <v>14250</v>
      </c>
      <c r="H53" s="23" t="s">
        <v>14251</v>
      </c>
      <c r="I53" s="23" t="s">
        <v>14252</v>
      </c>
      <c r="J53" s="23" t="s">
        <v>563</v>
      </c>
      <c r="K53" s="26" t="s">
        <v>396</v>
      </c>
      <c r="L53" s="23" t="s">
        <v>13</v>
      </c>
      <c r="M53" s="25" t="s">
        <v>18</v>
      </c>
      <c r="N53" s="23" t="s">
        <v>40</v>
      </c>
      <c r="O53" s="23" t="s">
        <v>387</v>
      </c>
      <c r="P53" s="23" t="s">
        <v>40</v>
      </c>
      <c r="Q53" s="23" t="s">
        <v>40</v>
      </c>
      <c r="R53" s="23" t="s">
        <v>40</v>
      </c>
      <c r="S53" s="23" t="s">
        <v>40</v>
      </c>
      <c r="T53" s="23" t="s">
        <v>40</v>
      </c>
    </row>
    <row r="54" spans="1:20" x14ac:dyDescent="0.25">
      <c r="A54" s="23" t="s">
        <v>14253</v>
      </c>
      <c r="B54" s="23" t="s">
        <v>14234</v>
      </c>
      <c r="C54" s="23" t="s">
        <v>34</v>
      </c>
      <c r="D54" s="23" t="s">
        <v>14254</v>
      </c>
      <c r="E54" s="23" t="s">
        <v>14243</v>
      </c>
      <c r="F54" s="23" t="s">
        <v>40</v>
      </c>
      <c r="G54" s="23" t="s">
        <v>14255</v>
      </c>
      <c r="H54" s="23" t="s">
        <v>14256</v>
      </c>
      <c r="I54" s="23" t="s">
        <v>14257</v>
      </c>
      <c r="J54" s="23" t="s">
        <v>563</v>
      </c>
      <c r="K54" s="26" t="s">
        <v>396</v>
      </c>
      <c r="L54" s="23" t="s">
        <v>13</v>
      </c>
      <c r="M54" s="25" t="s">
        <v>18</v>
      </c>
      <c r="N54" s="23" t="s">
        <v>40</v>
      </c>
      <c r="O54" s="23" t="s">
        <v>387</v>
      </c>
      <c r="P54" s="23" t="s">
        <v>40</v>
      </c>
      <c r="Q54" s="23" t="s">
        <v>40</v>
      </c>
      <c r="R54" s="23" t="s">
        <v>40</v>
      </c>
      <c r="S54" s="23" t="s">
        <v>40</v>
      </c>
      <c r="T54" s="23" t="s">
        <v>40</v>
      </c>
    </row>
    <row r="55" spans="1:20" x14ac:dyDescent="0.25">
      <c r="A55" s="23" t="s">
        <v>14258</v>
      </c>
      <c r="B55" s="23" t="s">
        <v>14234</v>
      </c>
      <c r="C55" s="23" t="s">
        <v>34</v>
      </c>
      <c r="D55" s="23" t="s">
        <v>14259</v>
      </c>
      <c r="E55" s="23" t="s">
        <v>13833</v>
      </c>
      <c r="F55" s="23" t="s">
        <v>40</v>
      </c>
      <c r="G55" s="23" t="s">
        <v>14260</v>
      </c>
      <c r="H55" s="23" t="s">
        <v>14261</v>
      </c>
      <c r="I55" s="23" t="s">
        <v>14262</v>
      </c>
      <c r="J55" s="23" t="s">
        <v>563</v>
      </c>
      <c r="K55" s="24" t="s">
        <v>386</v>
      </c>
      <c r="L55" s="23" t="s">
        <v>405</v>
      </c>
      <c r="M55" s="25" t="s">
        <v>18</v>
      </c>
      <c r="N55" s="23" t="s">
        <v>40</v>
      </c>
      <c r="O55" s="23" t="s">
        <v>387</v>
      </c>
      <c r="P55" s="23" t="s">
        <v>40</v>
      </c>
      <c r="Q55" s="23" t="s">
        <v>40</v>
      </c>
      <c r="R55" s="23" t="s">
        <v>40</v>
      </c>
      <c r="S55" s="23" t="s">
        <v>40</v>
      </c>
      <c r="T55" s="23" t="s">
        <v>40</v>
      </c>
    </row>
    <row r="56" spans="1:20" x14ac:dyDescent="0.25">
      <c r="A56" s="23" t="s">
        <v>14263</v>
      </c>
      <c r="B56" s="23" t="s">
        <v>14234</v>
      </c>
      <c r="C56" s="23" t="s">
        <v>34</v>
      </c>
      <c r="D56" s="23" t="s">
        <v>14264</v>
      </c>
      <c r="E56" s="23" t="s">
        <v>14265</v>
      </c>
      <c r="F56" s="23" t="s">
        <v>40</v>
      </c>
      <c r="G56" s="23" t="s">
        <v>14266</v>
      </c>
      <c r="H56" s="23" t="s">
        <v>14267</v>
      </c>
      <c r="I56" s="23" t="s">
        <v>1963</v>
      </c>
      <c r="J56" s="23" t="s">
        <v>563</v>
      </c>
      <c r="K56" s="26" t="s">
        <v>396</v>
      </c>
      <c r="L56" s="23" t="s">
        <v>13</v>
      </c>
      <c r="M56" s="25" t="s">
        <v>18</v>
      </c>
      <c r="N56" s="23" t="s">
        <v>40</v>
      </c>
      <c r="O56" s="23" t="s">
        <v>387</v>
      </c>
      <c r="P56" s="23" t="s">
        <v>40</v>
      </c>
      <c r="Q56" s="23" t="s">
        <v>40</v>
      </c>
      <c r="R56" s="23" t="s">
        <v>40</v>
      </c>
      <c r="S56" s="23" t="s">
        <v>40</v>
      </c>
      <c r="T56" s="23" t="s">
        <v>40</v>
      </c>
    </row>
    <row r="57" spans="1:20" x14ac:dyDescent="0.25">
      <c r="A57" s="23" t="s">
        <v>14268</v>
      </c>
      <c r="B57" s="23" t="s">
        <v>14269</v>
      </c>
      <c r="C57" s="23" t="s">
        <v>346</v>
      </c>
      <c r="D57" s="23" t="s">
        <v>14270</v>
      </c>
      <c r="E57" s="23" t="s">
        <v>589</v>
      </c>
      <c r="F57" s="23" t="s">
        <v>40</v>
      </c>
      <c r="G57" s="23" t="s">
        <v>14271</v>
      </c>
      <c r="H57" s="23" t="s">
        <v>14272</v>
      </c>
      <c r="I57" s="23" t="s">
        <v>14273</v>
      </c>
      <c r="J57" s="23" t="s">
        <v>563</v>
      </c>
      <c r="K57" s="26" t="s">
        <v>396</v>
      </c>
      <c r="L57" s="23" t="s">
        <v>13</v>
      </c>
      <c r="M57" s="28" t="s">
        <v>16</v>
      </c>
      <c r="N57" s="23" t="s">
        <v>14274</v>
      </c>
      <c r="O57" s="29" t="s">
        <v>87</v>
      </c>
      <c r="P57" s="23" t="s">
        <v>40</v>
      </c>
      <c r="Q57" s="23" t="s">
        <v>40</v>
      </c>
      <c r="R57" s="23" t="s">
        <v>40</v>
      </c>
      <c r="S57" s="23" t="s">
        <v>40</v>
      </c>
      <c r="T57" s="23" t="s">
        <v>40</v>
      </c>
    </row>
    <row r="58" spans="1:20" x14ac:dyDescent="0.25">
      <c r="A58" s="23" t="s">
        <v>14275</v>
      </c>
      <c r="B58" s="23" t="s">
        <v>14269</v>
      </c>
      <c r="C58" s="23" t="s">
        <v>346</v>
      </c>
      <c r="D58" s="23" t="s">
        <v>14276</v>
      </c>
      <c r="E58" s="23" t="s">
        <v>14277</v>
      </c>
      <c r="F58" s="23" t="s">
        <v>40</v>
      </c>
      <c r="G58" s="23" t="s">
        <v>14278</v>
      </c>
      <c r="H58" s="23" t="s">
        <v>14279</v>
      </c>
      <c r="I58" s="23" t="s">
        <v>14280</v>
      </c>
      <c r="J58" s="23" t="s">
        <v>563</v>
      </c>
      <c r="K58" s="24" t="s">
        <v>386</v>
      </c>
      <c r="L58" s="23" t="s">
        <v>405</v>
      </c>
      <c r="M58" s="25" t="s">
        <v>18</v>
      </c>
      <c r="N58" s="23" t="s">
        <v>40</v>
      </c>
      <c r="O58" s="23" t="s">
        <v>387</v>
      </c>
      <c r="P58" s="23" t="s">
        <v>40</v>
      </c>
      <c r="Q58" s="23" t="s">
        <v>40</v>
      </c>
      <c r="R58" s="23" t="s">
        <v>40</v>
      </c>
      <c r="S58" s="23" t="s">
        <v>40</v>
      </c>
      <c r="T58" s="23" t="s">
        <v>40</v>
      </c>
    </row>
    <row r="59" spans="1:20" x14ac:dyDescent="0.25">
      <c r="A59" s="23" t="s">
        <v>14281</v>
      </c>
      <c r="B59" s="23" t="s">
        <v>14269</v>
      </c>
      <c r="C59" s="23" t="s">
        <v>346</v>
      </c>
      <c r="D59" s="23" t="s">
        <v>2195</v>
      </c>
      <c r="E59" s="23" t="s">
        <v>14282</v>
      </c>
      <c r="F59" s="23" t="s">
        <v>40</v>
      </c>
      <c r="G59" s="23" t="s">
        <v>14283</v>
      </c>
      <c r="H59" s="23" t="s">
        <v>14284</v>
      </c>
      <c r="I59" s="23" t="s">
        <v>14285</v>
      </c>
      <c r="J59" s="23" t="s">
        <v>563</v>
      </c>
      <c r="K59" s="24" t="s">
        <v>386</v>
      </c>
      <c r="L59" s="23" t="s">
        <v>405</v>
      </c>
      <c r="M59" s="25" t="s">
        <v>18</v>
      </c>
      <c r="N59" s="23" t="s">
        <v>40</v>
      </c>
      <c r="O59" s="23" t="s">
        <v>387</v>
      </c>
      <c r="P59" s="23" t="s">
        <v>40</v>
      </c>
      <c r="Q59" s="23" t="s">
        <v>40</v>
      </c>
      <c r="R59" s="23" t="s">
        <v>40</v>
      </c>
      <c r="S59" s="23" t="s">
        <v>40</v>
      </c>
      <c r="T59" s="23" t="s">
        <v>13166</v>
      </c>
    </row>
    <row r="60" spans="1:20" x14ac:dyDescent="0.25">
      <c r="A60" s="23" t="s">
        <v>14286</v>
      </c>
      <c r="B60" s="23" t="s">
        <v>14269</v>
      </c>
      <c r="C60" s="23" t="s">
        <v>346</v>
      </c>
      <c r="D60" s="23" t="s">
        <v>14287</v>
      </c>
      <c r="E60" s="23" t="s">
        <v>6402</v>
      </c>
      <c r="F60" s="23" t="s">
        <v>40</v>
      </c>
      <c r="G60" s="23" t="s">
        <v>14288</v>
      </c>
      <c r="H60" s="23" t="s">
        <v>14289</v>
      </c>
      <c r="I60" s="23" t="s">
        <v>14290</v>
      </c>
      <c r="J60" s="23" t="s">
        <v>563</v>
      </c>
      <c r="K60" s="27" t="s">
        <v>404</v>
      </c>
      <c r="L60" s="23" t="s">
        <v>490</v>
      </c>
      <c r="M60" s="25" t="s">
        <v>18</v>
      </c>
      <c r="N60" s="23" t="s">
        <v>40</v>
      </c>
      <c r="O60" s="23" t="s">
        <v>387</v>
      </c>
      <c r="P60" s="23" t="s">
        <v>40</v>
      </c>
      <c r="Q60" s="23" t="s">
        <v>40</v>
      </c>
      <c r="R60" s="23" t="s">
        <v>40</v>
      </c>
      <c r="S60" s="23" t="s">
        <v>40</v>
      </c>
      <c r="T60" s="23" t="s">
        <v>13166</v>
      </c>
    </row>
    <row r="61" spans="1:20" x14ac:dyDescent="0.25">
      <c r="A61" s="23" t="s">
        <v>14291</v>
      </c>
      <c r="B61" s="23" t="s">
        <v>14292</v>
      </c>
      <c r="C61" s="23" t="s">
        <v>14293</v>
      </c>
      <c r="D61" s="23" t="s">
        <v>14294</v>
      </c>
      <c r="E61" s="23" t="s">
        <v>14295</v>
      </c>
      <c r="F61" s="23" t="s">
        <v>40</v>
      </c>
      <c r="G61" s="23" t="s">
        <v>14296</v>
      </c>
      <c r="H61" s="23" t="s">
        <v>14297</v>
      </c>
      <c r="I61" s="23" t="s">
        <v>14298</v>
      </c>
      <c r="J61" s="23" t="s">
        <v>563</v>
      </c>
      <c r="K61" s="26" t="s">
        <v>396</v>
      </c>
      <c r="L61" s="23" t="s">
        <v>13</v>
      </c>
      <c r="M61" s="25" t="s">
        <v>18</v>
      </c>
      <c r="N61" s="23" t="s">
        <v>40</v>
      </c>
      <c r="O61" s="23" t="s">
        <v>387</v>
      </c>
      <c r="P61" s="23" t="s">
        <v>40</v>
      </c>
      <c r="Q61" s="23" t="s">
        <v>40</v>
      </c>
      <c r="R61" s="23" t="s">
        <v>40</v>
      </c>
      <c r="S61" s="23" t="s">
        <v>40</v>
      </c>
      <c r="T61" s="23" t="s">
        <v>14299</v>
      </c>
    </row>
    <row r="62" spans="1:20" x14ac:dyDescent="0.25">
      <c r="A62" s="23" t="s">
        <v>14300</v>
      </c>
      <c r="B62" s="23" t="s">
        <v>14292</v>
      </c>
      <c r="C62" s="23" t="s">
        <v>14293</v>
      </c>
      <c r="D62" s="23" t="s">
        <v>2468</v>
      </c>
      <c r="E62" s="23" t="s">
        <v>14301</v>
      </c>
      <c r="F62" s="23" t="s">
        <v>40</v>
      </c>
      <c r="G62" s="23" t="s">
        <v>14302</v>
      </c>
      <c r="H62" s="23" t="s">
        <v>14303</v>
      </c>
      <c r="I62" s="23" t="s">
        <v>14304</v>
      </c>
      <c r="J62" s="23" t="s">
        <v>563</v>
      </c>
      <c r="K62" s="24" t="s">
        <v>386</v>
      </c>
      <c r="L62" s="23" t="s">
        <v>405</v>
      </c>
      <c r="M62" s="25" t="s">
        <v>18</v>
      </c>
      <c r="N62" s="23" t="s">
        <v>40</v>
      </c>
      <c r="O62" s="23" t="s">
        <v>387</v>
      </c>
      <c r="P62" s="23" t="s">
        <v>40</v>
      </c>
      <c r="Q62" s="23" t="s">
        <v>40</v>
      </c>
      <c r="R62" s="23" t="s">
        <v>40</v>
      </c>
      <c r="S62" s="23" t="s">
        <v>40</v>
      </c>
      <c r="T62" s="23" t="s">
        <v>14299</v>
      </c>
    </row>
    <row r="63" spans="1:20" x14ac:dyDescent="0.25">
      <c r="A63" s="23" t="s">
        <v>14305</v>
      </c>
      <c r="B63" s="23" t="s">
        <v>14292</v>
      </c>
      <c r="C63" s="23" t="s">
        <v>14293</v>
      </c>
      <c r="D63" s="23" t="s">
        <v>14306</v>
      </c>
      <c r="E63" s="23" t="s">
        <v>14307</v>
      </c>
      <c r="F63" s="23" t="s">
        <v>40</v>
      </c>
      <c r="G63" s="23" t="s">
        <v>14308</v>
      </c>
      <c r="H63" s="23" t="s">
        <v>14309</v>
      </c>
      <c r="I63" s="23" t="s">
        <v>14310</v>
      </c>
      <c r="J63" s="23" t="s">
        <v>563</v>
      </c>
      <c r="K63" s="26" t="s">
        <v>396</v>
      </c>
      <c r="L63" s="23" t="s">
        <v>13</v>
      </c>
      <c r="M63" s="25" t="s">
        <v>18</v>
      </c>
      <c r="N63" s="23" t="s">
        <v>40</v>
      </c>
      <c r="O63" s="23" t="s">
        <v>387</v>
      </c>
      <c r="P63" s="23" t="s">
        <v>40</v>
      </c>
      <c r="Q63" s="23" t="s">
        <v>40</v>
      </c>
      <c r="R63" s="23" t="s">
        <v>40</v>
      </c>
      <c r="S63" s="23" t="s">
        <v>40</v>
      </c>
      <c r="T63" s="23" t="s">
        <v>14299</v>
      </c>
    </row>
    <row r="64" spans="1:20" x14ac:dyDescent="0.25">
      <c r="A64" s="23" t="s">
        <v>14311</v>
      </c>
      <c r="B64" s="23" t="s">
        <v>14292</v>
      </c>
      <c r="C64" s="23" t="s">
        <v>14293</v>
      </c>
      <c r="D64" s="23" t="s">
        <v>14312</v>
      </c>
      <c r="E64" s="23" t="s">
        <v>14313</v>
      </c>
      <c r="F64" s="23" t="s">
        <v>40</v>
      </c>
      <c r="G64" s="23" t="s">
        <v>14314</v>
      </c>
      <c r="H64" s="23" t="s">
        <v>14315</v>
      </c>
      <c r="I64" s="23" t="s">
        <v>14316</v>
      </c>
      <c r="J64" s="23" t="s">
        <v>563</v>
      </c>
      <c r="K64" s="24" t="s">
        <v>386</v>
      </c>
      <c r="L64" s="23" t="s">
        <v>405</v>
      </c>
      <c r="M64" s="25" t="s">
        <v>18</v>
      </c>
      <c r="N64" s="23" t="s">
        <v>40</v>
      </c>
      <c r="O64" s="23" t="s">
        <v>387</v>
      </c>
      <c r="P64" s="23" t="s">
        <v>40</v>
      </c>
      <c r="Q64" s="23" t="s">
        <v>40</v>
      </c>
      <c r="R64" s="23" t="s">
        <v>40</v>
      </c>
      <c r="S64" s="23" t="s">
        <v>40</v>
      </c>
      <c r="T64" s="23" t="s">
        <v>14317</v>
      </c>
    </row>
    <row r="65" spans="1:20" x14ac:dyDescent="0.25">
      <c r="A65" s="23" t="s">
        <v>14318</v>
      </c>
      <c r="B65" s="23" t="s">
        <v>14292</v>
      </c>
      <c r="C65" s="23" t="s">
        <v>14293</v>
      </c>
      <c r="D65" s="23" t="s">
        <v>14319</v>
      </c>
      <c r="E65" s="23" t="s">
        <v>14320</v>
      </c>
      <c r="F65" s="23" t="s">
        <v>40</v>
      </c>
      <c r="G65" s="23" t="s">
        <v>14321</v>
      </c>
      <c r="H65" s="23" t="s">
        <v>14322</v>
      </c>
      <c r="I65" s="23" t="s">
        <v>14323</v>
      </c>
      <c r="J65" s="23" t="s">
        <v>563</v>
      </c>
      <c r="K65" s="24" t="s">
        <v>386</v>
      </c>
      <c r="L65" s="23" t="s">
        <v>405</v>
      </c>
      <c r="M65" s="25" t="s">
        <v>18</v>
      </c>
      <c r="N65" s="23" t="s">
        <v>40</v>
      </c>
      <c r="O65" s="23" t="s">
        <v>387</v>
      </c>
      <c r="P65" s="23" t="s">
        <v>40</v>
      </c>
      <c r="Q65" s="23" t="s">
        <v>40</v>
      </c>
      <c r="R65" s="23" t="s">
        <v>40</v>
      </c>
      <c r="S65" s="23" t="s">
        <v>14324</v>
      </c>
      <c r="T65" s="23" t="s">
        <v>40</v>
      </c>
    </row>
    <row r="66" spans="1:20" x14ac:dyDescent="0.25">
      <c r="A66" s="23" t="s">
        <v>14325</v>
      </c>
      <c r="B66" s="23" t="s">
        <v>14326</v>
      </c>
      <c r="C66" s="23" t="s">
        <v>783</v>
      </c>
      <c r="D66" s="23" t="s">
        <v>14327</v>
      </c>
      <c r="E66" s="23" t="s">
        <v>14328</v>
      </c>
      <c r="F66" s="23" t="s">
        <v>40</v>
      </c>
      <c r="G66" s="23" t="s">
        <v>14329</v>
      </c>
      <c r="H66" s="23" t="s">
        <v>14330</v>
      </c>
      <c r="I66" s="23" t="s">
        <v>14331</v>
      </c>
      <c r="J66" s="23" t="s">
        <v>563</v>
      </c>
      <c r="K66" s="26" t="s">
        <v>396</v>
      </c>
      <c r="L66" s="23" t="s">
        <v>13</v>
      </c>
      <c r="M66" s="25" t="s">
        <v>18</v>
      </c>
      <c r="N66" s="23" t="s">
        <v>40</v>
      </c>
      <c r="O66" s="23" t="s">
        <v>387</v>
      </c>
      <c r="P66" s="23" t="s">
        <v>40</v>
      </c>
      <c r="Q66" s="23" t="s">
        <v>40</v>
      </c>
      <c r="R66" s="23" t="s">
        <v>40</v>
      </c>
      <c r="S66" s="23" t="s">
        <v>40</v>
      </c>
      <c r="T66" s="23" t="s">
        <v>40</v>
      </c>
    </row>
    <row r="67" spans="1:20" x14ac:dyDescent="0.25">
      <c r="A67" s="23" t="s">
        <v>14332</v>
      </c>
      <c r="B67" s="23" t="s">
        <v>14326</v>
      </c>
      <c r="C67" s="23" t="s">
        <v>783</v>
      </c>
      <c r="D67" s="23" t="s">
        <v>14333</v>
      </c>
      <c r="E67" s="23" t="s">
        <v>14334</v>
      </c>
      <c r="F67" s="23" t="s">
        <v>40</v>
      </c>
      <c r="G67" s="23" t="s">
        <v>14335</v>
      </c>
      <c r="H67" s="23" t="s">
        <v>14336</v>
      </c>
      <c r="I67" s="23" t="s">
        <v>14337</v>
      </c>
      <c r="J67" s="23" t="s">
        <v>563</v>
      </c>
      <c r="K67" s="24" t="s">
        <v>386</v>
      </c>
      <c r="L67" s="23" t="s">
        <v>405</v>
      </c>
      <c r="M67" s="30" t="s">
        <v>19</v>
      </c>
      <c r="N67" s="23" t="s">
        <v>40</v>
      </c>
      <c r="O67" s="23" t="s">
        <v>387</v>
      </c>
      <c r="P67" s="23" t="s">
        <v>40</v>
      </c>
      <c r="Q67" s="23" t="s">
        <v>40</v>
      </c>
      <c r="R67" s="23" t="s">
        <v>40</v>
      </c>
      <c r="S67" s="23" t="s">
        <v>14338</v>
      </c>
      <c r="T67" s="23" t="s">
        <v>40</v>
      </c>
    </row>
    <row r="68" spans="1:20" x14ac:dyDescent="0.25">
      <c r="A68" s="23" t="s">
        <v>14339</v>
      </c>
      <c r="B68" s="23" t="s">
        <v>14326</v>
      </c>
      <c r="C68" s="23" t="s">
        <v>783</v>
      </c>
      <c r="D68" s="23" t="s">
        <v>14340</v>
      </c>
      <c r="E68" s="23" t="s">
        <v>14341</v>
      </c>
      <c r="F68" s="23" t="s">
        <v>40</v>
      </c>
      <c r="G68" s="23" t="s">
        <v>14342</v>
      </c>
      <c r="H68" s="23" t="s">
        <v>14343</v>
      </c>
      <c r="I68" s="23" t="s">
        <v>14344</v>
      </c>
      <c r="J68" s="23" t="s">
        <v>563</v>
      </c>
      <c r="K68" s="24" t="s">
        <v>386</v>
      </c>
      <c r="L68" s="23" t="s">
        <v>405</v>
      </c>
      <c r="M68" s="25" t="s">
        <v>18</v>
      </c>
      <c r="N68" s="23" t="s">
        <v>40</v>
      </c>
      <c r="O68" s="23" t="s">
        <v>387</v>
      </c>
      <c r="P68" s="23" t="s">
        <v>40</v>
      </c>
      <c r="Q68" s="23" t="s">
        <v>40</v>
      </c>
      <c r="R68" s="23" t="s">
        <v>40</v>
      </c>
      <c r="S68" s="23" t="s">
        <v>40</v>
      </c>
      <c r="T68" s="23" t="s">
        <v>14345</v>
      </c>
    </row>
    <row r="69" spans="1:20" x14ac:dyDescent="0.25">
      <c r="A69" s="23" t="s">
        <v>14346</v>
      </c>
      <c r="B69" s="23" t="s">
        <v>14326</v>
      </c>
      <c r="C69" s="23" t="s">
        <v>783</v>
      </c>
      <c r="D69" s="23" t="s">
        <v>14347</v>
      </c>
      <c r="E69" s="23" t="s">
        <v>14348</v>
      </c>
      <c r="F69" s="23" t="s">
        <v>40</v>
      </c>
      <c r="G69" s="23" t="s">
        <v>14349</v>
      </c>
      <c r="H69" s="23" t="s">
        <v>14350</v>
      </c>
      <c r="I69" s="23" t="s">
        <v>14351</v>
      </c>
      <c r="J69" s="23" t="s">
        <v>563</v>
      </c>
      <c r="K69" s="27" t="s">
        <v>404</v>
      </c>
      <c r="L69" s="23" t="s">
        <v>490</v>
      </c>
      <c r="M69" s="25" t="s">
        <v>18</v>
      </c>
      <c r="N69" s="23" t="s">
        <v>40</v>
      </c>
      <c r="O69" s="23" t="s">
        <v>387</v>
      </c>
      <c r="P69" s="23" t="s">
        <v>40</v>
      </c>
      <c r="Q69" s="23" t="s">
        <v>40</v>
      </c>
      <c r="R69" s="23" t="s">
        <v>40</v>
      </c>
      <c r="S69" s="23" t="s">
        <v>40</v>
      </c>
      <c r="T69" s="23" t="s">
        <v>40</v>
      </c>
    </row>
  </sheetData>
  <autoFilter ref="A1:T69"/>
  <dataValidations count="2">
    <dataValidation type="list" allowBlank="1" sqref="O10:O69">
      <formula1>"Passed,Failed,Blocked,Not Executed,Passed (19 Oct 2026)"</formula1>
    </dataValidation>
    <dataValidation type="list" allowBlank="1" sqref="O2:O69">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4"/>
  <sheetViews>
    <sheetView workbookViewId="0">
      <pane xSplit="1" ySplit="1" topLeftCell="B2" activePane="bottomRight" state="frozen"/>
      <selection pane="bottomRight"/>
    </sheetView>
  </sheetViews>
  <sheetFormatPr defaultRowHeight="15" outlineLevelRow="0" outlineLevelCol="0" x14ac:dyDescent="55"/>
  <cols>
    <col min="1" max="1" width="13" customWidth="1"/>
    <col min="2" max="3" width="22" customWidth="1"/>
    <col min="4" max="4" width="42" customWidth="1"/>
    <col min="5" max="6" width="30" customWidth="1"/>
    <col min="7" max="7" width="52" customWidth="1"/>
    <col min="8" max="8" width="48" customWidth="1"/>
    <col min="9" max="9" width="46" customWidth="1"/>
    <col min="10" max="10" width="12" customWidth="1"/>
    <col min="11" max="11" width="10" customWidth="1"/>
    <col min="13" max="13" width="20" customWidth="1"/>
    <col min="14" max="14" width="28" customWidth="1"/>
    <col min="15" max="15" width="17" customWidth="1"/>
    <col min="16" max="16" width="26" customWidth="1"/>
    <col min="17" max="17" width="16" customWidth="1"/>
    <col min="18" max="18" width="22" customWidth="1"/>
    <col min="19" max="19" width="30" customWidth="1"/>
    <col min="20" max="20" width="14" customWidth="1"/>
  </cols>
  <sheetData>
    <row r="1" ht="30" customHeight="1" spans="1:20" x14ac:dyDescent="0.25">
      <c r="A1" s="4" t="s">
        <v>41</v>
      </c>
      <c r="B1" s="4" t="s">
        <v>364</v>
      </c>
      <c r="C1" s="4" t="s">
        <v>365</v>
      </c>
      <c r="D1" s="4" t="s">
        <v>366</v>
      </c>
      <c r="E1" s="4" t="s">
        <v>367</v>
      </c>
      <c r="F1" s="4" t="s">
        <v>368</v>
      </c>
      <c r="G1" s="4" t="s">
        <v>47</v>
      </c>
      <c r="H1" s="4" t="s">
        <v>49</v>
      </c>
      <c r="I1" s="4" t="s">
        <v>369</v>
      </c>
      <c r="J1" s="4" t="s">
        <v>53</v>
      </c>
      <c r="K1" s="4" t="s">
        <v>51</v>
      </c>
      <c r="L1" s="4" t="s">
        <v>55</v>
      </c>
      <c r="M1" s="4" t="s">
        <v>370</v>
      </c>
      <c r="N1" s="4" t="s">
        <v>371</v>
      </c>
      <c r="O1" s="4" t="s">
        <v>372</v>
      </c>
      <c r="P1" s="4" t="s">
        <v>373</v>
      </c>
      <c r="Q1" s="4" t="s">
        <v>374</v>
      </c>
      <c r="R1" s="4" t="s">
        <v>79</v>
      </c>
      <c r="S1" s="4" t="s">
        <v>375</v>
      </c>
      <c r="T1" s="4" t="s">
        <v>376</v>
      </c>
    </row>
    <row r="2" spans="1:20" x14ac:dyDescent="0.25">
      <c r="A2" s="23" t="s">
        <v>14352</v>
      </c>
      <c r="B2" s="23" t="s">
        <v>14353</v>
      </c>
      <c r="C2" s="23" t="s">
        <v>378</v>
      </c>
      <c r="D2" s="23" t="s">
        <v>14354</v>
      </c>
      <c r="E2" s="23" t="s">
        <v>14355</v>
      </c>
      <c r="F2" s="23" t="s">
        <v>14356</v>
      </c>
      <c r="G2" s="23" t="s">
        <v>14357</v>
      </c>
      <c r="H2" s="23" t="s">
        <v>14358</v>
      </c>
      <c r="I2" s="23" t="s">
        <v>14359</v>
      </c>
      <c r="J2" s="23" t="s">
        <v>395</v>
      </c>
      <c r="K2" s="26" t="s">
        <v>396</v>
      </c>
      <c r="L2" s="23" t="s">
        <v>13</v>
      </c>
      <c r="M2" s="28" t="s">
        <v>16</v>
      </c>
      <c r="N2" s="23" t="s">
        <v>14360</v>
      </c>
      <c r="O2" s="29" t="s">
        <v>87</v>
      </c>
      <c r="P2" s="23" t="s">
        <v>40</v>
      </c>
      <c r="Q2" s="23" t="s">
        <v>40</v>
      </c>
      <c r="R2" s="23" t="s">
        <v>388</v>
      </c>
      <c r="S2" s="23" t="s">
        <v>40</v>
      </c>
      <c r="T2" s="23" t="s">
        <v>40</v>
      </c>
    </row>
    <row r="3" spans="1:20" x14ac:dyDescent="0.25">
      <c r="A3" s="23" t="s">
        <v>14361</v>
      </c>
      <c r="B3" s="23" t="s">
        <v>14353</v>
      </c>
      <c r="C3" s="23" t="s">
        <v>378</v>
      </c>
      <c r="D3" s="23" t="s">
        <v>14362</v>
      </c>
      <c r="E3" s="23" t="s">
        <v>14363</v>
      </c>
      <c r="F3" s="23" t="s">
        <v>40</v>
      </c>
      <c r="G3" s="23" t="s">
        <v>14364</v>
      </c>
      <c r="H3" s="23" t="s">
        <v>14365</v>
      </c>
      <c r="I3" s="23" t="s">
        <v>14366</v>
      </c>
      <c r="J3" s="23" t="s">
        <v>395</v>
      </c>
      <c r="K3" s="26" t="s">
        <v>396</v>
      </c>
      <c r="L3" s="23" t="s">
        <v>13</v>
      </c>
      <c r="M3" s="25" t="s">
        <v>18</v>
      </c>
      <c r="N3" s="23" t="s">
        <v>40</v>
      </c>
      <c r="O3" s="23" t="s">
        <v>387</v>
      </c>
      <c r="P3" s="23" t="s">
        <v>40</v>
      </c>
      <c r="Q3" s="23" t="s">
        <v>40</v>
      </c>
      <c r="R3" s="23" t="s">
        <v>388</v>
      </c>
      <c r="S3" s="23" t="s">
        <v>40</v>
      </c>
      <c r="T3" s="23" t="s">
        <v>40</v>
      </c>
    </row>
    <row r="4" spans="1:20" x14ac:dyDescent="0.25">
      <c r="A4" s="23" t="s">
        <v>14367</v>
      </c>
      <c r="B4" s="23" t="s">
        <v>14353</v>
      </c>
      <c r="C4" s="23" t="s">
        <v>378</v>
      </c>
      <c r="D4" s="23" t="s">
        <v>14368</v>
      </c>
      <c r="E4" s="23" t="s">
        <v>40</v>
      </c>
      <c r="F4" s="23" t="s">
        <v>40</v>
      </c>
      <c r="G4" s="23" t="s">
        <v>14369</v>
      </c>
      <c r="H4" s="23" t="s">
        <v>14370</v>
      </c>
      <c r="I4" s="23" t="s">
        <v>14371</v>
      </c>
      <c r="J4" s="23" t="s">
        <v>395</v>
      </c>
      <c r="K4" s="24" t="s">
        <v>386</v>
      </c>
      <c r="L4" s="23" t="s">
        <v>405</v>
      </c>
      <c r="M4" s="25" t="s">
        <v>18</v>
      </c>
      <c r="N4" s="23" t="s">
        <v>40</v>
      </c>
      <c r="O4" s="23" t="s">
        <v>387</v>
      </c>
      <c r="P4" s="23" t="s">
        <v>40</v>
      </c>
      <c r="Q4" s="23" t="s">
        <v>40</v>
      </c>
      <c r="R4" s="23" t="s">
        <v>388</v>
      </c>
      <c r="S4" s="23" t="s">
        <v>40</v>
      </c>
      <c r="T4" s="23" t="s">
        <v>40</v>
      </c>
    </row>
    <row r="5" spans="1:20" x14ac:dyDescent="0.25">
      <c r="A5" s="23" t="s">
        <v>14372</v>
      </c>
      <c r="B5" s="23" t="s">
        <v>14353</v>
      </c>
      <c r="C5" s="23" t="s">
        <v>378</v>
      </c>
      <c r="D5" s="23" t="s">
        <v>14373</v>
      </c>
      <c r="E5" s="23" t="s">
        <v>14374</v>
      </c>
      <c r="F5" s="23" t="s">
        <v>40</v>
      </c>
      <c r="G5" s="23" t="s">
        <v>14375</v>
      </c>
      <c r="H5" s="23" t="s">
        <v>14376</v>
      </c>
      <c r="I5" s="23" t="s">
        <v>14377</v>
      </c>
      <c r="J5" s="23" t="s">
        <v>395</v>
      </c>
      <c r="K5" s="26" t="s">
        <v>396</v>
      </c>
      <c r="L5" s="23" t="s">
        <v>13</v>
      </c>
      <c r="M5" s="25" t="s">
        <v>18</v>
      </c>
      <c r="N5" s="23" t="s">
        <v>40</v>
      </c>
      <c r="O5" s="23" t="s">
        <v>387</v>
      </c>
      <c r="P5" s="23" t="s">
        <v>40</v>
      </c>
      <c r="Q5" s="23" t="s">
        <v>40</v>
      </c>
      <c r="R5" s="23" t="s">
        <v>388</v>
      </c>
      <c r="S5" s="23" t="s">
        <v>14378</v>
      </c>
      <c r="T5" s="23" t="s">
        <v>40</v>
      </c>
    </row>
    <row r="6" spans="1:20" x14ac:dyDescent="0.25">
      <c r="A6" s="23" t="s">
        <v>14379</v>
      </c>
      <c r="B6" s="23" t="s">
        <v>14353</v>
      </c>
      <c r="C6" s="23" t="s">
        <v>378</v>
      </c>
      <c r="D6" s="23" t="s">
        <v>14380</v>
      </c>
      <c r="E6" s="23" t="s">
        <v>14381</v>
      </c>
      <c r="F6" s="23" t="s">
        <v>40</v>
      </c>
      <c r="G6" s="23" t="s">
        <v>14382</v>
      </c>
      <c r="H6" s="23" t="s">
        <v>14383</v>
      </c>
      <c r="I6" s="23" t="s">
        <v>14384</v>
      </c>
      <c r="J6" s="23" t="s">
        <v>395</v>
      </c>
      <c r="K6" s="26" t="s">
        <v>396</v>
      </c>
      <c r="L6" s="23" t="s">
        <v>13</v>
      </c>
      <c r="M6" s="25" t="s">
        <v>18</v>
      </c>
      <c r="N6" s="23" t="s">
        <v>40</v>
      </c>
      <c r="O6" s="23" t="s">
        <v>387</v>
      </c>
      <c r="P6" s="23" t="s">
        <v>40</v>
      </c>
      <c r="Q6" s="23" t="s">
        <v>40</v>
      </c>
      <c r="R6" s="23" t="s">
        <v>388</v>
      </c>
      <c r="S6" s="23" t="s">
        <v>40</v>
      </c>
      <c r="T6" s="23" t="s">
        <v>40</v>
      </c>
    </row>
    <row r="7" spans="1:20" x14ac:dyDescent="0.25">
      <c r="A7" s="23" t="s">
        <v>14385</v>
      </c>
      <c r="B7" s="23" t="s">
        <v>14353</v>
      </c>
      <c r="C7" s="23" t="s">
        <v>378</v>
      </c>
      <c r="D7" s="23" t="s">
        <v>14386</v>
      </c>
      <c r="E7" s="23" t="s">
        <v>40</v>
      </c>
      <c r="F7" s="23" t="s">
        <v>40</v>
      </c>
      <c r="G7" s="23" t="s">
        <v>14387</v>
      </c>
      <c r="H7" s="23" t="s">
        <v>14388</v>
      </c>
      <c r="I7" s="23" t="s">
        <v>14389</v>
      </c>
      <c r="J7" s="23" t="s">
        <v>395</v>
      </c>
      <c r="K7" s="24" t="s">
        <v>386</v>
      </c>
      <c r="L7" s="23" t="s">
        <v>405</v>
      </c>
      <c r="M7" s="25" t="s">
        <v>18</v>
      </c>
      <c r="N7" s="23" t="s">
        <v>40</v>
      </c>
      <c r="O7" s="23" t="s">
        <v>387</v>
      </c>
      <c r="P7" s="23" t="s">
        <v>40</v>
      </c>
      <c r="Q7" s="23" t="s">
        <v>40</v>
      </c>
      <c r="R7" s="23" t="s">
        <v>388</v>
      </c>
      <c r="S7" s="23" t="s">
        <v>40</v>
      </c>
      <c r="T7" s="23" t="s">
        <v>40</v>
      </c>
    </row>
    <row r="8" spans="1:20" x14ac:dyDescent="0.25">
      <c r="A8" s="23" t="s">
        <v>14390</v>
      </c>
      <c r="B8" s="23" t="s">
        <v>14353</v>
      </c>
      <c r="C8" s="23" t="s">
        <v>378</v>
      </c>
      <c r="D8" s="23" t="s">
        <v>14391</v>
      </c>
      <c r="E8" s="23" t="s">
        <v>40</v>
      </c>
      <c r="F8" s="23" t="s">
        <v>40</v>
      </c>
      <c r="G8" s="23" t="s">
        <v>14392</v>
      </c>
      <c r="H8" s="23" t="s">
        <v>14393</v>
      </c>
      <c r="I8" s="23" t="s">
        <v>14394</v>
      </c>
      <c r="J8" s="23" t="s">
        <v>395</v>
      </c>
      <c r="K8" s="26" t="s">
        <v>396</v>
      </c>
      <c r="L8" s="23" t="s">
        <v>13</v>
      </c>
      <c r="M8" s="25" t="s">
        <v>18</v>
      </c>
      <c r="N8" s="23" t="s">
        <v>40</v>
      </c>
      <c r="O8" s="23" t="s">
        <v>387</v>
      </c>
      <c r="P8" s="23" t="s">
        <v>40</v>
      </c>
      <c r="Q8" s="23" t="s">
        <v>40</v>
      </c>
      <c r="R8" s="23" t="s">
        <v>388</v>
      </c>
      <c r="S8" s="23" t="s">
        <v>40</v>
      </c>
      <c r="T8" s="23" t="s">
        <v>40</v>
      </c>
    </row>
    <row r="9" spans="1:20" x14ac:dyDescent="0.25">
      <c r="A9" s="23" t="s">
        <v>14395</v>
      </c>
      <c r="B9" s="23" t="s">
        <v>14353</v>
      </c>
      <c r="C9" s="23" t="s">
        <v>14396</v>
      </c>
      <c r="D9" s="23" t="s">
        <v>14397</v>
      </c>
      <c r="E9" s="23" t="s">
        <v>14398</v>
      </c>
      <c r="F9" s="23" t="s">
        <v>40</v>
      </c>
      <c r="G9" s="23" t="s">
        <v>14399</v>
      </c>
      <c r="H9" s="23" t="s">
        <v>14400</v>
      </c>
      <c r="I9" s="23" t="s">
        <v>14401</v>
      </c>
      <c r="J9" s="23" t="s">
        <v>395</v>
      </c>
      <c r="K9" s="26" t="s">
        <v>396</v>
      </c>
      <c r="L9" s="23" t="s">
        <v>13</v>
      </c>
      <c r="M9" s="25" t="s">
        <v>18</v>
      </c>
      <c r="N9" s="23" t="s">
        <v>40</v>
      </c>
      <c r="O9" s="23" t="s">
        <v>387</v>
      </c>
      <c r="P9" s="23" t="s">
        <v>40</v>
      </c>
      <c r="Q9" s="23" t="s">
        <v>40</v>
      </c>
      <c r="R9" s="23" t="s">
        <v>388</v>
      </c>
      <c r="S9" s="23" t="s">
        <v>40</v>
      </c>
      <c r="T9" s="23" t="s">
        <v>40</v>
      </c>
    </row>
    <row r="10" spans="1:20" x14ac:dyDescent="0.25">
      <c r="A10" s="23" t="s">
        <v>14402</v>
      </c>
      <c r="B10" s="23" t="s">
        <v>14353</v>
      </c>
      <c r="C10" s="23" t="s">
        <v>14396</v>
      </c>
      <c r="D10" s="23" t="s">
        <v>14403</v>
      </c>
      <c r="E10" s="23" t="s">
        <v>14404</v>
      </c>
      <c r="F10" s="23" t="s">
        <v>40</v>
      </c>
      <c r="G10" s="23" t="s">
        <v>14405</v>
      </c>
      <c r="H10" s="23" t="s">
        <v>14406</v>
      </c>
      <c r="I10" s="23" t="s">
        <v>14407</v>
      </c>
      <c r="J10" s="23" t="s">
        <v>395</v>
      </c>
      <c r="K10" s="26" t="s">
        <v>396</v>
      </c>
      <c r="L10" s="23" t="s">
        <v>13</v>
      </c>
      <c r="M10" s="30" t="s">
        <v>19</v>
      </c>
      <c r="N10" s="23" t="s">
        <v>40</v>
      </c>
      <c r="O10" s="23" t="s">
        <v>387</v>
      </c>
      <c r="P10" s="23" t="s">
        <v>40</v>
      </c>
      <c r="Q10" s="23" t="s">
        <v>40</v>
      </c>
      <c r="R10" s="23" t="s">
        <v>388</v>
      </c>
      <c r="S10" s="23" t="s">
        <v>14408</v>
      </c>
      <c r="T10" s="23" t="s">
        <v>40</v>
      </c>
    </row>
    <row r="11" spans="1:20" x14ac:dyDescent="0.25">
      <c r="A11" s="23" t="s">
        <v>14409</v>
      </c>
      <c r="B11" s="23" t="s">
        <v>14353</v>
      </c>
      <c r="C11" s="23" t="s">
        <v>14396</v>
      </c>
      <c r="D11" s="23" t="s">
        <v>14410</v>
      </c>
      <c r="E11" s="23" t="s">
        <v>14411</v>
      </c>
      <c r="F11" s="23" t="s">
        <v>40</v>
      </c>
      <c r="G11" s="23" t="s">
        <v>14412</v>
      </c>
      <c r="H11" s="23" t="s">
        <v>14413</v>
      </c>
      <c r="I11" s="23" t="s">
        <v>14414</v>
      </c>
      <c r="J11" s="23" t="s">
        <v>395</v>
      </c>
      <c r="K11" s="24" t="s">
        <v>386</v>
      </c>
      <c r="L11" s="23" t="s">
        <v>405</v>
      </c>
      <c r="M11" s="25" t="s">
        <v>18</v>
      </c>
      <c r="N11" s="23" t="s">
        <v>40</v>
      </c>
      <c r="O11" s="23" t="s">
        <v>387</v>
      </c>
      <c r="P11" s="23" t="s">
        <v>40</v>
      </c>
      <c r="Q11" s="23" t="s">
        <v>40</v>
      </c>
      <c r="R11" s="23" t="s">
        <v>388</v>
      </c>
      <c r="S11" s="23" t="s">
        <v>40</v>
      </c>
      <c r="T11" s="23" t="s">
        <v>14415</v>
      </c>
    </row>
    <row r="12" spans="1:20" x14ac:dyDescent="0.25">
      <c r="A12" s="23" t="s">
        <v>14416</v>
      </c>
      <c r="B12" s="23" t="s">
        <v>14353</v>
      </c>
      <c r="C12" s="23" t="s">
        <v>610</v>
      </c>
      <c r="D12" s="23" t="s">
        <v>14417</v>
      </c>
      <c r="E12" s="23" t="s">
        <v>14418</v>
      </c>
      <c r="F12" s="23" t="s">
        <v>40</v>
      </c>
      <c r="G12" s="23" t="s">
        <v>14419</v>
      </c>
      <c r="H12" s="23" t="s">
        <v>14420</v>
      </c>
      <c r="I12" s="23" t="s">
        <v>14421</v>
      </c>
      <c r="J12" s="23" t="s">
        <v>395</v>
      </c>
      <c r="K12" s="26" t="s">
        <v>396</v>
      </c>
      <c r="L12" s="23" t="s">
        <v>13</v>
      </c>
      <c r="M12" s="25" t="s">
        <v>18</v>
      </c>
      <c r="N12" s="23" t="s">
        <v>40</v>
      </c>
      <c r="O12" s="23" t="s">
        <v>387</v>
      </c>
      <c r="P12" s="23" t="s">
        <v>40</v>
      </c>
      <c r="Q12" s="23" t="s">
        <v>40</v>
      </c>
      <c r="R12" s="23" t="s">
        <v>388</v>
      </c>
      <c r="S12" s="23" t="s">
        <v>40</v>
      </c>
      <c r="T12" s="23" t="s">
        <v>40</v>
      </c>
    </row>
    <row r="13" spans="1:20" x14ac:dyDescent="0.25">
      <c r="A13" s="23" t="s">
        <v>14422</v>
      </c>
      <c r="B13" s="23" t="s">
        <v>14353</v>
      </c>
      <c r="C13" s="23" t="s">
        <v>610</v>
      </c>
      <c r="D13" s="23" t="s">
        <v>14423</v>
      </c>
      <c r="E13" s="23" t="s">
        <v>14418</v>
      </c>
      <c r="F13" s="23" t="s">
        <v>40</v>
      </c>
      <c r="G13" s="23" t="s">
        <v>14424</v>
      </c>
      <c r="H13" s="23" t="s">
        <v>14425</v>
      </c>
      <c r="I13" s="23" t="s">
        <v>14426</v>
      </c>
      <c r="J13" s="23" t="s">
        <v>395</v>
      </c>
      <c r="K13" s="26" t="s">
        <v>396</v>
      </c>
      <c r="L13" s="23" t="s">
        <v>13</v>
      </c>
      <c r="M13" s="25" t="s">
        <v>18</v>
      </c>
      <c r="N13" s="23" t="s">
        <v>40</v>
      </c>
      <c r="O13" s="23" t="s">
        <v>387</v>
      </c>
      <c r="P13" s="23" t="s">
        <v>40</v>
      </c>
      <c r="Q13" s="23" t="s">
        <v>40</v>
      </c>
      <c r="R13" s="23" t="s">
        <v>388</v>
      </c>
      <c r="S13" s="23" t="s">
        <v>40</v>
      </c>
      <c r="T13" s="23" t="s">
        <v>40</v>
      </c>
    </row>
    <row r="14" spans="1:20" x14ac:dyDescent="0.25">
      <c r="A14" s="23" t="s">
        <v>14427</v>
      </c>
      <c r="B14" s="23" t="s">
        <v>14353</v>
      </c>
      <c r="C14" s="23" t="s">
        <v>610</v>
      </c>
      <c r="D14" s="23" t="s">
        <v>14428</v>
      </c>
      <c r="E14" s="23" t="s">
        <v>14418</v>
      </c>
      <c r="F14" s="23" t="s">
        <v>40</v>
      </c>
      <c r="G14" s="23" t="s">
        <v>14429</v>
      </c>
      <c r="H14" s="23" t="s">
        <v>14430</v>
      </c>
      <c r="I14" s="23" t="s">
        <v>14431</v>
      </c>
      <c r="J14" s="23" t="s">
        <v>395</v>
      </c>
      <c r="K14" s="26" t="s">
        <v>396</v>
      </c>
      <c r="L14" s="23" t="s">
        <v>13</v>
      </c>
      <c r="M14" s="25" t="s">
        <v>18</v>
      </c>
      <c r="N14" s="23" t="s">
        <v>40</v>
      </c>
      <c r="O14" s="23" t="s">
        <v>387</v>
      </c>
      <c r="P14" s="23" t="s">
        <v>40</v>
      </c>
      <c r="Q14" s="23" t="s">
        <v>40</v>
      </c>
      <c r="R14" s="23" t="s">
        <v>388</v>
      </c>
      <c r="S14" s="23" t="s">
        <v>40</v>
      </c>
      <c r="T14" s="23" t="s">
        <v>14432</v>
      </c>
    </row>
    <row r="15" spans="1:20" x14ac:dyDescent="0.25">
      <c r="A15" s="23" t="s">
        <v>14433</v>
      </c>
      <c r="B15" s="23" t="s">
        <v>14353</v>
      </c>
      <c r="C15" s="23" t="s">
        <v>610</v>
      </c>
      <c r="D15" s="23" t="s">
        <v>14434</v>
      </c>
      <c r="E15" s="23" t="s">
        <v>14435</v>
      </c>
      <c r="F15" s="23" t="s">
        <v>40</v>
      </c>
      <c r="G15" s="23" t="s">
        <v>14436</v>
      </c>
      <c r="H15" s="23" t="s">
        <v>14437</v>
      </c>
      <c r="I15" s="23" t="s">
        <v>14438</v>
      </c>
      <c r="J15" s="23" t="s">
        <v>395</v>
      </c>
      <c r="K15" s="27" t="s">
        <v>404</v>
      </c>
      <c r="L15" s="23" t="s">
        <v>490</v>
      </c>
      <c r="M15" s="25" t="s">
        <v>18</v>
      </c>
      <c r="N15" s="23" t="s">
        <v>40</v>
      </c>
      <c r="O15" s="23" t="s">
        <v>387</v>
      </c>
      <c r="P15" s="23" t="s">
        <v>40</v>
      </c>
      <c r="Q15" s="23" t="s">
        <v>40</v>
      </c>
      <c r="R15" s="23" t="s">
        <v>388</v>
      </c>
      <c r="S15" s="23" t="s">
        <v>40</v>
      </c>
      <c r="T15" s="23" t="s">
        <v>40</v>
      </c>
    </row>
    <row r="16" spans="1:20" x14ac:dyDescent="0.25">
      <c r="A16" s="23" t="s">
        <v>14439</v>
      </c>
      <c r="B16" s="23" t="s">
        <v>14353</v>
      </c>
      <c r="C16" s="23" t="s">
        <v>610</v>
      </c>
      <c r="D16" s="23" t="s">
        <v>14440</v>
      </c>
      <c r="E16" s="23" t="s">
        <v>5249</v>
      </c>
      <c r="F16" s="23" t="s">
        <v>40</v>
      </c>
      <c r="G16" s="23" t="s">
        <v>14441</v>
      </c>
      <c r="H16" s="23" t="s">
        <v>14442</v>
      </c>
      <c r="I16" s="23" t="s">
        <v>14443</v>
      </c>
      <c r="J16" s="23" t="s">
        <v>395</v>
      </c>
      <c r="K16" s="26" t="s">
        <v>396</v>
      </c>
      <c r="L16" s="23" t="s">
        <v>13</v>
      </c>
      <c r="M16" s="31" t="s">
        <v>17</v>
      </c>
      <c r="N16" s="23" t="s">
        <v>14444</v>
      </c>
      <c r="O16" s="29" t="s">
        <v>87</v>
      </c>
      <c r="P16" s="23" t="s">
        <v>40</v>
      </c>
      <c r="Q16" s="23" t="s">
        <v>40</v>
      </c>
      <c r="R16" s="23" t="s">
        <v>388</v>
      </c>
      <c r="S16" s="23" t="s">
        <v>40</v>
      </c>
      <c r="T16" s="23" t="s">
        <v>40</v>
      </c>
    </row>
    <row r="17" spans="1:20" x14ac:dyDescent="0.25">
      <c r="A17" s="23" t="s">
        <v>14445</v>
      </c>
      <c r="B17" s="23" t="s">
        <v>14353</v>
      </c>
      <c r="C17" s="23" t="s">
        <v>14446</v>
      </c>
      <c r="D17" s="23" t="s">
        <v>14447</v>
      </c>
      <c r="E17" s="23" t="s">
        <v>40</v>
      </c>
      <c r="F17" s="23" t="s">
        <v>40</v>
      </c>
      <c r="G17" s="23" t="s">
        <v>14448</v>
      </c>
      <c r="H17" s="23" t="s">
        <v>14449</v>
      </c>
      <c r="I17" s="23" t="s">
        <v>14450</v>
      </c>
      <c r="J17" s="23" t="s">
        <v>395</v>
      </c>
      <c r="K17" s="26" t="s">
        <v>396</v>
      </c>
      <c r="L17" s="23" t="s">
        <v>13</v>
      </c>
      <c r="M17" s="25" t="s">
        <v>18</v>
      </c>
      <c r="N17" s="23" t="s">
        <v>40</v>
      </c>
      <c r="O17" s="23" t="s">
        <v>387</v>
      </c>
      <c r="P17" s="23" t="s">
        <v>40</v>
      </c>
      <c r="Q17" s="23" t="s">
        <v>40</v>
      </c>
      <c r="R17" s="23" t="s">
        <v>388</v>
      </c>
      <c r="S17" s="23" t="s">
        <v>40</v>
      </c>
      <c r="T17" s="23" t="s">
        <v>40</v>
      </c>
    </row>
    <row r="18" spans="1:20" x14ac:dyDescent="0.25">
      <c r="A18" s="23" t="s">
        <v>14451</v>
      </c>
      <c r="B18" s="23" t="s">
        <v>14353</v>
      </c>
      <c r="C18" s="23" t="s">
        <v>14446</v>
      </c>
      <c r="D18" s="23" t="s">
        <v>14452</v>
      </c>
      <c r="E18" s="23" t="s">
        <v>40</v>
      </c>
      <c r="F18" s="23" t="s">
        <v>40</v>
      </c>
      <c r="G18" s="23" t="s">
        <v>14453</v>
      </c>
      <c r="H18" s="23" t="s">
        <v>14454</v>
      </c>
      <c r="I18" s="23" t="s">
        <v>14455</v>
      </c>
      <c r="J18" s="23" t="s">
        <v>395</v>
      </c>
      <c r="K18" s="24" t="s">
        <v>386</v>
      </c>
      <c r="L18" s="23" t="s">
        <v>405</v>
      </c>
      <c r="M18" s="25" t="s">
        <v>18</v>
      </c>
      <c r="N18" s="23" t="s">
        <v>40</v>
      </c>
      <c r="O18" s="23" t="s">
        <v>387</v>
      </c>
      <c r="P18" s="23" t="s">
        <v>40</v>
      </c>
      <c r="Q18" s="23" t="s">
        <v>40</v>
      </c>
      <c r="R18" s="23" t="s">
        <v>388</v>
      </c>
      <c r="S18" s="23" t="s">
        <v>40</v>
      </c>
      <c r="T18" s="23" t="s">
        <v>40</v>
      </c>
    </row>
    <row r="19" spans="1:20" x14ac:dyDescent="0.25">
      <c r="A19" s="23" t="s">
        <v>14456</v>
      </c>
      <c r="B19" s="23" t="s">
        <v>14353</v>
      </c>
      <c r="C19" s="23" t="s">
        <v>14446</v>
      </c>
      <c r="D19" s="23" t="s">
        <v>14457</v>
      </c>
      <c r="E19" s="23" t="s">
        <v>14418</v>
      </c>
      <c r="F19" s="23" t="s">
        <v>40</v>
      </c>
      <c r="G19" s="23" t="s">
        <v>14458</v>
      </c>
      <c r="H19" s="23" t="s">
        <v>14459</v>
      </c>
      <c r="I19" s="23" t="s">
        <v>14460</v>
      </c>
      <c r="J19" s="23" t="s">
        <v>395</v>
      </c>
      <c r="K19" s="24" t="s">
        <v>386</v>
      </c>
      <c r="L19" s="23" t="s">
        <v>405</v>
      </c>
      <c r="M19" s="25" t="s">
        <v>18</v>
      </c>
      <c r="N19" s="23" t="s">
        <v>40</v>
      </c>
      <c r="O19" s="23" t="s">
        <v>387</v>
      </c>
      <c r="P19" s="23" t="s">
        <v>40</v>
      </c>
      <c r="Q19" s="23" t="s">
        <v>40</v>
      </c>
      <c r="R19" s="23" t="s">
        <v>388</v>
      </c>
      <c r="S19" s="23" t="s">
        <v>40</v>
      </c>
      <c r="T19" s="23" t="s">
        <v>40</v>
      </c>
    </row>
    <row r="20" spans="1:20" x14ac:dyDescent="0.25">
      <c r="A20" s="23" t="s">
        <v>14461</v>
      </c>
      <c r="B20" s="23" t="s">
        <v>14462</v>
      </c>
      <c r="C20" s="23" t="s">
        <v>14463</v>
      </c>
      <c r="D20" s="23" t="s">
        <v>14464</v>
      </c>
      <c r="E20" s="23" t="s">
        <v>647</v>
      </c>
      <c r="F20" s="23" t="s">
        <v>40</v>
      </c>
      <c r="G20" s="23" t="s">
        <v>14465</v>
      </c>
      <c r="H20" s="23" t="s">
        <v>14466</v>
      </c>
      <c r="I20" s="23" t="s">
        <v>14467</v>
      </c>
      <c r="J20" s="23" t="s">
        <v>525</v>
      </c>
      <c r="K20" s="24" t="s">
        <v>386</v>
      </c>
      <c r="L20" s="23" t="s">
        <v>13</v>
      </c>
      <c r="M20" s="25" t="s">
        <v>18</v>
      </c>
      <c r="N20" s="23" t="s">
        <v>40</v>
      </c>
      <c r="O20" s="23" t="s">
        <v>387</v>
      </c>
      <c r="P20" s="23" t="s">
        <v>40</v>
      </c>
      <c r="Q20" s="23" t="s">
        <v>40</v>
      </c>
      <c r="R20" s="23" t="s">
        <v>40</v>
      </c>
      <c r="S20" s="23" t="s">
        <v>40</v>
      </c>
      <c r="T20" s="23" t="s">
        <v>40</v>
      </c>
    </row>
    <row r="21" spans="1:20" x14ac:dyDescent="0.25">
      <c r="A21" s="23" t="s">
        <v>14468</v>
      </c>
      <c r="B21" s="23" t="s">
        <v>14462</v>
      </c>
      <c r="C21" s="23" t="s">
        <v>14463</v>
      </c>
      <c r="D21" s="23" t="s">
        <v>14469</v>
      </c>
      <c r="E21" s="23" t="s">
        <v>835</v>
      </c>
      <c r="F21" s="23" t="s">
        <v>40</v>
      </c>
      <c r="G21" s="23" t="s">
        <v>14470</v>
      </c>
      <c r="H21" s="23" t="s">
        <v>14471</v>
      </c>
      <c r="I21" s="23" t="s">
        <v>14472</v>
      </c>
      <c r="J21" s="23" t="s">
        <v>525</v>
      </c>
      <c r="K21" s="24" t="s">
        <v>386</v>
      </c>
      <c r="L21" s="23" t="s">
        <v>13</v>
      </c>
      <c r="M21" s="25" t="s">
        <v>18</v>
      </c>
      <c r="N21" s="23" t="s">
        <v>40</v>
      </c>
      <c r="O21" s="23" t="s">
        <v>387</v>
      </c>
      <c r="P21" s="23" t="s">
        <v>40</v>
      </c>
      <c r="Q21" s="23" t="s">
        <v>40</v>
      </c>
      <c r="R21" s="23" t="s">
        <v>40</v>
      </c>
      <c r="S21" s="23" t="s">
        <v>14473</v>
      </c>
      <c r="T21" s="23" t="s">
        <v>40</v>
      </c>
    </row>
    <row r="22" spans="1:20" x14ac:dyDescent="0.25">
      <c r="A22" s="23" t="s">
        <v>14474</v>
      </c>
      <c r="B22" s="23" t="s">
        <v>14462</v>
      </c>
      <c r="C22" s="23" t="s">
        <v>14463</v>
      </c>
      <c r="D22" s="23" t="s">
        <v>14475</v>
      </c>
      <c r="E22" s="23" t="s">
        <v>647</v>
      </c>
      <c r="F22" s="23" t="s">
        <v>40</v>
      </c>
      <c r="G22" s="23" t="s">
        <v>14476</v>
      </c>
      <c r="H22" s="23" t="s">
        <v>14477</v>
      </c>
      <c r="I22" s="23" t="s">
        <v>14478</v>
      </c>
      <c r="J22" s="23" t="s">
        <v>395</v>
      </c>
      <c r="K22" s="26" t="s">
        <v>396</v>
      </c>
      <c r="L22" s="23" t="s">
        <v>13</v>
      </c>
      <c r="M22" s="25" t="s">
        <v>18</v>
      </c>
      <c r="N22" s="23" t="s">
        <v>40</v>
      </c>
      <c r="O22" s="23" t="s">
        <v>387</v>
      </c>
      <c r="P22" s="23" t="s">
        <v>40</v>
      </c>
      <c r="Q22" s="23" t="s">
        <v>40</v>
      </c>
      <c r="R22" s="23" t="s">
        <v>40</v>
      </c>
      <c r="S22" s="23" t="s">
        <v>40</v>
      </c>
      <c r="T22" s="23" t="s">
        <v>14479</v>
      </c>
    </row>
    <row r="23" spans="1:20" x14ac:dyDescent="0.25">
      <c r="A23" s="23" t="s">
        <v>14480</v>
      </c>
      <c r="B23" s="23" t="s">
        <v>14462</v>
      </c>
      <c r="C23" s="23" t="s">
        <v>14463</v>
      </c>
      <c r="D23" s="23" t="s">
        <v>14481</v>
      </c>
      <c r="E23" s="23" t="s">
        <v>589</v>
      </c>
      <c r="F23" s="23" t="s">
        <v>40</v>
      </c>
      <c r="G23" s="23" t="s">
        <v>14482</v>
      </c>
      <c r="H23" s="23" t="s">
        <v>14483</v>
      </c>
      <c r="I23" s="23" t="s">
        <v>14484</v>
      </c>
      <c r="J23" s="23" t="s">
        <v>525</v>
      </c>
      <c r="K23" s="24" t="s">
        <v>386</v>
      </c>
      <c r="L23" s="23" t="s">
        <v>405</v>
      </c>
      <c r="M23" s="25" t="s">
        <v>18</v>
      </c>
      <c r="N23" s="23" t="s">
        <v>40</v>
      </c>
      <c r="O23" s="23" t="s">
        <v>387</v>
      </c>
      <c r="P23" s="23" t="s">
        <v>40</v>
      </c>
      <c r="Q23" s="23" t="s">
        <v>40</v>
      </c>
      <c r="R23" s="23" t="s">
        <v>40</v>
      </c>
      <c r="S23" s="23" t="s">
        <v>40</v>
      </c>
      <c r="T23" s="23" t="s">
        <v>40</v>
      </c>
    </row>
    <row r="24" spans="1:20" x14ac:dyDescent="0.25">
      <c r="A24" s="23" t="s">
        <v>14485</v>
      </c>
      <c r="B24" s="23" t="s">
        <v>14462</v>
      </c>
      <c r="C24" s="23" t="s">
        <v>14463</v>
      </c>
      <c r="D24" s="23" t="s">
        <v>14486</v>
      </c>
      <c r="E24" s="23" t="s">
        <v>14487</v>
      </c>
      <c r="F24" s="23" t="s">
        <v>40</v>
      </c>
      <c r="G24" s="23" t="s">
        <v>14488</v>
      </c>
      <c r="H24" s="23" t="s">
        <v>14489</v>
      </c>
      <c r="I24" s="23" t="s">
        <v>14490</v>
      </c>
      <c r="J24" s="23" t="s">
        <v>525</v>
      </c>
      <c r="K24" s="24" t="s">
        <v>386</v>
      </c>
      <c r="L24" s="23" t="s">
        <v>13</v>
      </c>
      <c r="M24" s="25" t="s">
        <v>18</v>
      </c>
      <c r="N24" s="23" t="s">
        <v>40</v>
      </c>
      <c r="O24" s="23" t="s">
        <v>387</v>
      </c>
      <c r="P24" s="23" t="s">
        <v>40</v>
      </c>
      <c r="Q24" s="23" t="s">
        <v>40</v>
      </c>
      <c r="R24" s="23" t="s">
        <v>40</v>
      </c>
      <c r="S24" s="23" t="s">
        <v>40</v>
      </c>
      <c r="T24" s="23" t="s">
        <v>14491</v>
      </c>
    </row>
    <row r="25" spans="1:20" x14ac:dyDescent="0.25">
      <c r="A25" s="23" t="s">
        <v>14492</v>
      </c>
      <c r="B25" s="23" t="s">
        <v>14462</v>
      </c>
      <c r="C25" s="23" t="s">
        <v>14493</v>
      </c>
      <c r="D25" s="23" t="s">
        <v>14494</v>
      </c>
      <c r="E25" s="23" t="s">
        <v>647</v>
      </c>
      <c r="F25" s="23" t="s">
        <v>40</v>
      </c>
      <c r="G25" s="23" t="s">
        <v>14495</v>
      </c>
      <c r="H25" s="23" t="s">
        <v>14496</v>
      </c>
      <c r="I25" s="23" t="s">
        <v>14497</v>
      </c>
      <c r="J25" s="23" t="s">
        <v>395</v>
      </c>
      <c r="K25" s="26" t="s">
        <v>396</v>
      </c>
      <c r="L25" s="23" t="s">
        <v>13</v>
      </c>
      <c r="M25" s="25" t="s">
        <v>18</v>
      </c>
      <c r="N25" s="23" t="s">
        <v>40</v>
      </c>
      <c r="O25" s="23" t="s">
        <v>387</v>
      </c>
      <c r="P25" s="23" t="s">
        <v>40</v>
      </c>
      <c r="Q25" s="23" t="s">
        <v>40</v>
      </c>
      <c r="R25" s="23" t="s">
        <v>40</v>
      </c>
      <c r="S25" s="23" t="s">
        <v>40</v>
      </c>
      <c r="T25" s="23" t="s">
        <v>40</v>
      </c>
    </row>
    <row r="26" spans="1:20" x14ac:dyDescent="0.25">
      <c r="A26" s="23" t="s">
        <v>14498</v>
      </c>
      <c r="B26" s="23" t="s">
        <v>14462</v>
      </c>
      <c r="C26" s="23" t="s">
        <v>14493</v>
      </c>
      <c r="D26" s="23" t="s">
        <v>14499</v>
      </c>
      <c r="E26" s="23" t="s">
        <v>589</v>
      </c>
      <c r="F26" s="23" t="s">
        <v>40</v>
      </c>
      <c r="G26" s="23" t="s">
        <v>14500</v>
      </c>
      <c r="H26" s="23" t="s">
        <v>14501</v>
      </c>
      <c r="I26" s="23" t="s">
        <v>14502</v>
      </c>
      <c r="J26" s="23" t="s">
        <v>395</v>
      </c>
      <c r="K26" s="24" t="s">
        <v>386</v>
      </c>
      <c r="L26" s="23" t="s">
        <v>405</v>
      </c>
      <c r="M26" s="25" t="s">
        <v>18</v>
      </c>
      <c r="N26" s="23" t="s">
        <v>40</v>
      </c>
      <c r="O26" s="23" t="s">
        <v>387</v>
      </c>
      <c r="P26" s="23" t="s">
        <v>40</v>
      </c>
      <c r="Q26" s="23" t="s">
        <v>40</v>
      </c>
      <c r="R26" s="23" t="s">
        <v>40</v>
      </c>
      <c r="S26" s="23" t="s">
        <v>40</v>
      </c>
      <c r="T26" s="23" t="s">
        <v>14503</v>
      </c>
    </row>
    <row r="27" spans="1:20" x14ac:dyDescent="0.25">
      <c r="A27" s="23" t="s">
        <v>14504</v>
      </c>
      <c r="B27" s="23" t="s">
        <v>14462</v>
      </c>
      <c r="C27" s="23" t="s">
        <v>14505</v>
      </c>
      <c r="D27" s="23" t="s">
        <v>14506</v>
      </c>
      <c r="E27" s="23" t="s">
        <v>14507</v>
      </c>
      <c r="F27" s="23" t="s">
        <v>40</v>
      </c>
      <c r="G27" s="23" t="s">
        <v>14508</v>
      </c>
      <c r="H27" s="23" t="s">
        <v>14509</v>
      </c>
      <c r="I27" s="23" t="s">
        <v>14510</v>
      </c>
      <c r="J27" s="23" t="s">
        <v>395</v>
      </c>
      <c r="K27" s="26" t="s">
        <v>396</v>
      </c>
      <c r="L27" s="23" t="s">
        <v>13</v>
      </c>
      <c r="M27" s="30" t="s">
        <v>19</v>
      </c>
      <c r="N27" s="23" t="s">
        <v>40</v>
      </c>
      <c r="O27" s="23" t="s">
        <v>387</v>
      </c>
      <c r="P27" s="23" t="s">
        <v>40</v>
      </c>
      <c r="Q27" s="23" t="s">
        <v>40</v>
      </c>
      <c r="R27" s="23" t="s">
        <v>40</v>
      </c>
      <c r="S27" s="23" t="s">
        <v>14511</v>
      </c>
      <c r="T27" s="23" t="s">
        <v>40</v>
      </c>
    </row>
    <row r="28" spans="1:20" x14ac:dyDescent="0.25">
      <c r="A28" s="23" t="s">
        <v>14512</v>
      </c>
      <c r="B28" s="23" t="s">
        <v>14462</v>
      </c>
      <c r="C28" s="23" t="s">
        <v>14513</v>
      </c>
      <c r="D28" s="23" t="s">
        <v>14514</v>
      </c>
      <c r="E28" s="23" t="s">
        <v>14515</v>
      </c>
      <c r="F28" s="23" t="s">
        <v>40</v>
      </c>
      <c r="G28" s="23" t="s">
        <v>14516</v>
      </c>
      <c r="H28" s="23" t="s">
        <v>14517</v>
      </c>
      <c r="I28" s="23" t="s">
        <v>14518</v>
      </c>
      <c r="J28" s="23" t="s">
        <v>395</v>
      </c>
      <c r="K28" s="26" t="s">
        <v>396</v>
      </c>
      <c r="L28" s="23" t="s">
        <v>13</v>
      </c>
      <c r="M28" s="25" t="s">
        <v>18</v>
      </c>
      <c r="N28" s="23" t="s">
        <v>40</v>
      </c>
      <c r="O28" s="23" t="s">
        <v>387</v>
      </c>
      <c r="P28" s="23" t="s">
        <v>40</v>
      </c>
      <c r="Q28" s="23" t="s">
        <v>40</v>
      </c>
      <c r="R28" s="23" t="s">
        <v>40</v>
      </c>
      <c r="S28" s="23" t="s">
        <v>14519</v>
      </c>
      <c r="T28" s="23" t="s">
        <v>40</v>
      </c>
    </row>
    <row r="29" spans="1:20" x14ac:dyDescent="0.25">
      <c r="A29" s="23" t="s">
        <v>14520</v>
      </c>
      <c r="B29" s="23" t="s">
        <v>14521</v>
      </c>
      <c r="C29" s="23" t="s">
        <v>14522</v>
      </c>
      <c r="D29" s="23" t="s">
        <v>14523</v>
      </c>
      <c r="E29" s="23" t="s">
        <v>589</v>
      </c>
      <c r="F29" s="23" t="s">
        <v>14524</v>
      </c>
      <c r="G29" s="23" t="s">
        <v>14525</v>
      </c>
      <c r="H29" s="23" t="s">
        <v>14526</v>
      </c>
      <c r="I29" s="23" t="s">
        <v>14527</v>
      </c>
      <c r="J29" s="23" t="s">
        <v>395</v>
      </c>
      <c r="K29" s="26" t="s">
        <v>396</v>
      </c>
      <c r="L29" s="23" t="s">
        <v>13</v>
      </c>
      <c r="M29" s="25" t="s">
        <v>18</v>
      </c>
      <c r="N29" s="23" t="s">
        <v>40</v>
      </c>
      <c r="O29" s="23" t="s">
        <v>387</v>
      </c>
      <c r="P29" s="23" t="s">
        <v>40</v>
      </c>
      <c r="Q29" s="23" t="s">
        <v>40</v>
      </c>
      <c r="R29" s="23" t="s">
        <v>40</v>
      </c>
      <c r="S29" s="23" t="s">
        <v>1072</v>
      </c>
      <c r="T29" s="23" t="s">
        <v>40</v>
      </c>
    </row>
    <row r="30" spans="1:20" x14ac:dyDescent="0.25">
      <c r="A30" s="23" t="s">
        <v>14528</v>
      </c>
      <c r="B30" s="23" t="s">
        <v>14521</v>
      </c>
      <c r="C30" s="23" t="s">
        <v>14522</v>
      </c>
      <c r="D30" s="23" t="s">
        <v>14529</v>
      </c>
      <c r="E30" s="23" t="s">
        <v>589</v>
      </c>
      <c r="F30" s="23" t="s">
        <v>14524</v>
      </c>
      <c r="G30" s="23" t="s">
        <v>14530</v>
      </c>
      <c r="H30" s="23" t="s">
        <v>14531</v>
      </c>
      <c r="I30" s="23" t="s">
        <v>14527</v>
      </c>
      <c r="J30" s="23" t="s">
        <v>395</v>
      </c>
      <c r="K30" s="26" t="s">
        <v>396</v>
      </c>
      <c r="L30" s="23" t="s">
        <v>13</v>
      </c>
      <c r="M30" s="25" t="s">
        <v>18</v>
      </c>
      <c r="N30" s="23" t="s">
        <v>40</v>
      </c>
      <c r="O30" s="23" t="s">
        <v>387</v>
      </c>
      <c r="P30" s="23" t="s">
        <v>40</v>
      </c>
      <c r="Q30" s="23" t="s">
        <v>40</v>
      </c>
      <c r="R30" s="23" t="s">
        <v>40</v>
      </c>
      <c r="S30" s="23" t="s">
        <v>356</v>
      </c>
      <c r="T30" s="23" t="s">
        <v>40</v>
      </c>
    </row>
    <row r="31" spans="1:20" x14ac:dyDescent="0.25">
      <c r="A31" s="23" t="s">
        <v>14532</v>
      </c>
      <c r="B31" s="23" t="s">
        <v>14521</v>
      </c>
      <c r="C31" s="23" t="s">
        <v>14522</v>
      </c>
      <c r="D31" s="23" t="s">
        <v>14533</v>
      </c>
      <c r="E31" s="23" t="s">
        <v>589</v>
      </c>
      <c r="F31" s="23" t="s">
        <v>14524</v>
      </c>
      <c r="G31" s="23" t="s">
        <v>14534</v>
      </c>
      <c r="H31" s="23" t="s">
        <v>14535</v>
      </c>
      <c r="I31" s="23" t="s">
        <v>14527</v>
      </c>
      <c r="J31" s="23" t="s">
        <v>395</v>
      </c>
      <c r="K31" s="26" t="s">
        <v>396</v>
      </c>
      <c r="L31" s="23" t="s">
        <v>13</v>
      </c>
      <c r="M31" s="25" t="s">
        <v>18</v>
      </c>
      <c r="N31" s="23" t="s">
        <v>40</v>
      </c>
      <c r="O31" s="23" t="s">
        <v>387</v>
      </c>
      <c r="P31" s="23" t="s">
        <v>40</v>
      </c>
      <c r="Q31" s="23" t="s">
        <v>40</v>
      </c>
      <c r="R31" s="23" t="s">
        <v>40</v>
      </c>
      <c r="S31" s="23" t="s">
        <v>327</v>
      </c>
      <c r="T31" s="23" t="s">
        <v>40</v>
      </c>
    </row>
    <row r="32" spans="1:20" x14ac:dyDescent="0.25">
      <c r="A32" s="23" t="s">
        <v>14536</v>
      </c>
      <c r="B32" s="23" t="s">
        <v>14521</v>
      </c>
      <c r="C32" s="23" t="s">
        <v>14522</v>
      </c>
      <c r="D32" s="23" t="s">
        <v>14537</v>
      </c>
      <c r="E32" s="23" t="s">
        <v>589</v>
      </c>
      <c r="F32" s="23" t="s">
        <v>14524</v>
      </c>
      <c r="G32" s="23" t="s">
        <v>14538</v>
      </c>
      <c r="H32" s="23" t="s">
        <v>14539</v>
      </c>
      <c r="I32" s="23" t="s">
        <v>14527</v>
      </c>
      <c r="J32" s="23" t="s">
        <v>395</v>
      </c>
      <c r="K32" s="26" t="s">
        <v>396</v>
      </c>
      <c r="L32" s="23" t="s">
        <v>13</v>
      </c>
      <c r="M32" s="25" t="s">
        <v>18</v>
      </c>
      <c r="N32" s="23" t="s">
        <v>40</v>
      </c>
      <c r="O32" s="23" t="s">
        <v>387</v>
      </c>
      <c r="P32" s="23" t="s">
        <v>40</v>
      </c>
      <c r="Q32" s="23" t="s">
        <v>40</v>
      </c>
      <c r="R32" s="23" t="s">
        <v>40</v>
      </c>
      <c r="S32" s="23" t="s">
        <v>3437</v>
      </c>
      <c r="T32" s="23" t="s">
        <v>40</v>
      </c>
    </row>
    <row r="33" spans="1:20" x14ac:dyDescent="0.25">
      <c r="A33" s="23" t="s">
        <v>14540</v>
      </c>
      <c r="B33" s="23" t="s">
        <v>14521</v>
      </c>
      <c r="C33" s="23" t="s">
        <v>14522</v>
      </c>
      <c r="D33" s="23" t="s">
        <v>14541</v>
      </c>
      <c r="E33" s="23" t="s">
        <v>589</v>
      </c>
      <c r="F33" s="23" t="s">
        <v>14524</v>
      </c>
      <c r="G33" s="23" t="s">
        <v>14542</v>
      </c>
      <c r="H33" s="23" t="s">
        <v>14543</v>
      </c>
      <c r="I33" s="23" t="s">
        <v>14527</v>
      </c>
      <c r="J33" s="23" t="s">
        <v>395</v>
      </c>
      <c r="K33" s="26" t="s">
        <v>396</v>
      </c>
      <c r="L33" s="23" t="s">
        <v>13</v>
      </c>
      <c r="M33" s="25" t="s">
        <v>18</v>
      </c>
      <c r="N33" s="23" t="s">
        <v>40</v>
      </c>
      <c r="O33" s="23" t="s">
        <v>387</v>
      </c>
      <c r="P33" s="23" t="s">
        <v>40</v>
      </c>
      <c r="Q33" s="23" t="s">
        <v>40</v>
      </c>
      <c r="R33" s="23" t="s">
        <v>40</v>
      </c>
      <c r="S33" s="23" t="s">
        <v>99</v>
      </c>
      <c r="T33" s="23" t="s">
        <v>40</v>
      </c>
    </row>
    <row r="34" spans="1:20" x14ac:dyDescent="0.25">
      <c r="A34" s="23" t="s">
        <v>14544</v>
      </c>
      <c r="B34" s="23" t="s">
        <v>14521</v>
      </c>
      <c r="C34" s="23" t="s">
        <v>14545</v>
      </c>
      <c r="D34" s="23" t="s">
        <v>14546</v>
      </c>
      <c r="E34" s="23" t="s">
        <v>589</v>
      </c>
      <c r="F34" s="23" t="s">
        <v>40</v>
      </c>
      <c r="G34" s="23" t="s">
        <v>14547</v>
      </c>
      <c r="H34" s="23" t="s">
        <v>14548</v>
      </c>
      <c r="I34" s="23" t="s">
        <v>14549</v>
      </c>
      <c r="J34" s="23" t="s">
        <v>395</v>
      </c>
      <c r="K34" s="26" t="s">
        <v>396</v>
      </c>
      <c r="L34" s="23" t="s">
        <v>13</v>
      </c>
      <c r="M34" s="25" t="s">
        <v>18</v>
      </c>
      <c r="N34" s="23" t="s">
        <v>40</v>
      </c>
      <c r="O34" s="23" t="s">
        <v>387</v>
      </c>
      <c r="P34" s="23" t="s">
        <v>40</v>
      </c>
      <c r="Q34" s="23" t="s">
        <v>40</v>
      </c>
      <c r="R34" s="23" t="s">
        <v>40</v>
      </c>
      <c r="S34" s="23" t="s">
        <v>40</v>
      </c>
      <c r="T34" s="23" t="s">
        <v>40</v>
      </c>
    </row>
    <row r="35" spans="1:20" x14ac:dyDescent="0.25">
      <c r="A35" s="23" t="s">
        <v>14550</v>
      </c>
      <c r="B35" s="23" t="s">
        <v>14521</v>
      </c>
      <c r="C35" s="23" t="s">
        <v>14545</v>
      </c>
      <c r="D35" s="23" t="s">
        <v>14551</v>
      </c>
      <c r="E35" s="23" t="s">
        <v>589</v>
      </c>
      <c r="F35" s="23" t="s">
        <v>40</v>
      </c>
      <c r="G35" s="23" t="s">
        <v>14552</v>
      </c>
      <c r="H35" s="23" t="s">
        <v>14553</v>
      </c>
      <c r="I35" s="23" t="s">
        <v>6120</v>
      </c>
      <c r="J35" s="23" t="s">
        <v>395</v>
      </c>
      <c r="K35" s="26" t="s">
        <v>396</v>
      </c>
      <c r="L35" s="23" t="s">
        <v>13</v>
      </c>
      <c r="M35" s="25" t="s">
        <v>18</v>
      </c>
      <c r="N35" s="23" t="s">
        <v>40</v>
      </c>
      <c r="O35" s="23" t="s">
        <v>387</v>
      </c>
      <c r="P35" s="23" t="s">
        <v>40</v>
      </c>
      <c r="Q35" s="23" t="s">
        <v>40</v>
      </c>
      <c r="R35" s="23" t="s">
        <v>40</v>
      </c>
      <c r="S35" s="23" t="s">
        <v>40</v>
      </c>
      <c r="T35" s="23" t="s">
        <v>14554</v>
      </c>
    </row>
    <row r="36" spans="1:20" x14ac:dyDescent="0.25">
      <c r="A36" s="23" t="s">
        <v>14555</v>
      </c>
      <c r="B36" s="23" t="s">
        <v>14521</v>
      </c>
      <c r="C36" s="23" t="s">
        <v>14556</v>
      </c>
      <c r="D36" s="23" t="s">
        <v>14557</v>
      </c>
      <c r="E36" s="23" t="s">
        <v>589</v>
      </c>
      <c r="F36" s="23" t="s">
        <v>40</v>
      </c>
      <c r="G36" s="23" t="s">
        <v>14558</v>
      </c>
      <c r="H36" s="23" t="s">
        <v>14559</v>
      </c>
      <c r="I36" s="23" t="s">
        <v>14560</v>
      </c>
      <c r="J36" s="23" t="s">
        <v>395</v>
      </c>
      <c r="K36" s="24" t="s">
        <v>386</v>
      </c>
      <c r="L36" s="23" t="s">
        <v>405</v>
      </c>
      <c r="M36" s="25" t="s">
        <v>18</v>
      </c>
      <c r="N36" s="23" t="s">
        <v>40</v>
      </c>
      <c r="O36" s="23" t="s">
        <v>387</v>
      </c>
      <c r="P36" s="23" t="s">
        <v>40</v>
      </c>
      <c r="Q36" s="23" t="s">
        <v>40</v>
      </c>
      <c r="R36" s="23" t="s">
        <v>40</v>
      </c>
      <c r="S36" s="23" t="s">
        <v>40</v>
      </c>
      <c r="T36" s="23" t="s">
        <v>40</v>
      </c>
    </row>
    <row r="37" spans="1:20" x14ac:dyDescent="0.25">
      <c r="A37" s="23" t="s">
        <v>14561</v>
      </c>
      <c r="B37" s="23" t="s">
        <v>14521</v>
      </c>
      <c r="C37" s="23" t="s">
        <v>14556</v>
      </c>
      <c r="D37" s="23" t="s">
        <v>14562</v>
      </c>
      <c r="E37" s="23" t="s">
        <v>589</v>
      </c>
      <c r="F37" s="23" t="s">
        <v>40</v>
      </c>
      <c r="G37" s="23" t="s">
        <v>14563</v>
      </c>
      <c r="H37" s="23" t="s">
        <v>14564</v>
      </c>
      <c r="I37" s="23" t="s">
        <v>14565</v>
      </c>
      <c r="J37" s="23" t="s">
        <v>466</v>
      </c>
      <c r="K37" s="27" t="s">
        <v>404</v>
      </c>
      <c r="L37" s="23" t="s">
        <v>490</v>
      </c>
      <c r="M37" s="25" t="s">
        <v>18</v>
      </c>
      <c r="N37" s="23" t="s">
        <v>40</v>
      </c>
      <c r="O37" s="23" t="s">
        <v>387</v>
      </c>
      <c r="P37" s="23" t="s">
        <v>40</v>
      </c>
      <c r="Q37" s="23" t="s">
        <v>40</v>
      </c>
      <c r="R37" s="23" t="s">
        <v>40</v>
      </c>
      <c r="S37" s="23" t="s">
        <v>40</v>
      </c>
      <c r="T37" s="23" t="s">
        <v>40</v>
      </c>
    </row>
    <row r="38" spans="1:20" x14ac:dyDescent="0.25">
      <c r="A38" s="23" t="s">
        <v>14566</v>
      </c>
      <c r="B38" s="23" t="s">
        <v>14521</v>
      </c>
      <c r="C38" s="23" t="s">
        <v>14556</v>
      </c>
      <c r="D38" s="23" t="s">
        <v>14567</v>
      </c>
      <c r="E38" s="23" t="s">
        <v>589</v>
      </c>
      <c r="F38" s="23" t="s">
        <v>14568</v>
      </c>
      <c r="G38" s="23" t="s">
        <v>14569</v>
      </c>
      <c r="H38" s="23" t="s">
        <v>14570</v>
      </c>
      <c r="I38" s="23" t="s">
        <v>14571</v>
      </c>
      <c r="J38" s="23" t="s">
        <v>466</v>
      </c>
      <c r="K38" s="27" t="s">
        <v>404</v>
      </c>
      <c r="L38" s="23" t="s">
        <v>490</v>
      </c>
      <c r="M38" s="25" t="s">
        <v>18</v>
      </c>
      <c r="N38" s="23" t="s">
        <v>40</v>
      </c>
      <c r="O38" s="23" t="s">
        <v>387</v>
      </c>
      <c r="P38" s="23" t="s">
        <v>40</v>
      </c>
      <c r="Q38" s="23" t="s">
        <v>40</v>
      </c>
      <c r="R38" s="23" t="s">
        <v>40</v>
      </c>
      <c r="S38" s="23" t="s">
        <v>40</v>
      </c>
      <c r="T38" s="23" t="s">
        <v>40</v>
      </c>
    </row>
    <row r="39" spans="1:20" x14ac:dyDescent="0.25">
      <c r="A39" s="23" t="s">
        <v>14572</v>
      </c>
      <c r="B39" s="23" t="s">
        <v>14521</v>
      </c>
      <c r="C39" s="23" t="s">
        <v>14573</v>
      </c>
      <c r="D39" s="23" t="s">
        <v>14574</v>
      </c>
      <c r="E39" s="23" t="s">
        <v>647</v>
      </c>
      <c r="F39" s="23" t="s">
        <v>40</v>
      </c>
      <c r="G39" s="23" t="s">
        <v>14575</v>
      </c>
      <c r="H39" s="23" t="s">
        <v>14576</v>
      </c>
      <c r="I39" s="23" t="s">
        <v>14577</v>
      </c>
      <c r="J39" s="23" t="s">
        <v>395</v>
      </c>
      <c r="K39" s="26" t="s">
        <v>396</v>
      </c>
      <c r="L39" s="23" t="s">
        <v>13</v>
      </c>
      <c r="M39" s="25" t="s">
        <v>18</v>
      </c>
      <c r="N39" s="23" t="s">
        <v>40</v>
      </c>
      <c r="O39" s="23" t="s">
        <v>387</v>
      </c>
      <c r="P39" s="23" t="s">
        <v>40</v>
      </c>
      <c r="Q39" s="23" t="s">
        <v>40</v>
      </c>
      <c r="R39" s="23" t="s">
        <v>40</v>
      </c>
      <c r="S39" s="23" t="s">
        <v>40</v>
      </c>
      <c r="T39" s="23" t="s">
        <v>40</v>
      </c>
    </row>
    <row r="40" spans="1:20" x14ac:dyDescent="0.25">
      <c r="A40" s="23" t="s">
        <v>14578</v>
      </c>
      <c r="B40" s="23" t="s">
        <v>14521</v>
      </c>
      <c r="C40" s="23" t="s">
        <v>14573</v>
      </c>
      <c r="D40" s="23" t="s">
        <v>14579</v>
      </c>
      <c r="E40" s="23" t="s">
        <v>647</v>
      </c>
      <c r="F40" s="23" t="s">
        <v>40</v>
      </c>
      <c r="G40" s="23" t="s">
        <v>14580</v>
      </c>
      <c r="H40" s="23" t="s">
        <v>14581</v>
      </c>
      <c r="I40" s="23" t="s">
        <v>14582</v>
      </c>
      <c r="J40" s="23" t="s">
        <v>395</v>
      </c>
      <c r="K40" s="24" t="s">
        <v>386</v>
      </c>
      <c r="L40" s="23" t="s">
        <v>405</v>
      </c>
      <c r="M40" s="25" t="s">
        <v>18</v>
      </c>
      <c r="N40" s="23" t="s">
        <v>40</v>
      </c>
      <c r="O40" s="23" t="s">
        <v>387</v>
      </c>
      <c r="P40" s="23" t="s">
        <v>40</v>
      </c>
      <c r="Q40" s="23" t="s">
        <v>40</v>
      </c>
      <c r="R40" s="23" t="s">
        <v>40</v>
      </c>
      <c r="S40" s="23" t="s">
        <v>40</v>
      </c>
      <c r="T40" s="23" t="s">
        <v>40</v>
      </c>
    </row>
    <row r="41" spans="1:20" x14ac:dyDescent="0.25">
      <c r="A41" s="23" t="s">
        <v>14583</v>
      </c>
      <c r="B41" s="23" t="s">
        <v>14521</v>
      </c>
      <c r="C41" s="23" t="s">
        <v>14573</v>
      </c>
      <c r="D41" s="23" t="s">
        <v>14584</v>
      </c>
      <c r="E41" s="23" t="s">
        <v>647</v>
      </c>
      <c r="F41" s="23" t="s">
        <v>40</v>
      </c>
      <c r="G41" s="23" t="s">
        <v>14585</v>
      </c>
      <c r="H41" s="23" t="s">
        <v>14586</v>
      </c>
      <c r="I41" s="23" t="s">
        <v>14587</v>
      </c>
      <c r="J41" s="23" t="s">
        <v>395</v>
      </c>
      <c r="K41" s="24" t="s">
        <v>386</v>
      </c>
      <c r="L41" s="23" t="s">
        <v>405</v>
      </c>
      <c r="M41" s="25" t="s">
        <v>18</v>
      </c>
      <c r="N41" s="23" t="s">
        <v>40</v>
      </c>
      <c r="O41" s="23" t="s">
        <v>387</v>
      </c>
      <c r="P41" s="23" t="s">
        <v>40</v>
      </c>
      <c r="Q41" s="23" t="s">
        <v>40</v>
      </c>
      <c r="R41" s="23" t="s">
        <v>40</v>
      </c>
      <c r="S41" s="23" t="s">
        <v>40</v>
      </c>
      <c r="T41" s="23" t="s">
        <v>40</v>
      </c>
    </row>
    <row r="42" spans="1:20" x14ac:dyDescent="0.25">
      <c r="A42" s="23" t="s">
        <v>14588</v>
      </c>
      <c r="B42" s="23" t="s">
        <v>14521</v>
      </c>
      <c r="C42" s="23" t="s">
        <v>14573</v>
      </c>
      <c r="D42" s="23" t="s">
        <v>14589</v>
      </c>
      <c r="E42" s="23" t="s">
        <v>5249</v>
      </c>
      <c r="F42" s="23" t="s">
        <v>40</v>
      </c>
      <c r="G42" s="23" t="s">
        <v>14590</v>
      </c>
      <c r="H42" s="23" t="s">
        <v>14591</v>
      </c>
      <c r="I42" s="23" t="s">
        <v>14592</v>
      </c>
      <c r="J42" s="23" t="s">
        <v>395</v>
      </c>
      <c r="K42" s="26" t="s">
        <v>396</v>
      </c>
      <c r="L42" s="23" t="s">
        <v>13</v>
      </c>
      <c r="M42" s="25" t="s">
        <v>18</v>
      </c>
      <c r="N42" s="23" t="s">
        <v>40</v>
      </c>
      <c r="O42" s="23" t="s">
        <v>387</v>
      </c>
      <c r="P42" s="23" t="s">
        <v>40</v>
      </c>
      <c r="Q42" s="23" t="s">
        <v>40</v>
      </c>
      <c r="R42" s="23" t="s">
        <v>40</v>
      </c>
      <c r="S42" s="23" t="s">
        <v>40</v>
      </c>
      <c r="T42" s="23" t="s">
        <v>40</v>
      </c>
    </row>
    <row r="43" spans="1:20" x14ac:dyDescent="0.25">
      <c r="A43" s="23" t="s">
        <v>14593</v>
      </c>
      <c r="B43" s="23" t="s">
        <v>14521</v>
      </c>
      <c r="C43" s="23" t="s">
        <v>14594</v>
      </c>
      <c r="D43" s="23" t="s">
        <v>14595</v>
      </c>
      <c r="E43" s="23" t="s">
        <v>589</v>
      </c>
      <c r="F43" s="23" t="s">
        <v>14596</v>
      </c>
      <c r="G43" s="23" t="s">
        <v>14597</v>
      </c>
      <c r="H43" s="23" t="s">
        <v>14598</v>
      </c>
      <c r="I43" s="23" t="s">
        <v>14599</v>
      </c>
      <c r="J43" s="23" t="s">
        <v>395</v>
      </c>
      <c r="K43" s="24" t="s">
        <v>386</v>
      </c>
      <c r="L43" s="23" t="s">
        <v>405</v>
      </c>
      <c r="M43" s="25" t="s">
        <v>18</v>
      </c>
      <c r="N43" s="23" t="s">
        <v>40</v>
      </c>
      <c r="O43" s="23" t="s">
        <v>387</v>
      </c>
      <c r="P43" s="23" t="s">
        <v>40</v>
      </c>
      <c r="Q43" s="23" t="s">
        <v>40</v>
      </c>
      <c r="R43" s="23" t="s">
        <v>40</v>
      </c>
      <c r="S43" s="23" t="s">
        <v>40</v>
      </c>
      <c r="T43" s="23" t="s">
        <v>40</v>
      </c>
    </row>
    <row r="44" spans="1:20" x14ac:dyDescent="0.25">
      <c r="A44" s="23" t="s">
        <v>14600</v>
      </c>
      <c r="B44" s="23" t="s">
        <v>14521</v>
      </c>
      <c r="C44" s="23" t="s">
        <v>10405</v>
      </c>
      <c r="D44" s="23" t="s">
        <v>14601</v>
      </c>
      <c r="E44" s="23" t="s">
        <v>589</v>
      </c>
      <c r="F44" s="23" t="s">
        <v>40</v>
      </c>
      <c r="G44" s="23" t="s">
        <v>14602</v>
      </c>
      <c r="H44" s="23" t="s">
        <v>14603</v>
      </c>
      <c r="I44" s="23" t="s">
        <v>14604</v>
      </c>
      <c r="J44" s="23" t="s">
        <v>395</v>
      </c>
      <c r="K44" s="24" t="s">
        <v>386</v>
      </c>
      <c r="L44" s="23" t="s">
        <v>405</v>
      </c>
      <c r="M44" s="25" t="s">
        <v>18</v>
      </c>
      <c r="N44" s="23" t="s">
        <v>40</v>
      </c>
      <c r="O44" s="23" t="s">
        <v>387</v>
      </c>
      <c r="P44" s="23" t="s">
        <v>40</v>
      </c>
      <c r="Q44" s="23" t="s">
        <v>40</v>
      </c>
      <c r="R44" s="23" t="s">
        <v>40</v>
      </c>
      <c r="S44" s="23" t="s">
        <v>40</v>
      </c>
      <c r="T44" s="23" t="s">
        <v>40</v>
      </c>
    </row>
    <row r="45" spans="1:20" x14ac:dyDescent="0.25">
      <c r="A45" s="23" t="s">
        <v>14605</v>
      </c>
      <c r="B45" s="23" t="s">
        <v>434</v>
      </c>
      <c r="C45" s="23" t="s">
        <v>944</v>
      </c>
      <c r="D45" s="23" t="s">
        <v>14606</v>
      </c>
      <c r="E45" s="23" t="s">
        <v>589</v>
      </c>
      <c r="F45" s="23" t="s">
        <v>40</v>
      </c>
      <c r="G45" s="23" t="s">
        <v>14607</v>
      </c>
      <c r="H45" s="23" t="s">
        <v>14608</v>
      </c>
      <c r="I45" s="23" t="s">
        <v>14609</v>
      </c>
      <c r="J45" s="23" t="s">
        <v>434</v>
      </c>
      <c r="K45" s="24" t="s">
        <v>386</v>
      </c>
      <c r="L45" s="23" t="s">
        <v>13</v>
      </c>
      <c r="M45" s="25" t="s">
        <v>18</v>
      </c>
      <c r="N45" s="23" t="s">
        <v>40</v>
      </c>
      <c r="O45" s="23" t="s">
        <v>387</v>
      </c>
      <c r="P45" s="23" t="s">
        <v>40</v>
      </c>
      <c r="Q45" s="23" t="s">
        <v>40</v>
      </c>
      <c r="R45" s="23" t="s">
        <v>40</v>
      </c>
      <c r="S45" s="23" t="s">
        <v>40</v>
      </c>
      <c r="T45" s="23" t="s">
        <v>40</v>
      </c>
    </row>
    <row r="46" spans="1:20" x14ac:dyDescent="0.25">
      <c r="A46" s="23" t="s">
        <v>14610</v>
      </c>
      <c r="B46" s="23" t="s">
        <v>434</v>
      </c>
      <c r="C46" s="23" t="s">
        <v>944</v>
      </c>
      <c r="D46" s="23" t="s">
        <v>14611</v>
      </c>
      <c r="E46" s="23" t="s">
        <v>589</v>
      </c>
      <c r="F46" s="23" t="s">
        <v>40</v>
      </c>
      <c r="G46" s="23" t="s">
        <v>14612</v>
      </c>
      <c r="H46" s="23" t="s">
        <v>14613</v>
      </c>
      <c r="I46" s="23" t="s">
        <v>14614</v>
      </c>
      <c r="J46" s="23" t="s">
        <v>434</v>
      </c>
      <c r="K46" s="27" t="s">
        <v>404</v>
      </c>
      <c r="L46" s="23" t="s">
        <v>405</v>
      </c>
      <c r="M46" s="25" t="s">
        <v>18</v>
      </c>
      <c r="N46" s="23" t="s">
        <v>40</v>
      </c>
      <c r="O46" s="23" t="s">
        <v>387</v>
      </c>
      <c r="P46" s="23" t="s">
        <v>40</v>
      </c>
      <c r="Q46" s="23" t="s">
        <v>40</v>
      </c>
      <c r="R46" s="23" t="s">
        <v>40</v>
      </c>
      <c r="S46" s="23" t="s">
        <v>40</v>
      </c>
      <c r="T46" s="23" t="s">
        <v>40</v>
      </c>
    </row>
    <row r="47" spans="1:20" x14ac:dyDescent="0.25">
      <c r="A47" s="23" t="s">
        <v>14615</v>
      </c>
      <c r="B47" s="23" t="s">
        <v>434</v>
      </c>
      <c r="C47" s="23" t="s">
        <v>944</v>
      </c>
      <c r="D47" s="23" t="s">
        <v>14616</v>
      </c>
      <c r="E47" s="23" t="s">
        <v>589</v>
      </c>
      <c r="F47" s="23" t="s">
        <v>40</v>
      </c>
      <c r="G47" s="23" t="s">
        <v>14617</v>
      </c>
      <c r="H47" s="23" t="s">
        <v>14618</v>
      </c>
      <c r="I47" s="23" t="s">
        <v>14619</v>
      </c>
      <c r="J47" s="23" t="s">
        <v>434</v>
      </c>
      <c r="K47" s="27" t="s">
        <v>404</v>
      </c>
      <c r="L47" s="23" t="s">
        <v>405</v>
      </c>
      <c r="M47" s="25" t="s">
        <v>18</v>
      </c>
      <c r="N47" s="23" t="s">
        <v>40</v>
      </c>
      <c r="O47" s="23" t="s">
        <v>387</v>
      </c>
      <c r="P47" s="23" t="s">
        <v>40</v>
      </c>
      <c r="Q47" s="23" t="s">
        <v>40</v>
      </c>
      <c r="R47" s="23" t="s">
        <v>40</v>
      </c>
      <c r="S47" s="23" t="s">
        <v>40</v>
      </c>
      <c r="T47" s="23" t="s">
        <v>40</v>
      </c>
    </row>
    <row r="48" spans="1:20" x14ac:dyDescent="0.25">
      <c r="A48" s="23" t="s">
        <v>14620</v>
      </c>
      <c r="B48" s="23" t="s">
        <v>434</v>
      </c>
      <c r="C48" s="23" t="s">
        <v>944</v>
      </c>
      <c r="D48" s="23" t="s">
        <v>14621</v>
      </c>
      <c r="E48" s="23" t="s">
        <v>589</v>
      </c>
      <c r="F48" s="23" t="s">
        <v>40</v>
      </c>
      <c r="G48" s="23" t="s">
        <v>14622</v>
      </c>
      <c r="H48" s="23" t="s">
        <v>14623</v>
      </c>
      <c r="I48" s="23" t="s">
        <v>14624</v>
      </c>
      <c r="J48" s="23" t="s">
        <v>434</v>
      </c>
      <c r="K48" s="27" t="s">
        <v>404</v>
      </c>
      <c r="L48" s="23" t="s">
        <v>405</v>
      </c>
      <c r="M48" s="25" t="s">
        <v>18</v>
      </c>
      <c r="N48" s="23" t="s">
        <v>40</v>
      </c>
      <c r="O48" s="23" t="s">
        <v>387</v>
      </c>
      <c r="P48" s="23" t="s">
        <v>40</v>
      </c>
      <c r="Q48" s="23" t="s">
        <v>40</v>
      </c>
      <c r="R48" s="23" t="s">
        <v>40</v>
      </c>
      <c r="S48" s="23" t="s">
        <v>40</v>
      </c>
      <c r="T48" s="23" t="s">
        <v>40</v>
      </c>
    </row>
    <row r="49" spans="1:20" x14ac:dyDescent="0.25">
      <c r="A49" s="23" t="s">
        <v>14625</v>
      </c>
      <c r="B49" s="23" t="s">
        <v>434</v>
      </c>
      <c r="C49" s="23" t="s">
        <v>944</v>
      </c>
      <c r="D49" s="23" t="s">
        <v>14626</v>
      </c>
      <c r="E49" s="23" t="s">
        <v>589</v>
      </c>
      <c r="F49" s="23" t="s">
        <v>40</v>
      </c>
      <c r="G49" s="23" t="s">
        <v>14627</v>
      </c>
      <c r="H49" s="23" t="s">
        <v>14628</v>
      </c>
      <c r="I49" s="23" t="s">
        <v>14629</v>
      </c>
      <c r="J49" s="23" t="s">
        <v>434</v>
      </c>
      <c r="K49" s="27" t="s">
        <v>404</v>
      </c>
      <c r="L49" s="23" t="s">
        <v>405</v>
      </c>
      <c r="M49" s="25" t="s">
        <v>18</v>
      </c>
      <c r="N49" s="23" t="s">
        <v>40</v>
      </c>
      <c r="O49" s="23" t="s">
        <v>387</v>
      </c>
      <c r="P49" s="23" t="s">
        <v>40</v>
      </c>
      <c r="Q49" s="23" t="s">
        <v>40</v>
      </c>
      <c r="R49" s="23" t="s">
        <v>40</v>
      </c>
      <c r="S49" s="23" t="s">
        <v>40</v>
      </c>
      <c r="T49" s="23" t="s">
        <v>40</v>
      </c>
    </row>
    <row r="50" spans="1:20" x14ac:dyDescent="0.25">
      <c r="A50" s="23" t="s">
        <v>14630</v>
      </c>
      <c r="B50" s="23" t="s">
        <v>434</v>
      </c>
      <c r="C50" s="23" t="s">
        <v>944</v>
      </c>
      <c r="D50" s="23" t="s">
        <v>14631</v>
      </c>
      <c r="E50" s="23" t="s">
        <v>14632</v>
      </c>
      <c r="F50" s="23" t="s">
        <v>40</v>
      </c>
      <c r="G50" s="23" t="s">
        <v>14633</v>
      </c>
      <c r="H50" s="23" t="s">
        <v>14634</v>
      </c>
      <c r="I50" s="23" t="s">
        <v>14635</v>
      </c>
      <c r="J50" s="23" t="s">
        <v>434</v>
      </c>
      <c r="K50" s="27" t="s">
        <v>404</v>
      </c>
      <c r="L50" s="23" t="s">
        <v>405</v>
      </c>
      <c r="M50" s="25" t="s">
        <v>18</v>
      </c>
      <c r="N50" s="23" t="s">
        <v>40</v>
      </c>
      <c r="O50" s="23" t="s">
        <v>387</v>
      </c>
      <c r="P50" s="23" t="s">
        <v>40</v>
      </c>
      <c r="Q50" s="23" t="s">
        <v>40</v>
      </c>
      <c r="R50" s="23" t="s">
        <v>40</v>
      </c>
      <c r="S50" s="23" t="s">
        <v>40</v>
      </c>
      <c r="T50" s="23" t="s">
        <v>40</v>
      </c>
    </row>
    <row r="51" spans="1:20" x14ac:dyDescent="0.25">
      <c r="A51" s="23" t="s">
        <v>14636</v>
      </c>
      <c r="B51" s="23" t="s">
        <v>434</v>
      </c>
      <c r="C51" s="23" t="s">
        <v>944</v>
      </c>
      <c r="D51" s="23" t="s">
        <v>14637</v>
      </c>
      <c r="E51" s="23" t="s">
        <v>589</v>
      </c>
      <c r="F51" s="23" t="s">
        <v>40</v>
      </c>
      <c r="G51" s="23" t="s">
        <v>14638</v>
      </c>
      <c r="H51" s="23" t="s">
        <v>14639</v>
      </c>
      <c r="I51" s="23" t="s">
        <v>14640</v>
      </c>
      <c r="J51" s="23" t="s">
        <v>434</v>
      </c>
      <c r="K51" s="24" t="s">
        <v>386</v>
      </c>
      <c r="L51" s="23" t="s">
        <v>13</v>
      </c>
      <c r="M51" s="28" t="s">
        <v>16</v>
      </c>
      <c r="N51" s="23" t="s">
        <v>14641</v>
      </c>
      <c r="O51" s="29" t="s">
        <v>87</v>
      </c>
      <c r="P51" s="23" t="s">
        <v>40</v>
      </c>
      <c r="Q51" s="23" t="s">
        <v>40</v>
      </c>
      <c r="R51" s="23" t="s">
        <v>40</v>
      </c>
      <c r="S51" s="23" t="s">
        <v>40</v>
      </c>
      <c r="T51" s="23" t="s">
        <v>40</v>
      </c>
    </row>
    <row r="52" spans="1:20" x14ac:dyDescent="0.25">
      <c r="A52" s="23" t="s">
        <v>14642</v>
      </c>
      <c r="B52" s="23" t="s">
        <v>434</v>
      </c>
      <c r="C52" s="23" t="s">
        <v>944</v>
      </c>
      <c r="D52" s="23" t="s">
        <v>14643</v>
      </c>
      <c r="E52" s="23" t="s">
        <v>589</v>
      </c>
      <c r="F52" s="23" t="s">
        <v>40</v>
      </c>
      <c r="G52" s="23" t="s">
        <v>14644</v>
      </c>
      <c r="H52" s="23" t="s">
        <v>14645</v>
      </c>
      <c r="I52" s="23" t="s">
        <v>14646</v>
      </c>
      <c r="J52" s="23" t="s">
        <v>434</v>
      </c>
      <c r="K52" s="27" t="s">
        <v>404</v>
      </c>
      <c r="L52" s="23" t="s">
        <v>405</v>
      </c>
      <c r="M52" s="25" t="s">
        <v>18</v>
      </c>
      <c r="N52" s="23" t="s">
        <v>40</v>
      </c>
      <c r="O52" s="23" t="s">
        <v>387</v>
      </c>
      <c r="P52" s="23" t="s">
        <v>40</v>
      </c>
      <c r="Q52" s="23" t="s">
        <v>40</v>
      </c>
      <c r="R52" s="23" t="s">
        <v>40</v>
      </c>
      <c r="S52" s="23" t="s">
        <v>40</v>
      </c>
      <c r="T52" s="23" t="s">
        <v>40</v>
      </c>
    </row>
    <row r="53" spans="1:20" x14ac:dyDescent="0.25">
      <c r="A53" s="23" t="s">
        <v>14647</v>
      </c>
      <c r="B53" s="23" t="s">
        <v>434</v>
      </c>
      <c r="C53" s="23" t="s">
        <v>944</v>
      </c>
      <c r="D53" s="23" t="s">
        <v>14648</v>
      </c>
      <c r="E53" s="23" t="s">
        <v>589</v>
      </c>
      <c r="F53" s="23" t="s">
        <v>40</v>
      </c>
      <c r="G53" s="23" t="s">
        <v>14649</v>
      </c>
      <c r="H53" s="23" t="s">
        <v>14650</v>
      </c>
      <c r="I53" s="23" t="s">
        <v>14651</v>
      </c>
      <c r="J53" s="23" t="s">
        <v>434</v>
      </c>
      <c r="K53" s="27" t="s">
        <v>404</v>
      </c>
      <c r="L53" s="23" t="s">
        <v>405</v>
      </c>
      <c r="M53" s="33" t="s">
        <v>20</v>
      </c>
      <c r="N53" s="23" t="s">
        <v>40</v>
      </c>
      <c r="O53" s="23" t="s">
        <v>387</v>
      </c>
      <c r="P53" s="23" t="s">
        <v>40</v>
      </c>
      <c r="Q53" s="23" t="s">
        <v>40</v>
      </c>
      <c r="R53" s="23" t="s">
        <v>40</v>
      </c>
      <c r="S53" s="23" t="s">
        <v>14652</v>
      </c>
      <c r="T53" s="23" t="s">
        <v>40</v>
      </c>
    </row>
    <row r="54" spans="1:20" x14ac:dyDescent="0.25">
      <c r="A54" s="23" t="s">
        <v>14653</v>
      </c>
      <c r="B54" s="23" t="s">
        <v>434</v>
      </c>
      <c r="C54" s="23" t="s">
        <v>14654</v>
      </c>
      <c r="D54" s="23" t="s">
        <v>14655</v>
      </c>
      <c r="E54" s="23" t="s">
        <v>14656</v>
      </c>
      <c r="F54" s="23" t="s">
        <v>40</v>
      </c>
      <c r="G54" s="23" t="s">
        <v>14657</v>
      </c>
      <c r="H54" s="23" t="s">
        <v>14658</v>
      </c>
      <c r="I54" s="23" t="s">
        <v>14659</v>
      </c>
      <c r="J54" s="23" t="s">
        <v>434</v>
      </c>
      <c r="K54" s="27" t="s">
        <v>404</v>
      </c>
      <c r="L54" s="23" t="s">
        <v>405</v>
      </c>
      <c r="M54" s="25" t="s">
        <v>18</v>
      </c>
      <c r="N54" s="23" t="s">
        <v>40</v>
      </c>
      <c r="O54" s="23" t="s">
        <v>387</v>
      </c>
      <c r="P54" s="23" t="s">
        <v>40</v>
      </c>
      <c r="Q54" s="23" t="s">
        <v>40</v>
      </c>
      <c r="R54" s="23" t="s">
        <v>40</v>
      </c>
      <c r="S54" s="23" t="s">
        <v>40</v>
      </c>
      <c r="T54" s="23" t="s">
        <v>40</v>
      </c>
    </row>
    <row r="55" spans="1:20" x14ac:dyDescent="0.25">
      <c r="A55" s="23" t="s">
        <v>14660</v>
      </c>
      <c r="B55" s="23" t="s">
        <v>434</v>
      </c>
      <c r="C55" s="23" t="s">
        <v>14654</v>
      </c>
      <c r="D55" s="23" t="s">
        <v>14661</v>
      </c>
      <c r="E55" s="23" t="s">
        <v>14662</v>
      </c>
      <c r="F55" s="23" t="s">
        <v>40</v>
      </c>
      <c r="G55" s="23" t="s">
        <v>14663</v>
      </c>
      <c r="H55" s="23" t="s">
        <v>14664</v>
      </c>
      <c r="I55" s="23" t="s">
        <v>14665</v>
      </c>
      <c r="J55" s="23" t="s">
        <v>434</v>
      </c>
      <c r="K55" s="27" t="s">
        <v>404</v>
      </c>
      <c r="L55" s="23" t="s">
        <v>405</v>
      </c>
      <c r="M55" s="25" t="s">
        <v>18</v>
      </c>
      <c r="N55" s="23" t="s">
        <v>40</v>
      </c>
      <c r="O55" s="23" t="s">
        <v>387</v>
      </c>
      <c r="P55" s="23" t="s">
        <v>40</v>
      </c>
      <c r="Q55" s="23" t="s">
        <v>40</v>
      </c>
      <c r="R55" s="23" t="s">
        <v>40</v>
      </c>
      <c r="S55" s="23" t="s">
        <v>40</v>
      </c>
      <c r="T55" s="23" t="s">
        <v>40</v>
      </c>
    </row>
    <row r="56" spans="1:20" x14ac:dyDescent="0.25">
      <c r="A56" s="23" t="s">
        <v>14666</v>
      </c>
      <c r="B56" s="23" t="s">
        <v>434</v>
      </c>
      <c r="C56" s="23" t="s">
        <v>14654</v>
      </c>
      <c r="D56" s="23" t="s">
        <v>14667</v>
      </c>
      <c r="E56" s="23" t="s">
        <v>14668</v>
      </c>
      <c r="F56" s="23" t="s">
        <v>40</v>
      </c>
      <c r="G56" s="23" t="s">
        <v>14669</v>
      </c>
      <c r="H56" s="23" t="s">
        <v>14670</v>
      </c>
      <c r="I56" s="23" t="s">
        <v>14671</v>
      </c>
      <c r="J56" s="23" t="s">
        <v>434</v>
      </c>
      <c r="K56" s="27" t="s">
        <v>404</v>
      </c>
      <c r="L56" s="23" t="s">
        <v>490</v>
      </c>
      <c r="M56" s="25" t="s">
        <v>18</v>
      </c>
      <c r="N56" s="23" t="s">
        <v>40</v>
      </c>
      <c r="O56" s="23" t="s">
        <v>387</v>
      </c>
      <c r="P56" s="23" t="s">
        <v>40</v>
      </c>
      <c r="Q56" s="23" t="s">
        <v>40</v>
      </c>
      <c r="R56" s="23" t="s">
        <v>40</v>
      </c>
      <c r="S56" s="23" t="s">
        <v>40</v>
      </c>
      <c r="T56" s="23" t="s">
        <v>40</v>
      </c>
    </row>
    <row r="57" spans="1:20" x14ac:dyDescent="0.25">
      <c r="A57" s="23" t="s">
        <v>14672</v>
      </c>
      <c r="B57" s="23" t="s">
        <v>434</v>
      </c>
      <c r="C57" s="23" t="s">
        <v>14673</v>
      </c>
      <c r="D57" s="23" t="s">
        <v>14674</v>
      </c>
      <c r="E57" s="23" t="s">
        <v>14675</v>
      </c>
      <c r="F57" s="23" t="s">
        <v>40</v>
      </c>
      <c r="G57" s="23" t="s">
        <v>14676</v>
      </c>
      <c r="H57" s="23" t="s">
        <v>14677</v>
      </c>
      <c r="I57" s="23" t="s">
        <v>14678</v>
      </c>
      <c r="J57" s="23" t="s">
        <v>434</v>
      </c>
      <c r="K57" s="27" t="s">
        <v>404</v>
      </c>
      <c r="L57" s="23" t="s">
        <v>490</v>
      </c>
      <c r="M57" s="25" t="s">
        <v>18</v>
      </c>
      <c r="N57" s="23" t="s">
        <v>40</v>
      </c>
      <c r="O57" s="23" t="s">
        <v>387</v>
      </c>
      <c r="P57" s="23" t="s">
        <v>40</v>
      </c>
      <c r="Q57" s="23" t="s">
        <v>40</v>
      </c>
      <c r="R57" s="23" t="s">
        <v>40</v>
      </c>
      <c r="S57" s="23" t="s">
        <v>40</v>
      </c>
      <c r="T57" s="23" t="s">
        <v>40</v>
      </c>
    </row>
    <row r="58" spans="1:20" x14ac:dyDescent="0.25">
      <c r="A58" s="23" t="s">
        <v>14679</v>
      </c>
      <c r="B58" s="23" t="s">
        <v>434</v>
      </c>
      <c r="C58" s="23" t="s">
        <v>14673</v>
      </c>
      <c r="D58" s="23" t="s">
        <v>14680</v>
      </c>
      <c r="E58" s="23" t="s">
        <v>589</v>
      </c>
      <c r="F58" s="23" t="s">
        <v>40</v>
      </c>
      <c r="G58" s="23" t="s">
        <v>14681</v>
      </c>
      <c r="H58" s="23" t="s">
        <v>14682</v>
      </c>
      <c r="I58" s="23" t="s">
        <v>14683</v>
      </c>
      <c r="J58" s="23" t="s">
        <v>434</v>
      </c>
      <c r="K58" s="27" t="s">
        <v>404</v>
      </c>
      <c r="L58" s="23" t="s">
        <v>405</v>
      </c>
      <c r="M58" s="25" t="s">
        <v>18</v>
      </c>
      <c r="N58" s="23" t="s">
        <v>40</v>
      </c>
      <c r="O58" s="23" t="s">
        <v>387</v>
      </c>
      <c r="P58" s="23" t="s">
        <v>40</v>
      </c>
      <c r="Q58" s="23" t="s">
        <v>40</v>
      </c>
      <c r="R58" s="23" t="s">
        <v>40</v>
      </c>
      <c r="S58" s="23" t="s">
        <v>40</v>
      </c>
      <c r="T58" s="23" t="s">
        <v>14684</v>
      </c>
    </row>
    <row r="59" spans="1:20" x14ac:dyDescent="0.25">
      <c r="A59" s="23" t="s">
        <v>14685</v>
      </c>
      <c r="B59" s="23" t="s">
        <v>14686</v>
      </c>
      <c r="C59" s="23" t="s">
        <v>14687</v>
      </c>
      <c r="D59" s="23" t="s">
        <v>14688</v>
      </c>
      <c r="E59" s="23" t="s">
        <v>589</v>
      </c>
      <c r="F59" s="23" t="s">
        <v>40</v>
      </c>
      <c r="G59" s="23" t="s">
        <v>14689</v>
      </c>
      <c r="H59" s="23" t="s">
        <v>14690</v>
      </c>
      <c r="I59" s="23" t="s">
        <v>14691</v>
      </c>
      <c r="J59" s="23" t="s">
        <v>403</v>
      </c>
      <c r="K59" s="27" t="s">
        <v>404</v>
      </c>
      <c r="L59" s="23" t="s">
        <v>405</v>
      </c>
      <c r="M59" s="25" t="s">
        <v>18</v>
      </c>
      <c r="N59" s="23" t="s">
        <v>40</v>
      </c>
      <c r="O59" s="23" t="s">
        <v>387</v>
      </c>
      <c r="P59" s="23" t="s">
        <v>40</v>
      </c>
      <c r="Q59" s="23" t="s">
        <v>40</v>
      </c>
      <c r="R59" s="23" t="s">
        <v>40</v>
      </c>
      <c r="S59" s="23" t="s">
        <v>14692</v>
      </c>
      <c r="T59" s="23" t="s">
        <v>40</v>
      </c>
    </row>
    <row r="60" spans="1:20" x14ac:dyDescent="0.25">
      <c r="A60" s="23" t="s">
        <v>14693</v>
      </c>
      <c r="B60" s="23" t="s">
        <v>14686</v>
      </c>
      <c r="C60" s="23" t="s">
        <v>14687</v>
      </c>
      <c r="D60" s="23" t="s">
        <v>14694</v>
      </c>
      <c r="E60" s="23" t="s">
        <v>589</v>
      </c>
      <c r="F60" s="23" t="s">
        <v>40</v>
      </c>
      <c r="G60" s="23" t="s">
        <v>14695</v>
      </c>
      <c r="H60" s="23" t="s">
        <v>14696</v>
      </c>
      <c r="I60" s="23" t="s">
        <v>14697</v>
      </c>
      <c r="J60" s="23" t="s">
        <v>403</v>
      </c>
      <c r="K60" s="32" t="s">
        <v>747</v>
      </c>
      <c r="L60" s="23" t="s">
        <v>490</v>
      </c>
      <c r="M60" s="25" t="s">
        <v>18</v>
      </c>
      <c r="N60" s="23" t="s">
        <v>40</v>
      </c>
      <c r="O60" s="23" t="s">
        <v>387</v>
      </c>
      <c r="P60" s="23" t="s">
        <v>40</v>
      </c>
      <c r="Q60" s="23" t="s">
        <v>40</v>
      </c>
      <c r="R60" s="23" t="s">
        <v>40</v>
      </c>
      <c r="S60" s="23" t="s">
        <v>14698</v>
      </c>
      <c r="T60" s="23" t="s">
        <v>40</v>
      </c>
    </row>
    <row r="61" spans="1:20" x14ac:dyDescent="0.25">
      <c r="A61" s="23" t="s">
        <v>14699</v>
      </c>
      <c r="B61" s="23" t="s">
        <v>14686</v>
      </c>
      <c r="C61" s="23" t="s">
        <v>14687</v>
      </c>
      <c r="D61" s="23" t="s">
        <v>14700</v>
      </c>
      <c r="E61" s="23" t="s">
        <v>589</v>
      </c>
      <c r="F61" s="23" t="s">
        <v>40</v>
      </c>
      <c r="G61" s="23" t="s">
        <v>14701</v>
      </c>
      <c r="H61" s="23" t="s">
        <v>14702</v>
      </c>
      <c r="I61" s="23" t="s">
        <v>14703</v>
      </c>
      <c r="J61" s="23" t="s">
        <v>403</v>
      </c>
      <c r="K61" s="27" t="s">
        <v>404</v>
      </c>
      <c r="L61" s="23" t="s">
        <v>405</v>
      </c>
      <c r="M61" s="25" t="s">
        <v>18</v>
      </c>
      <c r="N61" s="23" t="s">
        <v>40</v>
      </c>
      <c r="O61" s="23" t="s">
        <v>387</v>
      </c>
      <c r="P61" s="23" t="s">
        <v>40</v>
      </c>
      <c r="Q61" s="23" t="s">
        <v>40</v>
      </c>
      <c r="R61" s="23" t="s">
        <v>40</v>
      </c>
      <c r="S61" s="23" t="s">
        <v>40</v>
      </c>
      <c r="T61" s="23" t="s">
        <v>40</v>
      </c>
    </row>
    <row r="62" spans="1:20" x14ac:dyDescent="0.25">
      <c r="A62" s="23" t="s">
        <v>14704</v>
      </c>
      <c r="B62" s="23" t="s">
        <v>14686</v>
      </c>
      <c r="C62" s="23" t="s">
        <v>14687</v>
      </c>
      <c r="D62" s="23" t="s">
        <v>14705</v>
      </c>
      <c r="E62" s="23" t="s">
        <v>589</v>
      </c>
      <c r="F62" s="23" t="s">
        <v>40</v>
      </c>
      <c r="G62" s="23" t="s">
        <v>14706</v>
      </c>
      <c r="H62" s="23" t="s">
        <v>14707</v>
      </c>
      <c r="I62" s="23" t="s">
        <v>14708</v>
      </c>
      <c r="J62" s="23" t="s">
        <v>403</v>
      </c>
      <c r="K62" s="24" t="s">
        <v>386</v>
      </c>
      <c r="L62" s="23" t="s">
        <v>13</v>
      </c>
      <c r="M62" s="25" t="s">
        <v>18</v>
      </c>
      <c r="N62" s="23" t="s">
        <v>40</v>
      </c>
      <c r="O62" s="23" t="s">
        <v>387</v>
      </c>
      <c r="P62" s="23" t="s">
        <v>40</v>
      </c>
      <c r="Q62" s="23" t="s">
        <v>40</v>
      </c>
      <c r="R62" s="23" t="s">
        <v>40</v>
      </c>
      <c r="S62" s="23" t="s">
        <v>14709</v>
      </c>
      <c r="T62" s="23" t="s">
        <v>40</v>
      </c>
    </row>
    <row r="63" spans="1:20" x14ac:dyDescent="0.25">
      <c r="A63" s="23" t="s">
        <v>14710</v>
      </c>
      <c r="B63" s="23" t="s">
        <v>14686</v>
      </c>
      <c r="C63" s="23" t="s">
        <v>14687</v>
      </c>
      <c r="D63" s="23" t="s">
        <v>14711</v>
      </c>
      <c r="E63" s="23" t="s">
        <v>589</v>
      </c>
      <c r="F63" s="23" t="s">
        <v>40</v>
      </c>
      <c r="G63" s="23" t="s">
        <v>14712</v>
      </c>
      <c r="H63" s="23" t="s">
        <v>14713</v>
      </c>
      <c r="I63" s="23" t="s">
        <v>14714</v>
      </c>
      <c r="J63" s="23" t="s">
        <v>403</v>
      </c>
      <c r="K63" s="27" t="s">
        <v>404</v>
      </c>
      <c r="L63" s="23" t="s">
        <v>405</v>
      </c>
      <c r="M63" s="25" t="s">
        <v>18</v>
      </c>
      <c r="N63" s="23" t="s">
        <v>40</v>
      </c>
      <c r="O63" s="23" t="s">
        <v>387</v>
      </c>
      <c r="P63" s="23" t="s">
        <v>40</v>
      </c>
      <c r="Q63" s="23" t="s">
        <v>40</v>
      </c>
      <c r="R63" s="23" t="s">
        <v>40</v>
      </c>
      <c r="S63" s="23" t="s">
        <v>40</v>
      </c>
      <c r="T63" s="23" t="s">
        <v>40</v>
      </c>
    </row>
    <row r="64" spans="1:20" x14ac:dyDescent="0.25">
      <c r="A64" s="23" t="s">
        <v>14715</v>
      </c>
      <c r="B64" s="23" t="s">
        <v>14686</v>
      </c>
      <c r="C64" s="23" t="s">
        <v>14687</v>
      </c>
      <c r="D64" s="23" t="s">
        <v>14716</v>
      </c>
      <c r="E64" s="23" t="s">
        <v>589</v>
      </c>
      <c r="F64" s="23" t="s">
        <v>40</v>
      </c>
      <c r="G64" s="23" t="s">
        <v>14717</v>
      </c>
      <c r="H64" s="23" t="s">
        <v>14718</v>
      </c>
      <c r="I64" s="23" t="s">
        <v>14719</v>
      </c>
      <c r="J64" s="23" t="s">
        <v>403</v>
      </c>
      <c r="K64" s="27" t="s">
        <v>404</v>
      </c>
      <c r="L64" s="23" t="s">
        <v>405</v>
      </c>
      <c r="M64" s="25" t="s">
        <v>18</v>
      </c>
      <c r="N64" s="23" t="s">
        <v>40</v>
      </c>
      <c r="O64" s="23" t="s">
        <v>387</v>
      </c>
      <c r="P64" s="23" t="s">
        <v>40</v>
      </c>
      <c r="Q64" s="23" t="s">
        <v>40</v>
      </c>
      <c r="R64" s="23" t="s">
        <v>40</v>
      </c>
      <c r="S64" s="23" t="s">
        <v>40</v>
      </c>
      <c r="T64" s="23" t="s">
        <v>40</v>
      </c>
    </row>
    <row r="65" spans="1:20" x14ac:dyDescent="0.25">
      <c r="A65" s="23" t="s">
        <v>14720</v>
      </c>
      <c r="B65" s="23" t="s">
        <v>14686</v>
      </c>
      <c r="C65" s="23" t="s">
        <v>14687</v>
      </c>
      <c r="D65" s="23" t="s">
        <v>14721</v>
      </c>
      <c r="E65" s="23" t="s">
        <v>589</v>
      </c>
      <c r="F65" s="23" t="s">
        <v>40</v>
      </c>
      <c r="G65" s="23" t="s">
        <v>14722</v>
      </c>
      <c r="H65" s="23" t="s">
        <v>14723</v>
      </c>
      <c r="I65" s="23" t="s">
        <v>14724</v>
      </c>
      <c r="J65" s="23" t="s">
        <v>403</v>
      </c>
      <c r="K65" s="27" t="s">
        <v>404</v>
      </c>
      <c r="L65" s="23" t="s">
        <v>405</v>
      </c>
      <c r="M65" s="25" t="s">
        <v>18</v>
      </c>
      <c r="N65" s="23" t="s">
        <v>40</v>
      </c>
      <c r="O65" s="23" t="s">
        <v>387</v>
      </c>
      <c r="P65" s="23" t="s">
        <v>40</v>
      </c>
      <c r="Q65" s="23" t="s">
        <v>40</v>
      </c>
      <c r="R65" s="23" t="s">
        <v>40</v>
      </c>
      <c r="S65" s="23" t="s">
        <v>40</v>
      </c>
      <c r="T65" s="23" t="s">
        <v>40</v>
      </c>
    </row>
    <row r="66" spans="1:20" x14ac:dyDescent="0.25">
      <c r="A66" s="23" t="s">
        <v>14725</v>
      </c>
      <c r="B66" s="23" t="s">
        <v>14686</v>
      </c>
      <c r="C66" s="23" t="s">
        <v>14687</v>
      </c>
      <c r="D66" s="23" t="s">
        <v>14726</v>
      </c>
      <c r="E66" s="23" t="s">
        <v>589</v>
      </c>
      <c r="F66" s="23" t="s">
        <v>40</v>
      </c>
      <c r="G66" s="23" t="s">
        <v>14727</v>
      </c>
      <c r="H66" s="23" t="s">
        <v>14728</v>
      </c>
      <c r="I66" s="23" t="s">
        <v>14729</v>
      </c>
      <c r="J66" s="23" t="s">
        <v>403</v>
      </c>
      <c r="K66" s="27" t="s">
        <v>404</v>
      </c>
      <c r="L66" s="23" t="s">
        <v>405</v>
      </c>
      <c r="M66" s="25" t="s">
        <v>18</v>
      </c>
      <c r="N66" s="23" t="s">
        <v>40</v>
      </c>
      <c r="O66" s="23" t="s">
        <v>387</v>
      </c>
      <c r="P66" s="23" t="s">
        <v>40</v>
      </c>
      <c r="Q66" s="23" t="s">
        <v>40</v>
      </c>
      <c r="R66" s="23" t="s">
        <v>40</v>
      </c>
      <c r="S66" s="23" t="s">
        <v>40</v>
      </c>
      <c r="T66" s="23" t="s">
        <v>40</v>
      </c>
    </row>
    <row r="67" spans="1:20" x14ac:dyDescent="0.25">
      <c r="A67" s="23" t="s">
        <v>14730</v>
      </c>
      <c r="B67" s="23" t="s">
        <v>14686</v>
      </c>
      <c r="C67" s="23" t="s">
        <v>14687</v>
      </c>
      <c r="D67" s="23" t="s">
        <v>14731</v>
      </c>
      <c r="E67" s="23" t="s">
        <v>589</v>
      </c>
      <c r="F67" s="23" t="s">
        <v>40</v>
      </c>
      <c r="G67" s="23" t="s">
        <v>14732</v>
      </c>
      <c r="H67" s="23" t="s">
        <v>14733</v>
      </c>
      <c r="I67" s="23" t="s">
        <v>14734</v>
      </c>
      <c r="J67" s="23" t="s">
        <v>403</v>
      </c>
      <c r="K67" s="32" t="s">
        <v>747</v>
      </c>
      <c r="L67" s="23" t="s">
        <v>490</v>
      </c>
      <c r="M67" s="25" t="s">
        <v>18</v>
      </c>
      <c r="N67" s="23" t="s">
        <v>40</v>
      </c>
      <c r="O67" s="23" t="s">
        <v>387</v>
      </c>
      <c r="P67" s="23" t="s">
        <v>40</v>
      </c>
      <c r="Q67" s="23" t="s">
        <v>40</v>
      </c>
      <c r="R67" s="23" t="s">
        <v>40</v>
      </c>
      <c r="S67" s="23" t="s">
        <v>40</v>
      </c>
      <c r="T67" s="23" t="s">
        <v>40</v>
      </c>
    </row>
    <row r="68" spans="1:20" x14ac:dyDescent="0.25">
      <c r="A68" s="23" t="s">
        <v>14735</v>
      </c>
      <c r="B68" s="23" t="s">
        <v>14686</v>
      </c>
      <c r="C68" s="23" t="s">
        <v>14687</v>
      </c>
      <c r="D68" s="23" t="s">
        <v>14736</v>
      </c>
      <c r="E68" s="23" t="s">
        <v>589</v>
      </c>
      <c r="F68" s="23" t="s">
        <v>40</v>
      </c>
      <c r="G68" s="23" t="s">
        <v>14737</v>
      </c>
      <c r="H68" s="23" t="s">
        <v>14738</v>
      </c>
      <c r="I68" s="23" t="s">
        <v>14739</v>
      </c>
      <c r="J68" s="23" t="s">
        <v>403</v>
      </c>
      <c r="K68" s="32" t="s">
        <v>747</v>
      </c>
      <c r="L68" s="23" t="s">
        <v>490</v>
      </c>
      <c r="M68" s="25" t="s">
        <v>18</v>
      </c>
      <c r="N68" s="23" t="s">
        <v>40</v>
      </c>
      <c r="O68" s="23" t="s">
        <v>387</v>
      </c>
      <c r="P68" s="23" t="s">
        <v>40</v>
      </c>
      <c r="Q68" s="23" t="s">
        <v>40</v>
      </c>
      <c r="R68" s="23" t="s">
        <v>40</v>
      </c>
      <c r="S68" s="23" t="s">
        <v>14740</v>
      </c>
      <c r="T68" s="23" t="s">
        <v>40</v>
      </c>
    </row>
    <row r="69" spans="1:20" x14ac:dyDescent="0.25">
      <c r="A69" s="23" t="s">
        <v>14741</v>
      </c>
      <c r="B69" s="23" t="s">
        <v>14686</v>
      </c>
      <c r="C69" s="23" t="s">
        <v>14687</v>
      </c>
      <c r="D69" s="23" t="s">
        <v>14742</v>
      </c>
      <c r="E69" s="23" t="s">
        <v>589</v>
      </c>
      <c r="F69" s="23" t="s">
        <v>40</v>
      </c>
      <c r="G69" s="23" t="s">
        <v>14743</v>
      </c>
      <c r="H69" s="23" t="s">
        <v>14744</v>
      </c>
      <c r="I69" s="23" t="s">
        <v>14745</v>
      </c>
      <c r="J69" s="23" t="s">
        <v>403</v>
      </c>
      <c r="K69" s="32" t="s">
        <v>747</v>
      </c>
      <c r="L69" s="23" t="s">
        <v>490</v>
      </c>
      <c r="M69" s="25" t="s">
        <v>18</v>
      </c>
      <c r="N69" s="23" t="s">
        <v>40</v>
      </c>
      <c r="O69" s="23" t="s">
        <v>387</v>
      </c>
      <c r="P69" s="23" t="s">
        <v>40</v>
      </c>
      <c r="Q69" s="23" t="s">
        <v>40</v>
      </c>
      <c r="R69" s="23" t="s">
        <v>40</v>
      </c>
      <c r="S69" s="23" t="s">
        <v>40</v>
      </c>
      <c r="T69" s="23" t="s">
        <v>40</v>
      </c>
    </row>
    <row r="70" spans="1:20" x14ac:dyDescent="0.25">
      <c r="A70" s="23" t="s">
        <v>14746</v>
      </c>
      <c r="B70" s="23" t="s">
        <v>14686</v>
      </c>
      <c r="C70" s="23" t="s">
        <v>14687</v>
      </c>
      <c r="D70" s="23" t="s">
        <v>14747</v>
      </c>
      <c r="E70" s="23" t="s">
        <v>589</v>
      </c>
      <c r="F70" s="23" t="s">
        <v>40</v>
      </c>
      <c r="G70" s="23" t="s">
        <v>14748</v>
      </c>
      <c r="H70" s="23" t="s">
        <v>14749</v>
      </c>
      <c r="I70" s="23" t="s">
        <v>14750</v>
      </c>
      <c r="J70" s="23" t="s">
        <v>403</v>
      </c>
      <c r="K70" s="32" t="s">
        <v>747</v>
      </c>
      <c r="L70" s="23" t="s">
        <v>490</v>
      </c>
      <c r="M70" s="25" t="s">
        <v>18</v>
      </c>
      <c r="N70" s="23" t="s">
        <v>40</v>
      </c>
      <c r="O70" s="23" t="s">
        <v>387</v>
      </c>
      <c r="P70" s="23" t="s">
        <v>40</v>
      </c>
      <c r="Q70" s="23" t="s">
        <v>40</v>
      </c>
      <c r="R70" s="23" t="s">
        <v>40</v>
      </c>
      <c r="S70" s="23" t="s">
        <v>40</v>
      </c>
      <c r="T70" s="23" t="s">
        <v>40</v>
      </c>
    </row>
    <row r="71" spans="1:20" x14ac:dyDescent="0.25">
      <c r="A71" s="23" t="s">
        <v>14751</v>
      </c>
      <c r="B71" s="23" t="s">
        <v>14752</v>
      </c>
      <c r="C71" s="23" t="s">
        <v>14752</v>
      </c>
      <c r="D71" s="23" t="s">
        <v>14753</v>
      </c>
      <c r="E71" s="23" t="s">
        <v>589</v>
      </c>
      <c r="F71" s="23" t="s">
        <v>40</v>
      </c>
      <c r="G71" s="23" t="s">
        <v>14754</v>
      </c>
      <c r="H71" s="23" t="s">
        <v>14755</v>
      </c>
      <c r="I71" s="23" t="s">
        <v>14756</v>
      </c>
      <c r="J71" s="23" t="s">
        <v>403</v>
      </c>
      <c r="K71" s="24" t="s">
        <v>386</v>
      </c>
      <c r="L71" s="23" t="s">
        <v>13</v>
      </c>
      <c r="M71" s="25" t="s">
        <v>18</v>
      </c>
      <c r="N71" s="23" t="s">
        <v>40</v>
      </c>
      <c r="O71" s="23" t="s">
        <v>387</v>
      </c>
      <c r="P71" s="23" t="s">
        <v>40</v>
      </c>
      <c r="Q71" s="23" t="s">
        <v>40</v>
      </c>
      <c r="R71" s="23" t="s">
        <v>40</v>
      </c>
      <c r="S71" s="23" t="s">
        <v>40</v>
      </c>
      <c r="T71" s="23" t="s">
        <v>14757</v>
      </c>
    </row>
    <row r="72" spans="1:20" x14ac:dyDescent="0.25">
      <c r="A72" s="23" t="s">
        <v>14758</v>
      </c>
      <c r="B72" s="23" t="s">
        <v>14752</v>
      </c>
      <c r="C72" s="23" t="s">
        <v>14752</v>
      </c>
      <c r="D72" s="23" t="s">
        <v>14759</v>
      </c>
      <c r="E72" s="23" t="s">
        <v>589</v>
      </c>
      <c r="F72" s="23" t="s">
        <v>40</v>
      </c>
      <c r="G72" s="23" t="s">
        <v>14760</v>
      </c>
      <c r="H72" s="23" t="s">
        <v>14761</v>
      </c>
      <c r="I72" s="23" t="s">
        <v>14762</v>
      </c>
      <c r="J72" s="23" t="s">
        <v>403</v>
      </c>
      <c r="K72" s="27" t="s">
        <v>404</v>
      </c>
      <c r="L72" s="23" t="s">
        <v>405</v>
      </c>
      <c r="M72" s="25" t="s">
        <v>18</v>
      </c>
      <c r="N72" s="23" t="s">
        <v>40</v>
      </c>
      <c r="O72" s="23" t="s">
        <v>387</v>
      </c>
      <c r="P72" s="23" t="s">
        <v>40</v>
      </c>
      <c r="Q72" s="23" t="s">
        <v>40</v>
      </c>
      <c r="R72" s="23" t="s">
        <v>40</v>
      </c>
      <c r="S72" s="23" t="s">
        <v>40</v>
      </c>
      <c r="T72" s="23" t="s">
        <v>14757</v>
      </c>
    </row>
    <row r="73" spans="1:20" x14ac:dyDescent="0.25">
      <c r="A73" s="23" t="s">
        <v>14763</v>
      </c>
      <c r="B73" s="23" t="s">
        <v>14752</v>
      </c>
      <c r="C73" s="23" t="s">
        <v>14752</v>
      </c>
      <c r="D73" s="23" t="s">
        <v>14764</v>
      </c>
      <c r="E73" s="23" t="s">
        <v>589</v>
      </c>
      <c r="F73" s="23" t="s">
        <v>40</v>
      </c>
      <c r="G73" s="23" t="s">
        <v>14765</v>
      </c>
      <c r="H73" s="23" t="s">
        <v>14766</v>
      </c>
      <c r="I73" s="23" t="s">
        <v>14767</v>
      </c>
      <c r="J73" s="23" t="s">
        <v>403</v>
      </c>
      <c r="K73" s="27" t="s">
        <v>404</v>
      </c>
      <c r="L73" s="23" t="s">
        <v>405</v>
      </c>
      <c r="M73" s="25" t="s">
        <v>18</v>
      </c>
      <c r="N73" s="23" t="s">
        <v>40</v>
      </c>
      <c r="O73" s="23" t="s">
        <v>387</v>
      </c>
      <c r="P73" s="23" t="s">
        <v>40</v>
      </c>
      <c r="Q73" s="23" t="s">
        <v>40</v>
      </c>
      <c r="R73" s="23" t="s">
        <v>40</v>
      </c>
      <c r="S73" s="23" t="s">
        <v>40</v>
      </c>
      <c r="T73" s="23" t="s">
        <v>14757</v>
      </c>
    </row>
    <row r="74" spans="1:20" x14ac:dyDescent="0.25">
      <c r="A74" s="23" t="s">
        <v>14768</v>
      </c>
      <c r="B74" s="23" t="s">
        <v>14752</v>
      </c>
      <c r="C74" s="23" t="s">
        <v>14752</v>
      </c>
      <c r="D74" s="23" t="s">
        <v>14769</v>
      </c>
      <c r="E74" s="23" t="s">
        <v>589</v>
      </c>
      <c r="F74" s="23" t="s">
        <v>40</v>
      </c>
      <c r="G74" s="23" t="s">
        <v>14770</v>
      </c>
      <c r="H74" s="23" t="s">
        <v>14771</v>
      </c>
      <c r="I74" s="23" t="s">
        <v>14772</v>
      </c>
      <c r="J74" s="23" t="s">
        <v>403</v>
      </c>
      <c r="K74" s="27" t="s">
        <v>404</v>
      </c>
      <c r="L74" s="23" t="s">
        <v>405</v>
      </c>
      <c r="M74" s="25" t="s">
        <v>18</v>
      </c>
      <c r="N74" s="23" t="s">
        <v>40</v>
      </c>
      <c r="O74" s="23" t="s">
        <v>387</v>
      </c>
      <c r="P74" s="23" t="s">
        <v>40</v>
      </c>
      <c r="Q74" s="23" t="s">
        <v>40</v>
      </c>
      <c r="R74" s="23" t="s">
        <v>40</v>
      </c>
      <c r="S74" s="23" t="s">
        <v>40</v>
      </c>
      <c r="T74" s="23" t="s">
        <v>14757</v>
      </c>
    </row>
    <row r="75" spans="1:20" x14ac:dyDescent="0.25">
      <c r="A75" s="23" t="s">
        <v>14773</v>
      </c>
      <c r="B75" s="23" t="s">
        <v>14752</v>
      </c>
      <c r="C75" s="23" t="s">
        <v>14752</v>
      </c>
      <c r="D75" s="23" t="s">
        <v>14774</v>
      </c>
      <c r="E75" s="23" t="s">
        <v>589</v>
      </c>
      <c r="F75" s="23" t="s">
        <v>40</v>
      </c>
      <c r="G75" s="23" t="s">
        <v>14775</v>
      </c>
      <c r="H75" s="23" t="s">
        <v>14776</v>
      </c>
      <c r="I75" s="23" t="s">
        <v>14777</v>
      </c>
      <c r="J75" s="23" t="s">
        <v>403</v>
      </c>
      <c r="K75" s="27" t="s">
        <v>404</v>
      </c>
      <c r="L75" s="23" t="s">
        <v>405</v>
      </c>
      <c r="M75" s="25" t="s">
        <v>18</v>
      </c>
      <c r="N75" s="23" t="s">
        <v>40</v>
      </c>
      <c r="O75" s="23" t="s">
        <v>387</v>
      </c>
      <c r="P75" s="23" t="s">
        <v>40</v>
      </c>
      <c r="Q75" s="23" t="s">
        <v>40</v>
      </c>
      <c r="R75" s="23" t="s">
        <v>40</v>
      </c>
      <c r="S75" s="23" t="s">
        <v>40</v>
      </c>
      <c r="T75" s="23" t="s">
        <v>14757</v>
      </c>
    </row>
    <row r="76" spans="1:20" x14ac:dyDescent="0.25">
      <c r="A76" s="23" t="s">
        <v>14778</v>
      </c>
      <c r="B76" s="23" t="s">
        <v>14752</v>
      </c>
      <c r="C76" s="23" t="s">
        <v>14752</v>
      </c>
      <c r="D76" s="23" t="s">
        <v>14779</v>
      </c>
      <c r="E76" s="23" t="s">
        <v>589</v>
      </c>
      <c r="F76" s="23" t="s">
        <v>40</v>
      </c>
      <c r="G76" s="23" t="s">
        <v>14780</v>
      </c>
      <c r="H76" s="23" t="s">
        <v>14781</v>
      </c>
      <c r="I76" s="23" t="s">
        <v>14782</v>
      </c>
      <c r="J76" s="23" t="s">
        <v>403</v>
      </c>
      <c r="K76" s="27" t="s">
        <v>404</v>
      </c>
      <c r="L76" s="23" t="s">
        <v>405</v>
      </c>
      <c r="M76" s="25" t="s">
        <v>18</v>
      </c>
      <c r="N76" s="23" t="s">
        <v>40</v>
      </c>
      <c r="O76" s="23" t="s">
        <v>387</v>
      </c>
      <c r="P76" s="23" t="s">
        <v>40</v>
      </c>
      <c r="Q76" s="23" t="s">
        <v>40</v>
      </c>
      <c r="R76" s="23" t="s">
        <v>40</v>
      </c>
      <c r="S76" s="23" t="s">
        <v>40</v>
      </c>
      <c r="T76" s="23" t="s">
        <v>14757</v>
      </c>
    </row>
    <row r="77" spans="1:20" x14ac:dyDescent="0.25">
      <c r="A77" s="23" t="s">
        <v>14783</v>
      </c>
      <c r="B77" s="23" t="s">
        <v>14752</v>
      </c>
      <c r="C77" s="23" t="s">
        <v>14752</v>
      </c>
      <c r="D77" s="23" t="s">
        <v>14784</v>
      </c>
      <c r="E77" s="23" t="s">
        <v>589</v>
      </c>
      <c r="F77" s="23" t="s">
        <v>40</v>
      </c>
      <c r="G77" s="23" t="s">
        <v>14785</v>
      </c>
      <c r="H77" s="23" t="s">
        <v>14786</v>
      </c>
      <c r="I77" s="23" t="s">
        <v>14787</v>
      </c>
      <c r="J77" s="23" t="s">
        <v>403</v>
      </c>
      <c r="K77" s="32" t="s">
        <v>747</v>
      </c>
      <c r="L77" s="23" t="s">
        <v>490</v>
      </c>
      <c r="M77" s="25" t="s">
        <v>18</v>
      </c>
      <c r="N77" s="23" t="s">
        <v>40</v>
      </c>
      <c r="O77" s="23" t="s">
        <v>387</v>
      </c>
      <c r="P77" s="23" t="s">
        <v>40</v>
      </c>
      <c r="Q77" s="23" t="s">
        <v>40</v>
      </c>
      <c r="R77" s="23" t="s">
        <v>40</v>
      </c>
      <c r="S77" s="23" t="s">
        <v>40</v>
      </c>
      <c r="T77" s="23" t="s">
        <v>14757</v>
      </c>
    </row>
    <row r="78" spans="1:20" x14ac:dyDescent="0.25">
      <c r="A78" s="23" t="s">
        <v>14788</v>
      </c>
      <c r="B78" s="23" t="s">
        <v>14752</v>
      </c>
      <c r="C78" s="23" t="s">
        <v>14752</v>
      </c>
      <c r="D78" s="23" t="s">
        <v>14789</v>
      </c>
      <c r="E78" s="23" t="s">
        <v>589</v>
      </c>
      <c r="F78" s="23" t="s">
        <v>40</v>
      </c>
      <c r="G78" s="23" t="s">
        <v>14790</v>
      </c>
      <c r="H78" s="23" t="s">
        <v>14791</v>
      </c>
      <c r="I78" s="23" t="s">
        <v>14792</v>
      </c>
      <c r="J78" s="23" t="s">
        <v>403</v>
      </c>
      <c r="K78" s="32" t="s">
        <v>747</v>
      </c>
      <c r="L78" s="23" t="s">
        <v>490</v>
      </c>
      <c r="M78" s="25" t="s">
        <v>18</v>
      </c>
      <c r="N78" s="23" t="s">
        <v>40</v>
      </c>
      <c r="O78" s="23" t="s">
        <v>387</v>
      </c>
      <c r="P78" s="23" t="s">
        <v>40</v>
      </c>
      <c r="Q78" s="23" t="s">
        <v>40</v>
      </c>
      <c r="R78" s="23" t="s">
        <v>40</v>
      </c>
      <c r="S78" s="23" t="s">
        <v>40</v>
      </c>
      <c r="T78" s="23" t="s">
        <v>14757</v>
      </c>
    </row>
    <row r="79" spans="1:20" x14ac:dyDescent="0.25">
      <c r="A79" s="23" t="s">
        <v>14793</v>
      </c>
      <c r="B79" s="23" t="s">
        <v>14794</v>
      </c>
      <c r="C79" s="23" t="s">
        <v>14795</v>
      </c>
      <c r="D79" s="23" t="s">
        <v>14796</v>
      </c>
      <c r="E79" s="23" t="s">
        <v>589</v>
      </c>
      <c r="F79" s="23" t="s">
        <v>14797</v>
      </c>
      <c r="G79" s="23" t="s">
        <v>14798</v>
      </c>
      <c r="H79" s="23" t="s">
        <v>14799</v>
      </c>
      <c r="I79" s="23" t="s">
        <v>14800</v>
      </c>
      <c r="J79" s="23" t="s">
        <v>385</v>
      </c>
      <c r="K79" s="24" t="s">
        <v>386</v>
      </c>
      <c r="L79" s="23" t="s">
        <v>13</v>
      </c>
      <c r="M79" s="28" t="s">
        <v>16</v>
      </c>
      <c r="N79" s="23" t="s">
        <v>14801</v>
      </c>
      <c r="O79" s="29" t="s">
        <v>87</v>
      </c>
      <c r="P79" s="23" t="s">
        <v>40</v>
      </c>
      <c r="Q79" s="23" t="s">
        <v>40</v>
      </c>
      <c r="R79" s="23" t="s">
        <v>40</v>
      </c>
      <c r="S79" s="23" t="s">
        <v>40</v>
      </c>
      <c r="T79" s="23" t="s">
        <v>40</v>
      </c>
    </row>
    <row r="80" spans="1:20" x14ac:dyDescent="0.25">
      <c r="A80" s="23" t="s">
        <v>14802</v>
      </c>
      <c r="B80" s="23" t="s">
        <v>14794</v>
      </c>
      <c r="C80" s="23" t="s">
        <v>14795</v>
      </c>
      <c r="D80" s="23" t="s">
        <v>14803</v>
      </c>
      <c r="E80" s="23" t="s">
        <v>589</v>
      </c>
      <c r="F80" s="23" t="s">
        <v>14804</v>
      </c>
      <c r="G80" s="23" t="s">
        <v>14798</v>
      </c>
      <c r="H80" s="23" t="s">
        <v>14799</v>
      </c>
      <c r="I80" s="23" t="s">
        <v>14800</v>
      </c>
      <c r="J80" s="23" t="s">
        <v>385</v>
      </c>
      <c r="K80" s="24" t="s">
        <v>386</v>
      </c>
      <c r="L80" s="23" t="s">
        <v>13</v>
      </c>
      <c r="M80" s="25" t="s">
        <v>18</v>
      </c>
      <c r="N80" s="23" t="s">
        <v>40</v>
      </c>
      <c r="O80" s="23" t="s">
        <v>387</v>
      </c>
      <c r="P80" s="23" t="s">
        <v>40</v>
      </c>
      <c r="Q80" s="23" t="s">
        <v>40</v>
      </c>
      <c r="R80" s="23" t="s">
        <v>40</v>
      </c>
      <c r="S80" s="23" t="s">
        <v>40</v>
      </c>
      <c r="T80" s="23" t="s">
        <v>40</v>
      </c>
    </row>
    <row r="81" spans="1:20" x14ac:dyDescent="0.25">
      <c r="A81" s="23" t="s">
        <v>14805</v>
      </c>
      <c r="B81" s="23" t="s">
        <v>14794</v>
      </c>
      <c r="C81" s="23" t="s">
        <v>14795</v>
      </c>
      <c r="D81" s="23" t="s">
        <v>14806</v>
      </c>
      <c r="E81" s="23" t="s">
        <v>589</v>
      </c>
      <c r="F81" s="23" t="s">
        <v>14807</v>
      </c>
      <c r="G81" s="23" t="s">
        <v>14798</v>
      </c>
      <c r="H81" s="23" t="s">
        <v>14799</v>
      </c>
      <c r="I81" s="23" t="s">
        <v>14800</v>
      </c>
      <c r="J81" s="23" t="s">
        <v>385</v>
      </c>
      <c r="K81" s="27" t="s">
        <v>404</v>
      </c>
      <c r="L81" s="23" t="s">
        <v>405</v>
      </c>
      <c r="M81" s="25" t="s">
        <v>18</v>
      </c>
      <c r="N81" s="23" t="s">
        <v>40</v>
      </c>
      <c r="O81" s="23" t="s">
        <v>387</v>
      </c>
      <c r="P81" s="23" t="s">
        <v>40</v>
      </c>
      <c r="Q81" s="23" t="s">
        <v>40</v>
      </c>
      <c r="R81" s="23" t="s">
        <v>40</v>
      </c>
      <c r="S81" s="23" t="s">
        <v>40</v>
      </c>
      <c r="T81" s="23" t="s">
        <v>40</v>
      </c>
    </row>
    <row r="82" spans="1:20" x14ac:dyDescent="0.25">
      <c r="A82" s="23" t="s">
        <v>14808</v>
      </c>
      <c r="B82" s="23" t="s">
        <v>14794</v>
      </c>
      <c r="C82" s="23" t="s">
        <v>14795</v>
      </c>
      <c r="D82" s="23" t="s">
        <v>14809</v>
      </c>
      <c r="E82" s="23" t="s">
        <v>589</v>
      </c>
      <c r="F82" s="23" t="s">
        <v>14810</v>
      </c>
      <c r="G82" s="23" t="s">
        <v>14798</v>
      </c>
      <c r="H82" s="23" t="s">
        <v>14799</v>
      </c>
      <c r="I82" s="23" t="s">
        <v>14800</v>
      </c>
      <c r="J82" s="23" t="s">
        <v>385</v>
      </c>
      <c r="K82" s="32" t="s">
        <v>747</v>
      </c>
      <c r="L82" s="23" t="s">
        <v>490</v>
      </c>
      <c r="M82" s="25" t="s">
        <v>18</v>
      </c>
      <c r="N82" s="23" t="s">
        <v>40</v>
      </c>
      <c r="O82" s="23" t="s">
        <v>387</v>
      </c>
      <c r="P82" s="23" t="s">
        <v>40</v>
      </c>
      <c r="Q82" s="23" t="s">
        <v>40</v>
      </c>
      <c r="R82" s="23" t="s">
        <v>40</v>
      </c>
      <c r="S82" s="23" t="s">
        <v>40</v>
      </c>
      <c r="T82" s="23" t="s">
        <v>40</v>
      </c>
    </row>
    <row r="83" spans="1:20" x14ac:dyDescent="0.25">
      <c r="A83" s="23" t="s">
        <v>14811</v>
      </c>
      <c r="B83" s="23" t="s">
        <v>14794</v>
      </c>
      <c r="C83" s="23" t="s">
        <v>14795</v>
      </c>
      <c r="D83" s="23" t="s">
        <v>14812</v>
      </c>
      <c r="E83" s="23" t="s">
        <v>589</v>
      </c>
      <c r="F83" s="23" t="s">
        <v>12192</v>
      </c>
      <c r="G83" s="23" t="s">
        <v>14798</v>
      </c>
      <c r="H83" s="23" t="s">
        <v>14799</v>
      </c>
      <c r="I83" s="23" t="s">
        <v>14800</v>
      </c>
      <c r="J83" s="23" t="s">
        <v>385</v>
      </c>
      <c r="K83" s="27" t="s">
        <v>404</v>
      </c>
      <c r="L83" s="23" t="s">
        <v>405</v>
      </c>
      <c r="M83" s="25" t="s">
        <v>18</v>
      </c>
      <c r="N83" s="23" t="s">
        <v>40</v>
      </c>
      <c r="O83" s="23" t="s">
        <v>387</v>
      </c>
      <c r="P83" s="23" t="s">
        <v>40</v>
      </c>
      <c r="Q83" s="23" t="s">
        <v>40</v>
      </c>
      <c r="R83" s="23" t="s">
        <v>40</v>
      </c>
      <c r="S83" s="23" t="s">
        <v>40</v>
      </c>
      <c r="T83" s="23" t="s">
        <v>40</v>
      </c>
    </row>
    <row r="84" spans="1:20" x14ac:dyDescent="0.25">
      <c r="A84" s="23" t="s">
        <v>14813</v>
      </c>
      <c r="B84" s="23" t="s">
        <v>14794</v>
      </c>
      <c r="C84" s="23" t="s">
        <v>14795</v>
      </c>
      <c r="D84" s="23" t="s">
        <v>14814</v>
      </c>
      <c r="E84" s="23" t="s">
        <v>589</v>
      </c>
      <c r="F84" s="23" t="s">
        <v>14815</v>
      </c>
      <c r="G84" s="23" t="s">
        <v>14798</v>
      </c>
      <c r="H84" s="23" t="s">
        <v>14799</v>
      </c>
      <c r="I84" s="23" t="s">
        <v>14800</v>
      </c>
      <c r="J84" s="23" t="s">
        <v>385</v>
      </c>
      <c r="K84" s="32" t="s">
        <v>747</v>
      </c>
      <c r="L84" s="23" t="s">
        <v>490</v>
      </c>
      <c r="M84" s="25" t="s">
        <v>18</v>
      </c>
      <c r="N84" s="23" t="s">
        <v>40</v>
      </c>
      <c r="O84" s="23" t="s">
        <v>387</v>
      </c>
      <c r="P84" s="23" t="s">
        <v>40</v>
      </c>
      <c r="Q84" s="23" t="s">
        <v>40</v>
      </c>
      <c r="R84" s="23" t="s">
        <v>40</v>
      </c>
      <c r="S84" s="23" t="s">
        <v>40</v>
      </c>
      <c r="T84" s="23" t="s">
        <v>40</v>
      </c>
    </row>
    <row r="85" spans="1:20" x14ac:dyDescent="0.25">
      <c r="A85" s="23" t="s">
        <v>14816</v>
      </c>
      <c r="B85" s="23" t="s">
        <v>14794</v>
      </c>
      <c r="C85" s="23" t="s">
        <v>14795</v>
      </c>
      <c r="D85" s="23" t="s">
        <v>14817</v>
      </c>
      <c r="E85" s="23" t="s">
        <v>589</v>
      </c>
      <c r="F85" s="23" t="s">
        <v>14818</v>
      </c>
      <c r="G85" s="23" t="s">
        <v>14798</v>
      </c>
      <c r="H85" s="23" t="s">
        <v>14799</v>
      </c>
      <c r="I85" s="23" t="s">
        <v>14800</v>
      </c>
      <c r="J85" s="23" t="s">
        <v>385</v>
      </c>
      <c r="K85" s="32" t="s">
        <v>747</v>
      </c>
      <c r="L85" s="23" t="s">
        <v>490</v>
      </c>
      <c r="M85" s="25" t="s">
        <v>18</v>
      </c>
      <c r="N85" s="23" t="s">
        <v>40</v>
      </c>
      <c r="O85" s="23" t="s">
        <v>387</v>
      </c>
      <c r="P85" s="23" t="s">
        <v>40</v>
      </c>
      <c r="Q85" s="23" t="s">
        <v>40</v>
      </c>
      <c r="R85" s="23" t="s">
        <v>40</v>
      </c>
      <c r="S85" s="23" t="s">
        <v>40</v>
      </c>
      <c r="T85" s="23" t="s">
        <v>40</v>
      </c>
    </row>
    <row r="86" spans="1:20" x14ac:dyDescent="0.25">
      <c r="A86" s="23" t="s">
        <v>14819</v>
      </c>
      <c r="B86" s="23" t="s">
        <v>14820</v>
      </c>
      <c r="C86" s="23" t="s">
        <v>14821</v>
      </c>
      <c r="D86" s="23" t="s">
        <v>14822</v>
      </c>
      <c r="E86" s="23" t="s">
        <v>589</v>
      </c>
      <c r="F86" s="23" t="s">
        <v>40</v>
      </c>
      <c r="G86" s="23" t="s">
        <v>14823</v>
      </c>
      <c r="H86" s="23" t="s">
        <v>14824</v>
      </c>
      <c r="I86" s="23" t="s">
        <v>14825</v>
      </c>
      <c r="J86" s="23" t="s">
        <v>434</v>
      </c>
      <c r="K86" s="24" t="s">
        <v>386</v>
      </c>
      <c r="L86" s="23" t="s">
        <v>13</v>
      </c>
      <c r="M86" s="25" t="s">
        <v>18</v>
      </c>
      <c r="N86" s="23" t="s">
        <v>40</v>
      </c>
      <c r="O86" s="23" t="s">
        <v>387</v>
      </c>
      <c r="P86" s="23" t="s">
        <v>40</v>
      </c>
      <c r="Q86" s="23" t="s">
        <v>40</v>
      </c>
      <c r="R86" s="23" t="s">
        <v>40</v>
      </c>
      <c r="S86" s="23" t="s">
        <v>40</v>
      </c>
      <c r="T86" s="23" t="s">
        <v>40</v>
      </c>
    </row>
    <row r="87" spans="1:20" x14ac:dyDescent="0.25">
      <c r="A87" s="23" t="s">
        <v>14826</v>
      </c>
      <c r="B87" s="23" t="s">
        <v>14820</v>
      </c>
      <c r="C87" s="23" t="s">
        <v>14821</v>
      </c>
      <c r="D87" s="23" t="s">
        <v>14827</v>
      </c>
      <c r="E87" s="23" t="s">
        <v>589</v>
      </c>
      <c r="F87" s="23" t="s">
        <v>40</v>
      </c>
      <c r="G87" s="23" t="s">
        <v>14828</v>
      </c>
      <c r="H87" s="23" t="s">
        <v>14829</v>
      </c>
      <c r="I87" s="23" t="s">
        <v>14830</v>
      </c>
      <c r="J87" s="23" t="s">
        <v>434</v>
      </c>
      <c r="K87" s="24" t="s">
        <v>386</v>
      </c>
      <c r="L87" s="23" t="s">
        <v>13</v>
      </c>
      <c r="M87" s="25" t="s">
        <v>18</v>
      </c>
      <c r="N87" s="23" t="s">
        <v>40</v>
      </c>
      <c r="O87" s="23" t="s">
        <v>387</v>
      </c>
      <c r="P87" s="23" t="s">
        <v>40</v>
      </c>
      <c r="Q87" s="23" t="s">
        <v>40</v>
      </c>
      <c r="R87" s="23" t="s">
        <v>40</v>
      </c>
      <c r="S87" s="23" t="s">
        <v>40</v>
      </c>
      <c r="T87" s="23" t="s">
        <v>40</v>
      </c>
    </row>
    <row r="88" spans="1:20" x14ac:dyDescent="0.25">
      <c r="A88" s="23" t="s">
        <v>14831</v>
      </c>
      <c r="B88" s="23" t="s">
        <v>14820</v>
      </c>
      <c r="C88" s="23" t="s">
        <v>14821</v>
      </c>
      <c r="D88" s="23" t="s">
        <v>14832</v>
      </c>
      <c r="E88" s="23" t="s">
        <v>589</v>
      </c>
      <c r="F88" s="23" t="s">
        <v>40</v>
      </c>
      <c r="G88" s="23" t="s">
        <v>14833</v>
      </c>
      <c r="H88" s="23" t="s">
        <v>14834</v>
      </c>
      <c r="I88" s="23" t="s">
        <v>14835</v>
      </c>
      <c r="J88" s="23" t="s">
        <v>434</v>
      </c>
      <c r="K88" s="27" t="s">
        <v>404</v>
      </c>
      <c r="L88" s="23" t="s">
        <v>405</v>
      </c>
      <c r="M88" s="25" t="s">
        <v>18</v>
      </c>
      <c r="N88" s="23" t="s">
        <v>40</v>
      </c>
      <c r="O88" s="23" t="s">
        <v>387</v>
      </c>
      <c r="P88" s="23" t="s">
        <v>40</v>
      </c>
      <c r="Q88" s="23" t="s">
        <v>40</v>
      </c>
      <c r="R88" s="23" t="s">
        <v>40</v>
      </c>
      <c r="S88" s="23" t="s">
        <v>40</v>
      </c>
      <c r="T88" s="23" t="s">
        <v>40</v>
      </c>
    </row>
    <row r="89" spans="1:20" x14ac:dyDescent="0.25">
      <c r="A89" s="23" t="s">
        <v>14836</v>
      </c>
      <c r="B89" s="23" t="s">
        <v>14820</v>
      </c>
      <c r="C89" s="23" t="s">
        <v>14821</v>
      </c>
      <c r="D89" s="23" t="s">
        <v>14837</v>
      </c>
      <c r="E89" s="23" t="s">
        <v>589</v>
      </c>
      <c r="F89" s="23" t="s">
        <v>40</v>
      </c>
      <c r="G89" s="23" t="s">
        <v>14838</v>
      </c>
      <c r="H89" s="23" t="s">
        <v>14839</v>
      </c>
      <c r="I89" s="23" t="s">
        <v>14840</v>
      </c>
      <c r="J89" s="23" t="s">
        <v>434</v>
      </c>
      <c r="K89" s="27" t="s">
        <v>404</v>
      </c>
      <c r="L89" s="23" t="s">
        <v>490</v>
      </c>
      <c r="M89" s="25" t="s">
        <v>18</v>
      </c>
      <c r="N89" s="23" t="s">
        <v>40</v>
      </c>
      <c r="O89" s="23" t="s">
        <v>387</v>
      </c>
      <c r="P89" s="23" t="s">
        <v>40</v>
      </c>
      <c r="Q89" s="23" t="s">
        <v>40</v>
      </c>
      <c r="R89" s="23" t="s">
        <v>40</v>
      </c>
      <c r="S89" s="23" t="s">
        <v>40</v>
      </c>
      <c r="T89" s="23" t="s">
        <v>40</v>
      </c>
    </row>
    <row r="90" spans="1:20" x14ac:dyDescent="0.25">
      <c r="A90" s="23" t="s">
        <v>14841</v>
      </c>
      <c r="B90" s="23" t="s">
        <v>14820</v>
      </c>
      <c r="C90" s="23" t="s">
        <v>14821</v>
      </c>
      <c r="D90" s="23" t="s">
        <v>14842</v>
      </c>
      <c r="E90" s="23" t="s">
        <v>14843</v>
      </c>
      <c r="F90" s="23" t="s">
        <v>40</v>
      </c>
      <c r="G90" s="23" t="s">
        <v>14844</v>
      </c>
      <c r="H90" s="23" t="s">
        <v>14845</v>
      </c>
      <c r="I90" s="23" t="s">
        <v>14846</v>
      </c>
      <c r="J90" s="23" t="s">
        <v>434</v>
      </c>
      <c r="K90" s="27" t="s">
        <v>404</v>
      </c>
      <c r="L90" s="23" t="s">
        <v>405</v>
      </c>
      <c r="M90" s="25" t="s">
        <v>18</v>
      </c>
      <c r="N90" s="23" t="s">
        <v>40</v>
      </c>
      <c r="O90" s="23" t="s">
        <v>387</v>
      </c>
      <c r="P90" s="23" t="s">
        <v>40</v>
      </c>
      <c r="Q90" s="23" t="s">
        <v>40</v>
      </c>
      <c r="R90" s="23" t="s">
        <v>40</v>
      </c>
      <c r="S90" s="23" t="s">
        <v>40</v>
      </c>
      <c r="T90" s="23" t="s">
        <v>14847</v>
      </c>
    </row>
    <row r="91" spans="1:20" x14ac:dyDescent="0.25">
      <c r="A91" s="23" t="s">
        <v>14848</v>
      </c>
      <c r="B91" s="23" t="s">
        <v>14820</v>
      </c>
      <c r="C91" s="23" t="s">
        <v>14821</v>
      </c>
      <c r="D91" s="23" t="s">
        <v>14849</v>
      </c>
      <c r="E91" s="23" t="s">
        <v>14850</v>
      </c>
      <c r="F91" s="23" t="s">
        <v>40</v>
      </c>
      <c r="G91" s="23" t="s">
        <v>14851</v>
      </c>
      <c r="H91" s="23" t="s">
        <v>14852</v>
      </c>
      <c r="I91" s="23" t="s">
        <v>14853</v>
      </c>
      <c r="J91" s="23" t="s">
        <v>434</v>
      </c>
      <c r="K91" s="27" t="s">
        <v>404</v>
      </c>
      <c r="L91" s="23" t="s">
        <v>405</v>
      </c>
      <c r="M91" s="25" t="s">
        <v>18</v>
      </c>
      <c r="N91" s="23" t="s">
        <v>40</v>
      </c>
      <c r="O91" s="23" t="s">
        <v>387</v>
      </c>
      <c r="P91" s="23" t="s">
        <v>40</v>
      </c>
      <c r="Q91" s="23" t="s">
        <v>40</v>
      </c>
      <c r="R91" s="23" t="s">
        <v>40</v>
      </c>
      <c r="S91" s="23" t="s">
        <v>40</v>
      </c>
      <c r="T91" s="23" t="s">
        <v>14854</v>
      </c>
    </row>
    <row r="92" spans="1:20" x14ac:dyDescent="0.25">
      <c r="A92" s="23" t="s">
        <v>14855</v>
      </c>
      <c r="B92" s="23" t="s">
        <v>14856</v>
      </c>
      <c r="C92" s="23" t="s">
        <v>10919</v>
      </c>
      <c r="D92" s="23" t="s">
        <v>14857</v>
      </c>
      <c r="E92" s="23" t="s">
        <v>589</v>
      </c>
      <c r="F92" s="23" t="s">
        <v>40</v>
      </c>
      <c r="G92" s="23" t="s">
        <v>14858</v>
      </c>
      <c r="H92" s="23" t="s">
        <v>14859</v>
      </c>
      <c r="I92" s="23" t="s">
        <v>14860</v>
      </c>
      <c r="J92" s="23" t="s">
        <v>395</v>
      </c>
      <c r="K92" s="26" t="s">
        <v>396</v>
      </c>
      <c r="L92" s="23" t="s">
        <v>13</v>
      </c>
      <c r="M92" s="25" t="s">
        <v>18</v>
      </c>
      <c r="N92" s="23" t="s">
        <v>40</v>
      </c>
      <c r="O92" s="23" t="s">
        <v>387</v>
      </c>
      <c r="P92" s="23" t="s">
        <v>40</v>
      </c>
      <c r="Q92" s="23" t="s">
        <v>40</v>
      </c>
      <c r="R92" s="23" t="s">
        <v>40</v>
      </c>
      <c r="S92" s="23" t="s">
        <v>40</v>
      </c>
      <c r="T92" s="23" t="s">
        <v>14861</v>
      </c>
    </row>
    <row r="93" spans="1:20" x14ac:dyDescent="0.25">
      <c r="A93" s="23" t="s">
        <v>14862</v>
      </c>
      <c r="B93" s="23" t="s">
        <v>14856</v>
      </c>
      <c r="C93" s="23" t="s">
        <v>10919</v>
      </c>
      <c r="D93" s="23" t="s">
        <v>14863</v>
      </c>
      <c r="E93" s="23" t="s">
        <v>589</v>
      </c>
      <c r="F93" s="23" t="s">
        <v>40</v>
      </c>
      <c r="G93" s="23" t="s">
        <v>14864</v>
      </c>
      <c r="H93" s="23" t="s">
        <v>14865</v>
      </c>
      <c r="I93" s="23" t="s">
        <v>14866</v>
      </c>
      <c r="J93" s="23" t="s">
        <v>395</v>
      </c>
      <c r="K93" s="26" t="s">
        <v>396</v>
      </c>
      <c r="L93" s="23" t="s">
        <v>13</v>
      </c>
      <c r="M93" s="25" t="s">
        <v>18</v>
      </c>
      <c r="N93" s="23" t="s">
        <v>40</v>
      </c>
      <c r="O93" s="23" t="s">
        <v>387</v>
      </c>
      <c r="P93" s="23" t="s">
        <v>40</v>
      </c>
      <c r="Q93" s="23" t="s">
        <v>40</v>
      </c>
      <c r="R93" s="23" t="s">
        <v>40</v>
      </c>
      <c r="S93" s="23" t="s">
        <v>40</v>
      </c>
      <c r="T93" s="23" t="s">
        <v>14867</v>
      </c>
    </row>
    <row r="94" spans="1:20" x14ac:dyDescent="0.25">
      <c r="A94" s="23" t="s">
        <v>14868</v>
      </c>
      <c r="B94" s="23" t="s">
        <v>14856</v>
      </c>
      <c r="C94" s="23" t="s">
        <v>10919</v>
      </c>
      <c r="D94" s="23" t="s">
        <v>14869</v>
      </c>
      <c r="E94" s="23" t="s">
        <v>14870</v>
      </c>
      <c r="F94" s="23" t="s">
        <v>40</v>
      </c>
      <c r="G94" s="23" t="s">
        <v>14871</v>
      </c>
      <c r="H94" s="23" t="s">
        <v>14872</v>
      </c>
      <c r="I94" s="23" t="s">
        <v>14873</v>
      </c>
      <c r="J94" s="23" t="s">
        <v>395</v>
      </c>
      <c r="K94" s="26" t="s">
        <v>396</v>
      </c>
      <c r="L94" s="23" t="s">
        <v>13</v>
      </c>
      <c r="M94" s="25" t="s">
        <v>18</v>
      </c>
      <c r="N94" s="23" t="s">
        <v>40</v>
      </c>
      <c r="O94" s="23" t="s">
        <v>387</v>
      </c>
      <c r="P94" s="23" t="s">
        <v>40</v>
      </c>
      <c r="Q94" s="23" t="s">
        <v>40</v>
      </c>
      <c r="R94" s="23" t="s">
        <v>40</v>
      </c>
      <c r="S94" s="23" t="s">
        <v>40</v>
      </c>
      <c r="T94" s="23" t="s">
        <v>14299</v>
      </c>
    </row>
    <row r="95" spans="1:20" x14ac:dyDescent="0.25">
      <c r="A95" s="23" t="s">
        <v>14874</v>
      </c>
      <c r="B95" s="23" t="s">
        <v>14856</v>
      </c>
      <c r="C95" s="23" t="s">
        <v>10937</v>
      </c>
      <c r="D95" s="23" t="s">
        <v>14875</v>
      </c>
      <c r="E95" s="23" t="s">
        <v>589</v>
      </c>
      <c r="F95" s="23" t="s">
        <v>40</v>
      </c>
      <c r="G95" s="23" t="s">
        <v>14876</v>
      </c>
      <c r="H95" s="23" t="s">
        <v>14877</v>
      </c>
      <c r="I95" s="23" t="s">
        <v>14878</v>
      </c>
      <c r="J95" s="23" t="s">
        <v>395</v>
      </c>
      <c r="K95" s="24" t="s">
        <v>386</v>
      </c>
      <c r="L95" s="23" t="s">
        <v>405</v>
      </c>
      <c r="M95" s="25" t="s">
        <v>18</v>
      </c>
      <c r="N95" s="23" t="s">
        <v>40</v>
      </c>
      <c r="O95" s="23" t="s">
        <v>387</v>
      </c>
      <c r="P95" s="23" t="s">
        <v>40</v>
      </c>
      <c r="Q95" s="23" t="s">
        <v>40</v>
      </c>
      <c r="R95" s="23" t="s">
        <v>40</v>
      </c>
      <c r="S95" s="23" t="s">
        <v>40</v>
      </c>
      <c r="T95" s="23" t="s">
        <v>14879</v>
      </c>
    </row>
    <row r="96" spans="1:20" x14ac:dyDescent="0.25">
      <c r="A96" s="23" t="s">
        <v>14880</v>
      </c>
      <c r="B96" s="23" t="s">
        <v>14856</v>
      </c>
      <c r="C96" s="23" t="s">
        <v>10937</v>
      </c>
      <c r="D96" s="23" t="s">
        <v>14881</v>
      </c>
      <c r="E96" s="23" t="s">
        <v>589</v>
      </c>
      <c r="F96" s="23" t="s">
        <v>40</v>
      </c>
      <c r="G96" s="23" t="s">
        <v>14882</v>
      </c>
      <c r="H96" s="23" t="s">
        <v>14883</v>
      </c>
      <c r="I96" s="23" t="s">
        <v>14884</v>
      </c>
      <c r="J96" s="23" t="s">
        <v>395</v>
      </c>
      <c r="K96" s="26" t="s">
        <v>396</v>
      </c>
      <c r="L96" s="23" t="s">
        <v>13</v>
      </c>
      <c r="M96" s="25" t="s">
        <v>18</v>
      </c>
      <c r="N96" s="23" t="s">
        <v>40</v>
      </c>
      <c r="O96" s="23" t="s">
        <v>387</v>
      </c>
      <c r="P96" s="23" t="s">
        <v>40</v>
      </c>
      <c r="Q96" s="23" t="s">
        <v>40</v>
      </c>
      <c r="R96" s="23" t="s">
        <v>40</v>
      </c>
      <c r="S96" s="23" t="s">
        <v>40</v>
      </c>
      <c r="T96" s="23" t="s">
        <v>40</v>
      </c>
    </row>
    <row r="97" spans="1:20" x14ac:dyDescent="0.25">
      <c r="A97" s="23" t="s">
        <v>14885</v>
      </c>
      <c r="B97" s="23" t="s">
        <v>14856</v>
      </c>
      <c r="C97" s="23" t="s">
        <v>10937</v>
      </c>
      <c r="D97" s="23" t="s">
        <v>14886</v>
      </c>
      <c r="E97" s="23" t="s">
        <v>589</v>
      </c>
      <c r="F97" s="23" t="s">
        <v>40</v>
      </c>
      <c r="G97" s="23" t="s">
        <v>14887</v>
      </c>
      <c r="H97" s="23" t="s">
        <v>14888</v>
      </c>
      <c r="I97" s="23" t="s">
        <v>14889</v>
      </c>
      <c r="J97" s="23" t="s">
        <v>395</v>
      </c>
      <c r="K97" s="26" t="s">
        <v>396</v>
      </c>
      <c r="L97" s="23" t="s">
        <v>13</v>
      </c>
      <c r="M97" s="25" t="s">
        <v>18</v>
      </c>
      <c r="N97" s="23" t="s">
        <v>40</v>
      </c>
      <c r="O97" s="23" t="s">
        <v>387</v>
      </c>
      <c r="P97" s="23" t="s">
        <v>40</v>
      </c>
      <c r="Q97" s="23" t="s">
        <v>40</v>
      </c>
      <c r="R97" s="23" t="s">
        <v>40</v>
      </c>
      <c r="S97" s="23" t="s">
        <v>40</v>
      </c>
      <c r="T97" s="23" t="s">
        <v>14890</v>
      </c>
    </row>
    <row r="98" spans="1:20" x14ac:dyDescent="0.25">
      <c r="A98" s="23" t="s">
        <v>14891</v>
      </c>
      <c r="B98" s="23" t="s">
        <v>14856</v>
      </c>
      <c r="C98" s="23" t="s">
        <v>10937</v>
      </c>
      <c r="D98" s="23" t="s">
        <v>14892</v>
      </c>
      <c r="E98" s="23" t="s">
        <v>589</v>
      </c>
      <c r="F98" s="23" t="s">
        <v>40</v>
      </c>
      <c r="G98" s="23" t="s">
        <v>14893</v>
      </c>
      <c r="H98" s="23" t="s">
        <v>14894</v>
      </c>
      <c r="I98" s="23" t="s">
        <v>14895</v>
      </c>
      <c r="J98" s="23" t="s">
        <v>395</v>
      </c>
      <c r="K98" s="24" t="s">
        <v>386</v>
      </c>
      <c r="L98" s="23" t="s">
        <v>405</v>
      </c>
      <c r="M98" s="25" t="s">
        <v>18</v>
      </c>
      <c r="N98" s="23" t="s">
        <v>40</v>
      </c>
      <c r="O98" s="23" t="s">
        <v>387</v>
      </c>
      <c r="P98" s="23" t="s">
        <v>40</v>
      </c>
      <c r="Q98" s="23" t="s">
        <v>40</v>
      </c>
      <c r="R98" s="23" t="s">
        <v>40</v>
      </c>
      <c r="S98" s="23" t="s">
        <v>40</v>
      </c>
      <c r="T98" s="23" t="s">
        <v>14896</v>
      </c>
    </row>
    <row r="99" spans="1:20" x14ac:dyDescent="0.25">
      <c r="A99" s="23" t="s">
        <v>14897</v>
      </c>
      <c r="B99" s="23" t="s">
        <v>14898</v>
      </c>
      <c r="C99" s="23" t="s">
        <v>14898</v>
      </c>
      <c r="D99" s="23" t="s">
        <v>14899</v>
      </c>
      <c r="E99" s="23" t="s">
        <v>589</v>
      </c>
      <c r="F99" s="23" t="s">
        <v>40</v>
      </c>
      <c r="G99" s="23" t="s">
        <v>14900</v>
      </c>
      <c r="H99" s="23" t="s">
        <v>14901</v>
      </c>
      <c r="I99" s="23" t="s">
        <v>14902</v>
      </c>
      <c r="J99" s="23" t="s">
        <v>385</v>
      </c>
      <c r="K99" s="27" t="s">
        <v>404</v>
      </c>
      <c r="L99" s="23" t="s">
        <v>405</v>
      </c>
      <c r="M99" s="25" t="s">
        <v>18</v>
      </c>
      <c r="N99" s="23" t="s">
        <v>40</v>
      </c>
      <c r="O99" s="23" t="s">
        <v>387</v>
      </c>
      <c r="P99" s="23" t="s">
        <v>40</v>
      </c>
      <c r="Q99" s="23" t="s">
        <v>40</v>
      </c>
      <c r="R99" s="23" t="s">
        <v>40</v>
      </c>
      <c r="S99" s="23" t="s">
        <v>40</v>
      </c>
      <c r="T99" s="23" t="s">
        <v>40</v>
      </c>
    </row>
    <row r="100" spans="1:20" x14ac:dyDescent="0.25">
      <c r="A100" s="23" t="s">
        <v>14903</v>
      </c>
      <c r="B100" s="23" t="s">
        <v>14898</v>
      </c>
      <c r="C100" s="23" t="s">
        <v>14898</v>
      </c>
      <c r="D100" s="23" t="s">
        <v>14904</v>
      </c>
      <c r="E100" s="23" t="s">
        <v>589</v>
      </c>
      <c r="F100" s="23" t="s">
        <v>40</v>
      </c>
      <c r="G100" s="23" t="s">
        <v>14905</v>
      </c>
      <c r="H100" s="23" t="s">
        <v>14906</v>
      </c>
      <c r="I100" s="23" t="s">
        <v>14907</v>
      </c>
      <c r="J100" s="23" t="s">
        <v>385</v>
      </c>
      <c r="K100" s="24" t="s">
        <v>386</v>
      </c>
      <c r="L100" s="23" t="s">
        <v>13</v>
      </c>
      <c r="M100" s="25" t="s">
        <v>18</v>
      </c>
      <c r="N100" s="23" t="s">
        <v>40</v>
      </c>
      <c r="O100" s="23" t="s">
        <v>387</v>
      </c>
      <c r="P100" s="23" t="s">
        <v>40</v>
      </c>
      <c r="Q100" s="23" t="s">
        <v>40</v>
      </c>
      <c r="R100" s="23" t="s">
        <v>40</v>
      </c>
      <c r="S100" s="23" t="s">
        <v>14908</v>
      </c>
      <c r="T100" s="23" t="s">
        <v>40</v>
      </c>
    </row>
    <row r="101" spans="1:20" x14ac:dyDescent="0.25">
      <c r="A101" s="23" t="s">
        <v>14909</v>
      </c>
      <c r="B101" s="23" t="s">
        <v>14898</v>
      </c>
      <c r="C101" s="23" t="s">
        <v>14898</v>
      </c>
      <c r="D101" s="23" t="s">
        <v>14910</v>
      </c>
      <c r="E101" s="23" t="s">
        <v>589</v>
      </c>
      <c r="F101" s="23" t="s">
        <v>40</v>
      </c>
      <c r="G101" s="23" t="s">
        <v>14911</v>
      </c>
      <c r="H101" s="23" t="s">
        <v>14912</v>
      </c>
      <c r="I101" s="23" t="s">
        <v>14913</v>
      </c>
      <c r="J101" s="23" t="s">
        <v>385</v>
      </c>
      <c r="K101" s="27" t="s">
        <v>404</v>
      </c>
      <c r="L101" s="23" t="s">
        <v>405</v>
      </c>
      <c r="M101" s="25" t="s">
        <v>18</v>
      </c>
      <c r="N101" s="23" t="s">
        <v>40</v>
      </c>
      <c r="O101" s="23" t="s">
        <v>387</v>
      </c>
      <c r="P101" s="23" t="s">
        <v>40</v>
      </c>
      <c r="Q101" s="23" t="s">
        <v>40</v>
      </c>
      <c r="R101" s="23" t="s">
        <v>40</v>
      </c>
      <c r="S101" s="23" t="s">
        <v>40</v>
      </c>
      <c r="T101" s="23" t="s">
        <v>40</v>
      </c>
    </row>
    <row r="102" spans="1:20" x14ac:dyDescent="0.25">
      <c r="A102" s="23" t="s">
        <v>14914</v>
      </c>
      <c r="B102" s="23" t="s">
        <v>14898</v>
      </c>
      <c r="C102" s="23" t="s">
        <v>14898</v>
      </c>
      <c r="D102" s="23" t="s">
        <v>14915</v>
      </c>
      <c r="E102" s="23" t="s">
        <v>589</v>
      </c>
      <c r="F102" s="23" t="s">
        <v>40</v>
      </c>
      <c r="G102" s="23" t="s">
        <v>14916</v>
      </c>
      <c r="H102" s="23" t="s">
        <v>14917</v>
      </c>
      <c r="I102" s="23" t="s">
        <v>14918</v>
      </c>
      <c r="J102" s="23" t="s">
        <v>385</v>
      </c>
      <c r="K102" s="27" t="s">
        <v>404</v>
      </c>
      <c r="L102" s="23" t="s">
        <v>405</v>
      </c>
      <c r="M102" s="25" t="s">
        <v>18</v>
      </c>
      <c r="N102" s="23" t="s">
        <v>40</v>
      </c>
      <c r="O102" s="23" t="s">
        <v>387</v>
      </c>
      <c r="P102" s="23" t="s">
        <v>40</v>
      </c>
      <c r="Q102" s="23" t="s">
        <v>40</v>
      </c>
      <c r="R102" s="23" t="s">
        <v>40</v>
      </c>
      <c r="S102" s="23" t="s">
        <v>40</v>
      </c>
      <c r="T102" s="23" t="s">
        <v>40</v>
      </c>
    </row>
    <row r="103" spans="1:20" x14ac:dyDescent="0.25">
      <c r="A103" s="23" t="s">
        <v>14919</v>
      </c>
      <c r="B103" s="23" t="s">
        <v>14898</v>
      </c>
      <c r="C103" s="23" t="s">
        <v>14898</v>
      </c>
      <c r="D103" s="23" t="s">
        <v>14920</v>
      </c>
      <c r="E103" s="23" t="s">
        <v>589</v>
      </c>
      <c r="F103" s="23" t="s">
        <v>40</v>
      </c>
      <c r="G103" s="23" t="s">
        <v>14921</v>
      </c>
      <c r="H103" s="23" t="s">
        <v>14922</v>
      </c>
      <c r="I103" s="23" t="s">
        <v>14923</v>
      </c>
      <c r="J103" s="23" t="s">
        <v>385</v>
      </c>
      <c r="K103" s="27" t="s">
        <v>404</v>
      </c>
      <c r="L103" s="23" t="s">
        <v>405</v>
      </c>
      <c r="M103" s="25" t="s">
        <v>18</v>
      </c>
      <c r="N103" s="23" t="s">
        <v>40</v>
      </c>
      <c r="O103" s="23" t="s">
        <v>387</v>
      </c>
      <c r="P103" s="23" t="s">
        <v>40</v>
      </c>
      <c r="Q103" s="23" t="s">
        <v>40</v>
      </c>
      <c r="R103" s="23" t="s">
        <v>40</v>
      </c>
      <c r="S103" s="23" t="s">
        <v>40</v>
      </c>
      <c r="T103" s="23" t="s">
        <v>40</v>
      </c>
    </row>
    <row r="104" spans="1:20" x14ac:dyDescent="0.25">
      <c r="A104" s="23" t="s">
        <v>14924</v>
      </c>
      <c r="B104" s="23" t="s">
        <v>14898</v>
      </c>
      <c r="C104" s="23" t="s">
        <v>14898</v>
      </c>
      <c r="D104" s="23" t="s">
        <v>14925</v>
      </c>
      <c r="E104" s="23" t="s">
        <v>589</v>
      </c>
      <c r="F104" s="23" t="s">
        <v>40</v>
      </c>
      <c r="G104" s="23" t="s">
        <v>14926</v>
      </c>
      <c r="H104" s="23" t="s">
        <v>14927</v>
      </c>
      <c r="I104" s="23" t="s">
        <v>14928</v>
      </c>
      <c r="J104" s="23" t="s">
        <v>385</v>
      </c>
      <c r="K104" s="32" t="s">
        <v>747</v>
      </c>
      <c r="L104" s="23" t="s">
        <v>490</v>
      </c>
      <c r="M104" s="25" t="s">
        <v>18</v>
      </c>
      <c r="N104" s="23" t="s">
        <v>40</v>
      </c>
      <c r="O104" s="23" t="s">
        <v>387</v>
      </c>
      <c r="P104" s="23" t="s">
        <v>40</v>
      </c>
      <c r="Q104" s="23" t="s">
        <v>40</v>
      </c>
      <c r="R104" s="23" t="s">
        <v>40</v>
      </c>
      <c r="S104" s="23" t="s">
        <v>40</v>
      </c>
      <c r="T104" s="23" t="s">
        <v>40</v>
      </c>
    </row>
  </sheetData>
  <autoFilter ref="A1:T104"/>
  <dataValidations count="2">
    <dataValidation type="list" allowBlank="1" sqref="O10:O104">
      <formula1>"Passed,Failed,Blocked,Not Executed,Passed (19 Oct 2026)"</formula1>
    </dataValidation>
    <dataValidation type="list" allowBlank="1" sqref="O2:O104">
      <formula1>"Passed,Failed,Blocked,Not Executed,Passed (19 Oct 2026)"</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Legend &amp; How To Use</vt:lpstr>
      <vt:lpstr>Page Coverage</vt:lpstr>
      <vt:lpstr>Login &amp; Navigation</vt:lpstr>
      <vt:lpstr>Core HR</vt:lpstr>
      <vt:lpstr>Recruitment</vt:lpstr>
      <vt:lpstr>Referral</vt:lpstr>
      <vt:lpstr>Onboarding &amp; Probation</vt:lpstr>
      <vt:lpstr>Attendance</vt:lpstr>
      <vt:lpstr>Leave</vt:lpstr>
      <vt:lpstr>Payroll</vt:lpstr>
      <vt:lpstr>Resignation &amp; Exit</vt:lpstr>
      <vt:lpstr>My Workspace (ESS)</vt:lpstr>
      <vt:lpstr>Helpdesk</vt:lpstr>
      <vt:lpstr>Cross-Module E2E</vt:lpstr>
      <vt:lpstr>Non-Functional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HRMS QA</dc:creator>
  <dc:title/>
  <dc:subject/>
  <dc:description/>
  <cp:keywords/>
  <cp:category/>
  <cp:lastModifiedBy>Unknown</cp:lastModifiedBy>
  <dcterms:created xsi:type="dcterms:W3CDTF">2026-10-20T14:15:41Z</dcterms:created>
  <dcterms:modified xsi:type="dcterms:W3CDTF">2026-10-20T14:15:41Z</dcterms:modified>
</cp:coreProperties>
</file>