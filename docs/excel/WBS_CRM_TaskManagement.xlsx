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 Tracker" sheetId="1" state="visible" r:id="rId1"/>
    <sheet xmlns:r="http://schemas.openxmlformats.org/officeDocument/2006/relationships" name="Daily Hours Log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  <font>
      <b val="1"/>
      <color rgb="009C650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0" pivotButton="0" quotePrefix="0" xfId="0"/>
    <xf numFmtId="164" fontId="2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WBS" displayName="WBS" ref="A1:L51" headerRowCount="1">
  <autoFilter ref="A1:L51"/>
  <tableColumns count="12">
    <tableColumn id="1" name="Project"/>
    <tableColumn id="2" name="Module"/>
    <tableColumn id="3" name="Sub-Module"/>
    <tableColumn id="4" name="Page / Functionality Check"/>
    <tableColumn id="5" name="Scope of Check"/>
    <tableColumn id="6" name="Estimation Rationale"/>
    <tableColumn id="7" name="Estimated Hours"/>
    <tableColumn id="8" name="Actual Hours"/>
    <tableColumn id="9" name="Date Worked"/>
    <tableColumn id="10" name="Status"/>
    <tableColumn id="11" name="Variance (h)"/>
    <tableColumn id="12" name="Remarks"/>
  </tableColumns>
  <tableStyleInfo name="TableStyleMedium2" showRowStripes="1"/>
</table>
</file>

<file path=xl/tables/table2.xml><?xml version="1.0" encoding="utf-8"?>
<table xmlns="http://schemas.openxmlformats.org/spreadsheetml/2006/main" id="2" name="DailyLog" displayName="DailyLog" ref="A1:F2" headerRowCount="1">
  <autoFilter ref="A1:F2"/>
  <tableColumns count="6">
    <tableColumn id="1" name="Date"/>
    <tableColumn id="2" name="Module"/>
    <tableColumn id="3" name="Sub-Module"/>
    <tableColumn id="4" name="Hours Spent"/>
    <tableColumn id="5" name="What was done"/>
    <tableColumn id="6" name="Status Updat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30" customWidth="1" min="4" max="4"/>
    <col width="46" customWidth="1" min="5" max="5"/>
    <col width="40" customWidth="1" min="6" max="6"/>
    <col width="11" customWidth="1" min="7" max="7"/>
    <col width="10" customWidth="1" min="8" max="8"/>
    <col width="12" customWidth="1" min="9" max="9"/>
    <col width="12" customWidth="1" min="10" max="10"/>
    <col width="11" customWidth="1" min="11" max="11"/>
    <col width="24" customWidth="1" min="12" max="12"/>
  </cols>
  <sheetData>
    <row r="1">
      <c r="A1" s="1" t="inlineStr">
        <is>
          <t>Project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Page / Functionality Check</t>
        </is>
      </c>
      <c r="E1" s="1" t="inlineStr">
        <is>
          <t>Scope of Check</t>
        </is>
      </c>
      <c r="F1" s="1" t="inlineStr">
        <is>
          <t>Estimation Rationale</t>
        </is>
      </c>
      <c r="G1" s="1" t="inlineStr">
        <is>
          <t>Estimated Hours</t>
        </is>
      </c>
      <c r="H1" s="1" t="inlineStr">
        <is>
          <t>Actual Hours</t>
        </is>
      </c>
      <c r="I1" s="1" t="inlineStr">
        <is>
          <t>Date Worked</t>
        </is>
      </c>
      <c r="J1" s="1" t="inlineStr">
        <is>
          <t>Status</t>
        </is>
      </c>
      <c r="K1" s="1" t="inlineStr">
        <is>
          <t>Variance (h)</t>
        </is>
      </c>
      <c r="L1" s="1" t="inlineStr">
        <is>
          <t>Remarks</t>
        </is>
      </c>
    </row>
    <row r="2">
      <c r="A2" s="2" t="inlineStr">
        <is>
          <t>Progbiz ERP</t>
        </is>
      </c>
      <c r="B2" s="2" t="inlineStr">
        <is>
          <t>CRM</t>
        </is>
      </c>
      <c r="C2" s="2" t="inlineStr">
        <is>
          <t>Login</t>
        </is>
      </c>
      <c r="D2" s="2" t="inlineStr">
        <is>
          <t>Login page functionality</t>
        </is>
      </c>
      <c r="E2" s="2" t="inlineStr">
        <is>
          <t>Form load, valid/invalid login, Enter-key submit, password eye toggle, Forgot Password, redirect to home</t>
        </is>
      </c>
      <c r="F2" s="2" t="inlineStr">
        <is>
          <t>8 small checks; static form, no data setup</t>
        </is>
      </c>
      <c r="G2" s="3" t="n">
        <v>2</v>
      </c>
      <c r="H2" s="3" t="n"/>
      <c r="I2" s="2" t="n"/>
      <c r="J2" s="2" t="inlineStr">
        <is>
          <t>Pending</t>
        </is>
      </c>
      <c r="K2" s="3">
        <f>G2-H2</f>
        <v/>
      </c>
      <c r="L2" s="2" t="n"/>
    </row>
    <row r="3">
      <c r="A3" s="2" t="inlineStr">
        <is>
          <t>Progbiz ERP</t>
        </is>
      </c>
      <c r="B3" s="2" t="inlineStr">
        <is>
          <t>CRM</t>
        </is>
      </c>
      <c r="C3" s="2" t="inlineStr">
        <is>
          <t>Homepage</t>
        </is>
      </c>
      <c r="D3" s="2" t="inlineStr">
        <is>
          <t>Home dashboard checks</t>
        </is>
      </c>
      <c r="E3" s="2" t="inlineStr">
        <is>
          <t>Greeting, count cards, Create New menu, Today's Schedule, timeline/calendar entry points</t>
        </is>
      </c>
      <c r="F3" s="2" t="inlineStr">
        <is>
          <t>Read-only verification; no forms</t>
        </is>
      </c>
      <c r="G3" s="3" t="n">
        <v>2</v>
      </c>
      <c r="H3" s="3" t="n"/>
      <c r="I3" s="2" t="n"/>
      <c r="J3" s="2" t="inlineStr">
        <is>
          <t>Pending</t>
        </is>
      </c>
      <c r="K3" s="3">
        <f>G3-H3</f>
        <v/>
      </c>
      <c r="L3" s="2" t="n"/>
    </row>
    <row r="4">
      <c r="A4" s="2" t="inlineStr">
        <is>
          <t>Progbiz ERP</t>
        </is>
      </c>
      <c r="B4" s="2" t="inlineStr">
        <is>
          <t>CRM</t>
        </is>
      </c>
      <c r="C4" s="2" t="inlineStr">
        <is>
          <t>Enquiry</t>
        </is>
      </c>
      <c r="D4" s="2" t="inlineStr">
        <is>
          <t>Add Enquiry form</t>
        </is>
      </c>
      <c r="E4" s="2" t="inlineStr">
        <is>
          <t>Branch/date/auto-number/source fields, customer phone search, New Customer modal, Assign-To, item add (single+multiple), save/cancel</t>
        </is>
      </c>
      <c r="F4" s="2" t="inlineStr">
        <is>
          <t>Largest form; AJAX modal + item picker need per-field checks</t>
        </is>
      </c>
      <c r="G4" s="3" t="n">
        <v>4</v>
      </c>
      <c r="H4" s="3" t="n"/>
      <c r="I4" s="2" t="n"/>
      <c r="J4" s="2" t="inlineStr">
        <is>
          <t>Pending</t>
        </is>
      </c>
      <c r="K4" s="3">
        <f>G4-H4</f>
        <v/>
      </c>
      <c r="L4" s="2" t="n"/>
    </row>
    <row r="5">
      <c r="A5" s="2" t="inlineStr">
        <is>
          <t>Progbiz ERP</t>
        </is>
      </c>
      <c r="B5" s="2" t="inlineStr">
        <is>
          <t>CRM</t>
        </is>
      </c>
      <c r="C5" s="2" t="inlineStr">
        <is>
          <t>Enquiry</t>
        </is>
      </c>
      <c r="D5" s="2" t="inlineStr">
        <is>
          <t>Conditional field logic</t>
        </is>
      </c>
      <c r="E5" s="2" t="inlineStr">
        <is>
          <t>Followup Status options; Lead Quality shows only for In-Followup; Description for Won/Lost; Next-followup date rules</t>
        </is>
      </c>
      <c r="F5" s="2" t="inlineStr">
        <is>
          <t>4 status paths x field-visibility matrix</t>
        </is>
      </c>
      <c r="G5" s="3" t="n">
        <v>2</v>
      </c>
      <c r="H5" s="3" t="n"/>
      <c r="I5" s="2" t="n"/>
      <c r="J5" s="2" t="inlineStr">
        <is>
          <t>Pending</t>
        </is>
      </c>
      <c r="K5" s="3">
        <f>G5-H5</f>
        <v/>
      </c>
      <c r="L5" s="2" t="n"/>
    </row>
    <row r="6">
      <c r="A6" s="2" t="inlineStr">
        <is>
          <t>Progbiz ERP</t>
        </is>
      </c>
      <c r="B6" s="2" t="inlineStr">
        <is>
          <t>CRM</t>
        </is>
      </c>
      <c r="C6" s="2" t="inlineStr">
        <is>
          <t>Enquiry</t>
        </is>
      </c>
      <c r="D6" s="2" t="inlineStr">
        <is>
          <t>Enquiry Overview page</t>
        </is>
      </c>
      <c r="E6" s="2" t="inlineStr">
        <is>
          <t>Details display (customer/status/value/items), actions: Followup, Create Quotation, edit/delete rules before/after followup</t>
        </is>
      </c>
      <c r="F6" s="2" t="inlineStr">
        <is>
          <t>State-dependent rules need seeded enquiries in 2 states</t>
        </is>
      </c>
      <c r="G6" s="3" t="n">
        <v>3</v>
      </c>
      <c r="H6" s="3" t="n"/>
      <c r="I6" s="2" t="n"/>
      <c r="J6" s="2" t="inlineStr">
        <is>
          <t>Pending</t>
        </is>
      </c>
      <c r="K6" s="3">
        <f>G6-H6</f>
        <v/>
      </c>
      <c r="L6" s="2" t="n"/>
    </row>
    <row r="7">
      <c r="A7" s="2" t="inlineStr">
        <is>
          <t>Progbiz ERP</t>
        </is>
      </c>
      <c r="B7" s="2" t="inlineStr">
        <is>
          <t>CRM</t>
        </is>
      </c>
      <c r="C7" s="2" t="inlineStr">
        <is>
          <t>Leads Listing</t>
        </is>
      </c>
      <c r="D7" s="2" t="inlineStr">
        <is>
          <t>Leads list &amp; tabs</t>
        </is>
      </c>
      <c r="E7" s="2" t="inlineStr">
        <is>
          <t>New/In-Followup/Won/Lost tabs + counts, filters, search, row actions, drill-down</t>
        </is>
      </c>
      <c r="F7" s="2" t="inlineStr">
        <is>
          <t>4 tabs x filter combinations; count integrity vs data</t>
        </is>
      </c>
      <c r="G7" s="3" t="n">
        <v>3</v>
      </c>
      <c r="H7" s="3" t="n"/>
      <c r="I7" s="2" t="n"/>
      <c r="J7" s="2" t="inlineStr">
        <is>
          <t>Pending</t>
        </is>
      </c>
      <c r="K7" s="3">
        <f>G7-H7</f>
        <v/>
      </c>
      <c r="L7" s="2" t="n"/>
    </row>
    <row r="8">
      <c r="A8" s="2" t="inlineStr">
        <is>
          <t>Progbiz ERP</t>
        </is>
      </c>
      <c r="B8" s="2" t="inlineStr">
        <is>
          <t>CRM</t>
        </is>
      </c>
      <c r="C8" s="2" t="inlineStr">
        <is>
          <t>Follow-up</t>
        </is>
      </c>
      <c r="D8" s="2" t="inlineStr">
        <is>
          <t>Follow-up modal</t>
        </is>
      </c>
      <c r="E8" s="2" t="inlineStr">
        <is>
          <t>Open, auto date, status options, conditional Lead Quality/Description, business value, save/cancel</t>
        </is>
      </c>
      <c r="F8" s="2" t="inlineStr">
        <is>
          <t>Same conditional matrix as enquiry + history write</t>
        </is>
      </c>
      <c r="G8" s="3" t="n">
        <v>3</v>
      </c>
      <c r="H8" s="3" t="n"/>
      <c r="I8" s="2" t="n"/>
      <c r="J8" s="2" t="inlineStr">
        <is>
          <t>Pending</t>
        </is>
      </c>
      <c r="K8" s="3">
        <f>G8-H8</f>
        <v/>
      </c>
      <c r="L8" s="2" t="n"/>
    </row>
    <row r="9">
      <c r="A9" s="2" t="inlineStr">
        <is>
          <t>Progbiz ERP</t>
        </is>
      </c>
      <c r="B9" s="2" t="inlineStr">
        <is>
          <t>CRM</t>
        </is>
      </c>
      <c r="C9" s="2" t="inlineStr">
        <is>
          <t>Follow-up</t>
        </is>
      </c>
      <c r="D9" s="2" t="inlineStr">
        <is>
          <t>Follow-up history rules</t>
        </is>
      </c>
      <c r="E9" s="2" t="inlineStr">
        <is>
          <t>Appears in history, latest editable/deletable, older read-only</t>
        </is>
      </c>
      <c r="F9" s="2" t="inlineStr">
        <is>
          <t>Needs 2+ followups seeded per lead</t>
        </is>
      </c>
      <c r="G9" s="3" t="n">
        <v>1.5</v>
      </c>
      <c r="H9" s="3" t="n"/>
      <c r="I9" s="2" t="n"/>
      <c r="J9" s="2" t="inlineStr">
        <is>
          <t>Pending</t>
        </is>
      </c>
      <c r="K9" s="3">
        <f>G9-H9</f>
        <v/>
      </c>
      <c r="L9" s="2" t="n"/>
    </row>
    <row r="10">
      <c r="A10" s="2" t="inlineStr">
        <is>
          <t>Progbiz ERP</t>
        </is>
      </c>
      <c r="B10" s="2" t="inlineStr">
        <is>
          <t>CRM</t>
        </is>
      </c>
      <c r="C10" s="2" t="inlineStr">
        <is>
          <t>Followups Listing</t>
        </is>
      </c>
      <c r="D10" s="2" t="inlineStr">
        <is>
          <t>Followups list &amp; tabs</t>
        </is>
      </c>
      <c r="E10" s="2" t="inlineStr">
        <is>
          <t>Today's/Delayed/Upcoming/Non-Followup tabs + counts, filters, row Followup action</t>
        </is>
      </c>
      <c r="F10" s="2" t="inlineStr">
        <is>
          <t>4 tabs; date-bucketing correctness needs dated data</t>
        </is>
      </c>
      <c r="G10" s="3" t="n">
        <v>2.5</v>
      </c>
      <c r="H10" s="3" t="n"/>
      <c r="I10" s="2" t="n"/>
      <c r="J10" s="2" t="inlineStr">
        <is>
          <t>Pending</t>
        </is>
      </c>
      <c r="K10" s="3">
        <f>G10-H10</f>
        <v/>
      </c>
      <c r="L10" s="2" t="n"/>
    </row>
    <row r="11">
      <c r="A11" s="2" t="inlineStr">
        <is>
          <t>Progbiz ERP</t>
        </is>
      </c>
      <c r="B11" s="2" t="inlineStr">
        <is>
          <t>CRM</t>
        </is>
      </c>
      <c r="C11" s="2" t="inlineStr">
        <is>
          <t>Quotation</t>
        </is>
      </c>
      <c r="D11" s="2" t="inlineStr">
        <is>
          <t>Create quotation from enquiry</t>
        </is>
      </c>
      <c r="E11" s="2" t="inlineStr">
        <is>
          <t>Auto-fill check (all fields except Valid-Upto), items carried, editable after autofill, save to overview</t>
        </is>
      </c>
      <c r="F11" s="2" t="inlineStr">
        <is>
          <t>Field-by-field autofill verification</t>
        </is>
      </c>
      <c r="G11" s="3" t="n">
        <v>3</v>
      </c>
      <c r="H11" s="3" t="n"/>
      <c r="I11" s="2" t="n"/>
      <c r="J11" s="2" t="inlineStr">
        <is>
          <t>Pending</t>
        </is>
      </c>
      <c r="K11" s="3">
        <f>G11-H11</f>
        <v/>
      </c>
      <c r="L11" s="2" t="n"/>
    </row>
    <row r="12">
      <c r="A12" s="2" t="inlineStr">
        <is>
          <t>Progbiz ERP</t>
        </is>
      </c>
      <c r="B12" s="2" t="inlineStr">
        <is>
          <t>CRM</t>
        </is>
      </c>
      <c r="C12" s="2" t="inlineStr">
        <is>
          <t>Quotation</t>
        </is>
      </c>
      <c r="D12" s="2" t="inlineStr">
        <is>
          <t>Quotation calculations</t>
        </is>
      </c>
      <c r="E12" s="2" t="inlineStr">
        <is>
          <t>Rate x qty gross, discount incl/excl tax, tax, total payable; terms &amp; conditions save</t>
        </is>
      </c>
      <c r="F12" s="2" t="inlineStr">
        <is>
          <t>Arithmetic verification across item combinations</t>
        </is>
      </c>
      <c r="G12" s="3" t="n">
        <v>3</v>
      </c>
      <c r="H12" s="3" t="n"/>
      <c r="I12" s="2" t="n"/>
      <c r="J12" s="2" t="inlineStr">
        <is>
          <t>Pending</t>
        </is>
      </c>
      <c r="K12" s="3">
        <f>G12-H12</f>
        <v/>
      </c>
      <c r="L12" s="2" t="n"/>
    </row>
    <row r="13">
      <c r="A13" s="2" t="inlineStr">
        <is>
          <t>Progbiz ERP</t>
        </is>
      </c>
      <c r="B13" s="2" t="inlineStr">
        <is>
          <t>CRM</t>
        </is>
      </c>
      <c r="C13" s="2" t="inlineStr">
        <is>
          <t>Quotation</t>
        </is>
      </c>
      <c r="D13" s="2" t="inlineStr">
        <is>
          <t>Quotation overview &amp; actions</t>
        </is>
      </c>
      <c r="E13" s="2" t="inlineStr">
        <is>
          <t>Overview display, View Enquiry/View Quotation, edit, follow-up from quotation</t>
        </is>
      </c>
      <c r="F13" s="2" t="inlineStr">
        <is>
          <t>Cross-navigation checks</t>
        </is>
      </c>
      <c r="G13" s="3" t="n">
        <v>2</v>
      </c>
      <c r="H13" s="3" t="n"/>
      <c r="I13" s="2" t="n"/>
      <c r="J13" s="2" t="inlineStr">
        <is>
          <t>Pending</t>
        </is>
      </c>
      <c r="K13" s="3">
        <f>G13-H13</f>
        <v/>
      </c>
      <c r="L13" s="2" t="n"/>
    </row>
    <row r="14">
      <c r="A14" s="2" t="inlineStr">
        <is>
          <t>Progbiz ERP</t>
        </is>
      </c>
      <c r="B14" s="2" t="inlineStr">
        <is>
          <t>CRM</t>
        </is>
      </c>
      <c r="C14" s="2" t="inlineStr">
        <is>
          <t>Lead Transfer</t>
        </is>
      </c>
      <c r="D14" s="2" t="inlineStr">
        <is>
          <t>Lead transfer flow</t>
        </is>
      </c>
      <c r="E14" s="2" t="inlineStr">
        <is>
          <t>Filters, lead select, executive pick, transfer, assignee change verification</t>
        </is>
      </c>
      <c r="F14" s="2" t="inlineStr">
        <is>
          <t>End-to-end with verification query; backend flaky = buffer</t>
        </is>
      </c>
      <c r="G14" s="3" t="n">
        <v>2</v>
      </c>
      <c r="H14" s="3" t="n"/>
      <c r="I14" s="2" t="n"/>
      <c r="J14" s="2" t="inlineStr">
        <is>
          <t>Pending</t>
        </is>
      </c>
      <c r="K14" s="3">
        <f>G14-H14</f>
        <v/>
      </c>
      <c r="L14" s="2" t="n"/>
    </row>
    <row r="15">
      <c r="A15" s="2" t="inlineStr">
        <is>
          <t>Progbiz ERP</t>
        </is>
      </c>
      <c r="B15" s="2" t="inlineStr">
        <is>
          <t>CRM</t>
        </is>
      </c>
      <c r="C15" s="2" t="inlineStr">
        <is>
          <t>Settings</t>
        </is>
      </c>
      <c r="D15" s="2" t="inlineStr">
        <is>
          <t>Lead Sources master</t>
        </is>
      </c>
      <c r="E15" s="2" t="inlineStr">
        <is>
          <t>Create, duplicate rejection, edit, delete, list/search</t>
        </is>
      </c>
      <c r="F15" s="2" t="inlineStr">
        <is>
          <t>Simple CRUD master</t>
        </is>
      </c>
      <c r="G15" s="3" t="n">
        <v>1.5</v>
      </c>
      <c r="H15" s="3" t="n"/>
      <c r="I15" s="2" t="n"/>
      <c r="J15" s="2" t="inlineStr">
        <is>
          <t>Pending</t>
        </is>
      </c>
      <c r="K15" s="3">
        <f>G15-H15</f>
        <v/>
      </c>
      <c r="L15" s="2" t="n"/>
    </row>
    <row r="16">
      <c r="A16" s="2" t="inlineStr">
        <is>
          <t>Progbiz ERP</t>
        </is>
      </c>
      <c r="B16" s="2" t="inlineStr">
        <is>
          <t>CRM</t>
        </is>
      </c>
      <c r="C16" s="2" t="inlineStr">
        <is>
          <t>Settings</t>
        </is>
      </c>
      <c r="D16" s="2" t="inlineStr">
        <is>
          <t>Lead Followup Status master</t>
        </is>
      </c>
      <c r="E16" s="2" t="inlineStr">
        <is>
          <t>Create with Nature mapping (In-Followup/Won/Lost), edit, delete</t>
        </is>
      </c>
      <c r="F16" s="2" t="inlineStr">
        <is>
          <t>CRUD + nature-mapping effect on lifecycle</t>
        </is>
      </c>
      <c r="G16" s="3" t="n">
        <v>1.5</v>
      </c>
      <c r="H16" s="3" t="n"/>
      <c r="I16" s="2" t="n"/>
      <c r="J16" s="2" t="inlineStr">
        <is>
          <t>Pending</t>
        </is>
      </c>
      <c r="K16" s="3">
        <f>G16-H16</f>
        <v/>
      </c>
      <c r="L16" s="2" t="n"/>
    </row>
    <row r="17">
      <c r="A17" s="2" t="inlineStr">
        <is>
          <t>Progbiz ERP</t>
        </is>
      </c>
      <c r="B17" s="2" t="inlineStr">
        <is>
          <t>CRM</t>
        </is>
      </c>
      <c r="C17" s="2" t="inlineStr">
        <is>
          <t>Item Master</t>
        </is>
      </c>
      <c r="D17" s="2" t="inlineStr">
        <is>
          <t>Item create &amp; validations</t>
        </is>
      </c>
      <c r="E17" s="2" t="inlineStr">
        <is>
          <t>Mandatory name/variant, blank/whitespace rejection, duplicate rejection, multi-field create</t>
        </is>
      </c>
      <c r="F17" s="2" t="inlineStr">
        <is>
          <t>Form + 4 negative paths</t>
        </is>
      </c>
      <c r="G17" s="3" t="n">
        <v>2</v>
      </c>
      <c r="H17" s="3" t="n"/>
      <c r="I17" s="2" t="n"/>
      <c r="J17" s="2" t="inlineStr">
        <is>
          <t>Pending</t>
        </is>
      </c>
      <c r="K17" s="3">
        <f>G17-H17</f>
        <v/>
      </c>
      <c r="L17" s="2" t="n"/>
    </row>
    <row r="18">
      <c r="A18" s="2" t="inlineStr">
        <is>
          <t>Progbiz ERP</t>
        </is>
      </c>
      <c r="B18" s="2" t="inlineStr">
        <is>
          <t>CRM</t>
        </is>
      </c>
      <c r="C18" s="2" t="inlineStr">
        <is>
          <t>Item Master</t>
        </is>
      </c>
      <c r="D18" s="2" t="inlineStr">
        <is>
          <t>Item list operations</t>
        </is>
      </c>
      <c r="E18" s="2" t="inlineStr">
        <is>
          <t>Search, edit, delete (if enabled), cancel, category link</t>
        </is>
      </c>
      <c r="F18" s="2" t="inlineStr">
        <is>
          <t>List ops; tenant-dependent delete</t>
        </is>
      </c>
      <c r="G18" s="3" t="n">
        <v>1.5</v>
      </c>
      <c r="H18" s="3" t="n"/>
      <c r="I18" s="2" t="n"/>
      <c r="J18" s="2" t="inlineStr">
        <is>
          <t>Pending</t>
        </is>
      </c>
      <c r="K18" s="3">
        <f>G18-H18</f>
        <v/>
      </c>
      <c r="L18" s="2" t="n"/>
    </row>
    <row r="19">
      <c r="A19" s="2" t="inlineStr">
        <is>
          <t>Progbiz ERP</t>
        </is>
      </c>
      <c r="B19" s="2" t="inlineStr">
        <is>
          <t>CRM</t>
        </is>
      </c>
      <c r="C19" s="2" t="inlineStr">
        <is>
          <t>CRM Dashboard</t>
        </is>
      </c>
      <c r="D19" s="2" t="inlineStr">
        <is>
          <t>Reports &amp; summary integrity</t>
        </is>
      </c>
      <c r="E19" s="2" t="inlineStr">
        <is>
          <t>Widgets load, filters (period/type/status/source/quality), summary counts vs leads listing parity</t>
        </is>
      </c>
      <c r="F19" s="2" t="inlineStr">
        <is>
          <t>Cross-checking numbers across pages is slow, manual</t>
        </is>
      </c>
      <c r="G19" s="3" t="n">
        <v>4</v>
      </c>
      <c r="H19" s="3" t="n"/>
      <c r="I19" s="2" t="n"/>
      <c r="J19" s="2" t="inlineStr">
        <is>
          <t>Pending</t>
        </is>
      </c>
      <c r="K19" s="3">
        <f>G19-H19</f>
        <v/>
      </c>
      <c r="L19" s="2" t="n"/>
    </row>
    <row r="20">
      <c r="A20" s="2" t="inlineStr">
        <is>
          <t>Progbiz ERP</t>
        </is>
      </c>
      <c r="B20" s="2" t="inlineStr">
        <is>
          <t>CRM</t>
        </is>
      </c>
      <c r="C20" s="2" t="inlineStr">
        <is>
          <t>Customers</t>
        </is>
      </c>
      <c r="D20" s="2" t="inlineStr">
        <is>
          <t>Customer listing &amp; detail</t>
        </is>
      </c>
      <c r="E20" s="2" t="inlineStr">
        <is>
          <t>List, search modes, filters, detail view, lead-stage display</t>
        </is>
      </c>
      <c r="F20" s="2" t="inlineStr">
        <is>
          <t>Read-heavy; several filter modes</t>
        </is>
      </c>
      <c r="G20" s="3" t="n">
        <v>2</v>
      </c>
      <c r="H20" s="3" t="n"/>
      <c r="I20" s="2" t="n"/>
      <c r="J20" s="2" t="inlineStr">
        <is>
          <t>Pending</t>
        </is>
      </c>
      <c r="K20" s="3">
        <f>G20-H20</f>
        <v/>
      </c>
      <c r="L20" s="2" t="n"/>
    </row>
    <row r="21">
      <c r="A21" s="2" t="inlineStr">
        <is>
          <t>Progbiz ERP</t>
        </is>
      </c>
      <c r="B21" s="2" t="inlineStr">
        <is>
          <t>Task Management</t>
        </is>
      </c>
      <c r="C21" s="2" t="inlineStr">
        <is>
          <t>Home Dashboard</t>
        </is>
      </c>
      <c r="D21" s="2" t="inlineStr">
        <is>
          <t>Task cards &amp; sections</t>
        </is>
      </c>
      <c r="E21" s="2" t="inlineStr">
        <is>
          <t>Pending/Delayed/Completed/Unscheduled cards, Today's Schedule, Running/On-Hold sections, live timer display</t>
        </is>
      </c>
      <c r="F21" s="2" t="inlineStr">
        <is>
          <t>Counts vs list parity + timer observation</t>
        </is>
      </c>
      <c r="G21" s="3" t="n">
        <v>2.5</v>
      </c>
      <c r="H21" s="3" t="n"/>
      <c r="I21" s="2" t="n"/>
      <c r="J21" s="2" t="inlineStr">
        <is>
          <t>Pending</t>
        </is>
      </c>
      <c r="K21" s="3">
        <f>G21-H21</f>
        <v/>
      </c>
      <c r="L21" s="2" t="n"/>
    </row>
    <row r="22">
      <c r="A22" s="2" t="inlineStr">
        <is>
          <t>Progbiz ERP</t>
        </is>
      </c>
      <c r="B22" s="2" t="inlineStr">
        <is>
          <t>Task Management</t>
        </is>
      </c>
      <c r="C22" s="2" t="inlineStr">
        <is>
          <t>Add Task</t>
        </is>
      </c>
      <c r="D22" s="2" t="inlineStr">
        <is>
          <t>Instant task (modal)</t>
        </is>
      </c>
      <c r="E22" s="2" t="inlineStr">
        <is>
          <t>Create New-&gt;Task, branch/type/priority/task/description/party/participants, save, appears on home + My Tasks</t>
        </is>
      </c>
      <c r="F22" s="2" t="inlineStr">
        <is>
          <t>Full modal pass + 2-page verification</t>
        </is>
      </c>
      <c r="G22" s="3" t="n">
        <v>2.5</v>
      </c>
      <c r="H22" s="3" t="n"/>
      <c r="I22" s="2" t="n"/>
      <c r="J22" s="2" t="inlineStr">
        <is>
          <t>Pending</t>
        </is>
      </c>
      <c r="K22" s="3">
        <f>G22-H22</f>
        <v/>
      </c>
      <c r="L22" s="2" t="n"/>
    </row>
    <row r="23">
      <c r="A23" s="2" t="inlineStr">
        <is>
          <t>Progbiz ERP</t>
        </is>
      </c>
      <c r="B23" s="2" t="inlineStr">
        <is>
          <t>Task Management</t>
        </is>
      </c>
      <c r="C23" s="2" t="inlineStr">
        <is>
          <t>Add Task</t>
        </is>
      </c>
      <c r="D23" s="2" t="inlineStr">
        <is>
          <t>Task for Later (scheduled)</t>
        </is>
      </c>
      <c r="E23" s="2" t="inlineStr">
        <is>
          <t>Host field &amp; user toggle list, deadline/end-time toggles, date+time set, save, calendar/timeline presence</t>
        </is>
      </c>
      <c r="F23" s="2" t="inlineStr">
        <is>
          <t>Host picker + schedule fields + 2-view verification</t>
        </is>
      </c>
      <c r="G23" s="3" t="n">
        <v>2.5</v>
      </c>
      <c r="H23" s="3" t="n"/>
      <c r="I23" s="2" t="n"/>
      <c r="J23" s="2" t="inlineStr">
        <is>
          <t>Pending</t>
        </is>
      </c>
      <c r="K23" s="3">
        <f>G23-H23</f>
        <v/>
      </c>
      <c r="L23" s="2" t="n"/>
    </row>
    <row r="24">
      <c r="A24" s="2" t="inlineStr">
        <is>
          <t>Progbiz ERP</t>
        </is>
      </c>
      <c r="B24" s="2" t="inlineStr">
        <is>
          <t>Task Management</t>
        </is>
      </c>
      <c r="C24" s="2" t="inlineStr">
        <is>
          <t>Add Task</t>
        </is>
      </c>
      <c r="D24" s="2" t="inlineStr">
        <is>
          <t>Repeat (recurring) task</t>
        </is>
      </c>
      <c r="E24" s="2" t="inlineStr">
        <is>
          <t>Daily/Weekly/Monthly recurrence, start/end time, from/to date, save, occurrence check</t>
        </is>
      </c>
      <c r="F24" s="2" t="inlineStr">
        <is>
          <t>3 recurrence types; occurrence validation next-day</t>
        </is>
      </c>
      <c r="G24" s="3" t="n">
        <v>2.5</v>
      </c>
      <c r="H24" s="3" t="n"/>
      <c r="I24" s="2" t="n"/>
      <c r="J24" s="2" t="inlineStr">
        <is>
          <t>Pending</t>
        </is>
      </c>
      <c r="K24" s="3">
        <f>G24-H24</f>
        <v/>
      </c>
      <c r="L24" s="2" t="n"/>
    </row>
    <row r="25">
      <c r="A25" s="2" t="inlineStr">
        <is>
          <t>Progbiz ERP</t>
        </is>
      </c>
      <c r="B25" s="2" t="inlineStr">
        <is>
          <t>Task Management</t>
        </is>
      </c>
      <c r="C25" s="2" t="inlineStr">
        <is>
          <t>Add Task</t>
        </is>
      </c>
      <c r="D25" s="2" t="inlineStr">
        <is>
          <t>Validation &amp; negatives</t>
        </is>
      </c>
      <c r="E25" s="2" t="inlineStr">
        <is>
          <t>Missing task type, missing title, invalid schedule times, clear button</t>
        </is>
      </c>
      <c r="F25" s="2" t="inlineStr">
        <is>
          <t>4 negative paths, inline messages</t>
        </is>
      </c>
      <c r="G25" s="3" t="n">
        <v>1.5</v>
      </c>
      <c r="H25" s="3" t="n"/>
      <c r="I25" s="2" t="n"/>
      <c r="J25" s="2" t="inlineStr">
        <is>
          <t>Pending</t>
        </is>
      </c>
      <c r="K25" s="3">
        <f>G25-H25</f>
        <v/>
      </c>
      <c r="L25" s="2" t="n"/>
    </row>
    <row r="26">
      <c r="A26" s="2" t="inlineStr">
        <is>
          <t>Progbiz ERP</t>
        </is>
      </c>
      <c r="B26" s="2" t="inlineStr">
        <is>
          <t>Task Management</t>
        </is>
      </c>
      <c r="C26" s="2" t="inlineStr">
        <is>
          <t>My Tasks</t>
        </is>
      </c>
      <c r="D26" s="2" t="inlineStr">
        <is>
          <t>List, tabs &amp; search</t>
        </is>
      </c>
      <c r="E26" s="2" t="inlineStr">
        <is>
          <t>Today/Delayed/Upcoming/Unscheduled/Completed tabs + counts, columns, search, row actions</t>
        </is>
      </c>
      <c r="F26" s="2" t="inlineStr">
        <is>
          <t>5 tabs x count/content parity</t>
        </is>
      </c>
      <c r="G26" s="3" t="n">
        <v>2.5</v>
      </c>
      <c r="H26" s="3" t="n"/>
      <c r="I26" s="2" t="n"/>
      <c r="J26" s="2" t="inlineStr">
        <is>
          <t>Pending</t>
        </is>
      </c>
      <c r="K26" s="3">
        <f>G26-H26</f>
        <v/>
      </c>
      <c r="L26" s="2" t="n"/>
    </row>
    <row r="27">
      <c r="A27" s="2" t="inlineStr">
        <is>
          <t>Progbiz ERP</t>
        </is>
      </c>
      <c r="B27" s="2" t="inlineStr">
        <is>
          <t>Task Management</t>
        </is>
      </c>
      <c r="C27" s="2" t="inlineStr">
        <is>
          <t>Delegated Tasks</t>
        </is>
      </c>
      <c r="D27" s="2" t="inlineStr">
        <is>
          <t>Delegated list checks</t>
        </is>
      </c>
      <c r="E27" s="2" t="inlineStr">
        <is>
          <t>Columns incl. Assignees, status reflection after assignee actions, date filter</t>
        </is>
      </c>
      <c r="F27" s="2" t="inlineStr">
        <is>
          <t>Needs actions performed by another user to verify</t>
        </is>
      </c>
      <c r="G27" s="3" t="n">
        <v>2</v>
      </c>
      <c r="H27" s="3" t="n"/>
      <c r="I27" s="2" t="n"/>
      <c r="J27" s="2" t="inlineStr">
        <is>
          <t>Pending</t>
        </is>
      </c>
      <c r="K27" s="3">
        <f>G27-H27</f>
        <v/>
      </c>
      <c r="L27" s="2" t="n"/>
    </row>
    <row r="28">
      <c r="A28" s="2" t="inlineStr">
        <is>
          <t>Progbiz ERP</t>
        </is>
      </c>
      <c r="B28" s="2" t="inlineStr">
        <is>
          <t>Task Management</t>
        </is>
      </c>
      <c r="C28" s="2" t="inlineStr">
        <is>
          <t>Created Tasks</t>
        </is>
      </c>
      <c r="D28" s="2" t="inlineStr">
        <is>
          <t>Created list &amp; actions</t>
        </is>
      </c>
      <c r="E28" s="2" t="inlineStr">
        <is>
          <t>Columns, self vs other-user tasks routing, View/Delete rules (no delete after start)</t>
        </is>
      </c>
      <c r="F28" s="2" t="inlineStr">
        <is>
          <t>Routing rules need 2 task ownerships</t>
        </is>
      </c>
      <c r="G28" s="3" t="n">
        <v>2</v>
      </c>
      <c r="H28" s="3" t="n"/>
      <c r="I28" s="2" t="n"/>
      <c r="J28" s="2" t="inlineStr">
        <is>
          <t>Pending</t>
        </is>
      </c>
      <c r="K28" s="3">
        <f>G28-H28</f>
        <v/>
      </c>
      <c r="L28" s="2" t="n"/>
    </row>
    <row r="29">
      <c r="A29" s="2" t="inlineStr">
        <is>
          <t>Progbiz ERP</t>
        </is>
      </c>
      <c r="B29" s="2" t="inlineStr">
        <is>
          <t>Task Management</t>
        </is>
      </c>
      <c r="C29" s="2" t="inlineStr">
        <is>
          <t>Unscheduled Tasks</t>
        </is>
      </c>
      <c r="D29" s="2" t="inlineStr">
        <is>
          <t>Unscheduled page actions</t>
        </is>
      </c>
      <c r="E29" s="2" t="inlineStr">
        <is>
          <t>List/columns, Edit, Schedule (moves to scheduled), Start Now, Delete</t>
        </is>
      </c>
      <c r="F29" s="2" t="inlineStr">
        <is>
          <t>4 row actions each with state verification</t>
        </is>
      </c>
      <c r="G29" s="3" t="n">
        <v>2.5</v>
      </c>
      <c r="H29" s="3" t="n"/>
      <c r="I29" s="2" t="n"/>
      <c r="J29" s="2" t="inlineStr">
        <is>
          <t>Pending</t>
        </is>
      </c>
      <c r="K29" s="3">
        <f>G29-H29</f>
        <v/>
      </c>
      <c r="L29" s="2" t="n"/>
    </row>
    <row r="30">
      <c r="A30" s="2" t="inlineStr">
        <is>
          <t>Progbiz ERP</t>
        </is>
      </c>
      <c r="B30" s="2" t="inlineStr">
        <is>
          <t>Task Management</t>
        </is>
      </c>
      <c r="C30" s="2" t="inlineStr">
        <is>
          <t>Task Details</t>
        </is>
      </c>
      <c r="D30" s="2" t="inlineStr">
        <is>
          <t>Notes &amp; documents</t>
        </is>
      </c>
      <c r="E30" s="2" t="inlineStr">
        <is>
          <t>Open details panel, add note (Enter=paragraph), send note, upload image/doc/audio/video, activity log</t>
        </is>
      </c>
      <c r="F30" s="2" t="inlineStr">
        <is>
          <t>4 upload types + note behaviour</t>
        </is>
      </c>
      <c r="G30" s="3" t="n">
        <v>2.5</v>
      </c>
      <c r="H30" s="3" t="n"/>
      <c r="I30" s="2" t="n"/>
      <c r="J30" s="2" t="inlineStr">
        <is>
          <t>Pending</t>
        </is>
      </c>
      <c r="K30" s="3">
        <f>G30-H30</f>
        <v/>
      </c>
      <c r="L30" s="2" t="n"/>
    </row>
    <row r="31">
      <c r="A31" s="2" t="inlineStr">
        <is>
          <t>Progbiz ERP</t>
        </is>
      </c>
      <c r="B31" s="2" t="inlineStr">
        <is>
          <t>Task Management</t>
        </is>
      </c>
      <c r="C31" s="2" t="inlineStr">
        <is>
          <t>Task Details</t>
        </is>
      </c>
      <c r="D31" s="2" t="inlineStr">
        <is>
          <t>Edit / Reschedule / Add Lead</t>
        </is>
      </c>
      <c r="E31" s="2" t="inlineStr">
        <is>
          <t>Kebab menu: Edit task fields persist, Reschedule date/time updates calendar+timeline, Add Lead opens prefilled enquiry</t>
        </is>
      </c>
      <c r="F31" s="2" t="inlineStr">
        <is>
          <t>3 flows with cross-page verification</t>
        </is>
      </c>
      <c r="G31" s="3" t="n">
        <v>2.5</v>
      </c>
      <c r="H31" s="3" t="n"/>
      <c r="I31" s="2" t="n"/>
      <c r="J31" s="2" t="inlineStr">
        <is>
          <t>Pending</t>
        </is>
      </c>
      <c r="K31" s="3">
        <f>G31-H31</f>
        <v/>
      </c>
      <c r="L31" s="2" t="n"/>
    </row>
    <row r="32">
      <c r="A32" s="2" t="inlineStr">
        <is>
          <t>Progbiz ERP</t>
        </is>
      </c>
      <c r="B32" s="2" t="inlineStr">
        <is>
          <t>Task Management</t>
        </is>
      </c>
      <c r="C32" s="2" t="inlineStr">
        <is>
          <t>Lifecycle</t>
        </is>
      </c>
      <c r="D32" s="2" t="inlineStr">
        <is>
          <t>Start-Hold-Resume-End</t>
        </is>
      </c>
      <c r="E32" s="2" t="inlineStr">
        <is>
          <t>Start, Hold (confirm+time window), timer pause, Resume, End, moves between sections, single-active-task rule</t>
        </is>
      </c>
      <c r="F32" s="2" t="inlineStr">
        <is>
          <t>Most complex flow; time-window rules + known concurrency bug area</t>
        </is>
      </c>
      <c r="G32" s="3" t="n">
        <v>4</v>
      </c>
      <c r="H32" s="3" t="n"/>
      <c r="I32" s="2" t="n"/>
      <c r="J32" s="2" t="inlineStr">
        <is>
          <t>Pending</t>
        </is>
      </c>
      <c r="K32" s="3">
        <f>G32-H32</f>
        <v/>
      </c>
      <c r="L32" s="2" t="n"/>
    </row>
    <row r="33">
      <c r="A33" s="2" t="inlineStr">
        <is>
          <t>Progbiz ERP</t>
        </is>
      </c>
      <c r="B33" s="2" t="inlineStr">
        <is>
          <t>Task Management</t>
        </is>
      </c>
      <c r="C33" s="2" t="inlineStr">
        <is>
          <t>Calendar</t>
        </is>
      </c>
      <c r="D33" s="2" t="inlineStr">
        <is>
          <t>Calendar checks</t>
        </is>
      </c>
      <c r="E33" s="2" t="inlineStr">
        <is>
          <t>Scheduled task on correct date/time, updates after reschedule, admin view of participants</t>
        </is>
      </c>
      <c r="F33" s="2" t="inlineStr">
        <is>
          <t>Date-navigation heavy</t>
        </is>
      </c>
      <c r="G33" s="3" t="n">
        <v>2</v>
      </c>
      <c r="H33" s="3" t="n"/>
      <c r="I33" s="2" t="n"/>
      <c r="J33" s="2" t="inlineStr">
        <is>
          <t>Pending</t>
        </is>
      </c>
      <c r="K33" s="3">
        <f>G33-H33</f>
        <v/>
      </c>
      <c r="L33" s="2" t="n"/>
    </row>
    <row r="34">
      <c r="A34" s="2" t="inlineStr">
        <is>
          <t>Progbiz ERP</t>
        </is>
      </c>
      <c r="B34" s="2" t="inlineStr">
        <is>
          <t>Task Management</t>
        </is>
      </c>
      <c r="C34" s="2" t="inlineStr">
        <is>
          <t>Timeline</t>
        </is>
      </c>
      <c r="D34" s="2" t="inlineStr">
        <is>
          <t>Timeline checks</t>
        </is>
      </c>
      <c r="E34" s="2" t="inlineStr">
        <is>
          <t>Started/finished/held statuses on history, unscheduled-started status correctness</t>
        </is>
      </c>
      <c r="F34" s="2" t="inlineStr">
        <is>
          <t>Known bug area (status display) - re-verify</t>
        </is>
      </c>
      <c r="G34" s="3" t="n">
        <v>2</v>
      </c>
      <c r="H34" s="3" t="n"/>
      <c r="I34" s="2" t="n"/>
      <c r="J34" s="2" t="inlineStr">
        <is>
          <t>Pending</t>
        </is>
      </c>
      <c r="K34" s="3">
        <f>G34-H34</f>
        <v/>
      </c>
      <c r="L34" s="2" t="n"/>
    </row>
    <row r="35">
      <c r="A35" s="2" t="inlineStr">
        <is>
          <t>Progbiz ERP</t>
        </is>
      </c>
      <c r="B35" s="2" t="inlineStr">
        <is>
          <t>Task Management</t>
        </is>
      </c>
      <c r="C35" s="2" t="inlineStr">
        <is>
          <t>Daily Activity Report</t>
        </is>
      </c>
      <c r="D35" s="2" t="inlineStr">
        <is>
          <t>Report checks</t>
        </is>
      </c>
      <c r="E35" s="2" t="inlineStr">
        <is>
          <t>All-user rows, durations (running vs hold vs completed), date/user filters</t>
        </is>
      </c>
      <c r="F35" s="2" t="inlineStr">
        <is>
          <t>Duration correctness needs timed tasks</t>
        </is>
      </c>
      <c r="G35" s="3" t="n">
        <v>2</v>
      </c>
      <c r="H35" s="3" t="n"/>
      <c r="I35" s="2" t="n"/>
      <c r="J35" s="2" t="inlineStr">
        <is>
          <t>Pending</t>
        </is>
      </c>
      <c r="K35" s="3">
        <f>G35-H35</f>
        <v/>
      </c>
      <c r="L35" s="2" t="n"/>
    </row>
    <row r="36">
      <c r="A36" s="2" t="inlineStr">
        <is>
          <t>Progbiz ERP</t>
        </is>
      </c>
      <c r="B36" s="2" t="inlineStr">
        <is>
          <t>Task Management</t>
        </is>
      </c>
      <c r="C36" s="2" t="inlineStr">
        <is>
          <t>Multi-user</t>
        </is>
      </c>
      <c r="D36" s="2" t="inlineStr">
        <is>
          <t>Cross-user visibility</t>
        </is>
      </c>
      <c r="E36" s="2" t="inlineStr">
        <is>
          <t>Host-assigned &amp; participant tasks visible to assignee; admin calendar/timeline oversight</t>
        </is>
      </c>
      <c r="F36" s="2" t="inlineStr">
        <is>
          <t>Requires 2nd login + task seeding both directions</t>
        </is>
      </c>
      <c r="G36" s="3" t="n">
        <v>3</v>
      </c>
      <c r="H36" s="3" t="n"/>
      <c r="I36" s="2" t="n"/>
      <c r="J36" s="2" t="inlineStr">
        <is>
          <t>Pending</t>
        </is>
      </c>
      <c r="K36" s="3">
        <f>G36-H36</f>
        <v/>
      </c>
      <c r="L36" s="2" t="n"/>
    </row>
    <row r="37">
      <c r="A37" s="2" t="inlineStr">
        <is>
          <t>Progbiz ERP</t>
        </is>
      </c>
      <c r="B37" s="2" t="inlineStr">
        <is>
          <t>Master</t>
        </is>
      </c>
      <c r="C37" s="2" t="inlineStr">
        <is>
          <t>Business Contacts</t>
        </is>
      </c>
      <c r="D37" s="2" t="inlineStr">
        <is>
          <t>Business contacts master (/business-contacts)</t>
        </is>
      </c>
      <c r="E37" s="2" t="inlineStr">
        <is>
          <t>List, create, edit, search, duplicate handling</t>
        </is>
      </c>
      <c r="F37" s="2" t="inlineStr">
        <is>
          <t>Standard CRUD master + search modes</t>
        </is>
      </c>
      <c r="G37" s="3" t="n">
        <v>2</v>
      </c>
      <c r="H37" s="3" t="n"/>
      <c r="I37" s="2" t="n"/>
      <c r="J37" s="2" t="inlineStr">
        <is>
          <t>Pending</t>
        </is>
      </c>
      <c r="K37" s="3">
        <f>G37-H37</f>
        <v/>
      </c>
      <c r="L37" s="2" t="n"/>
    </row>
    <row r="38">
      <c r="A38" s="2" t="inlineStr">
        <is>
          <t>Progbiz ERP</t>
        </is>
      </c>
      <c r="B38" s="2" t="inlineStr">
        <is>
          <t>Master</t>
        </is>
      </c>
      <c r="C38" s="2" t="inlineStr">
        <is>
          <t>Users</t>
        </is>
      </c>
      <c r="D38" s="2" t="inlineStr">
        <is>
          <t>User management (/users)</t>
        </is>
      </c>
      <c r="E38" s="2" t="inlineStr">
        <is>
          <t>Create user, assign role, edit, activate/deactivate, login as new user</t>
        </is>
      </c>
      <c r="F38" s="2" t="inlineStr">
        <is>
          <t>User creation affects auth; verify with a real login</t>
        </is>
      </c>
      <c r="G38" s="3" t="n">
        <v>3</v>
      </c>
      <c r="H38" s="3" t="n"/>
      <c r="I38" s="2" t="n"/>
      <c r="J38" s="2" t="inlineStr">
        <is>
          <t>Pending</t>
        </is>
      </c>
      <c r="K38" s="3">
        <f>G38-H38</f>
        <v/>
      </c>
      <c r="L38" s="2" t="n"/>
    </row>
    <row r="39">
      <c r="A39" s="2" t="inlineStr">
        <is>
          <t>Progbiz ERP</t>
        </is>
      </c>
      <c r="B39" s="2" t="inlineStr">
        <is>
          <t>Master</t>
        </is>
      </c>
      <c r="C39" s="2" t="inlineStr">
        <is>
          <t>Users</t>
        </is>
      </c>
      <c r="D39" s="2" t="inlineStr">
        <is>
          <t>Reset password (/change-user-password)</t>
        </is>
      </c>
      <c r="E39" s="2" t="inlineStr">
        <is>
          <t>Change a user's password, old password invalid, new one logs in</t>
        </is>
      </c>
      <c r="F39" s="2" t="inlineStr">
        <is>
          <t>2-login verification per change</t>
        </is>
      </c>
      <c r="G39" s="3" t="n">
        <v>1.5</v>
      </c>
      <c r="H39" s="3" t="n"/>
      <c r="I39" s="2" t="n"/>
      <c r="J39" s="2" t="inlineStr">
        <is>
          <t>Pending</t>
        </is>
      </c>
      <c r="K39" s="3">
        <f>G39-H39</f>
        <v/>
      </c>
      <c r="L39" s="2" t="n"/>
    </row>
    <row r="40">
      <c r="A40" s="2" t="inlineStr">
        <is>
          <t>Progbiz ERP</t>
        </is>
      </c>
      <c r="B40" s="2" t="inlineStr">
        <is>
          <t>Master</t>
        </is>
      </c>
      <c r="C40" s="2" t="inlineStr">
        <is>
          <t>Branch</t>
        </is>
      </c>
      <c r="D40" s="2" t="inlineStr">
        <is>
          <t>Branch master (/branches)</t>
        </is>
      </c>
      <c r="E40" s="2" t="inlineStr">
        <is>
          <t>Create/edit branch, appears in branch dropdowns (task/enquiry forms)</t>
        </is>
      </c>
      <c r="F40" s="2" t="inlineStr">
        <is>
          <t>CRUD + cross-module dropdown effect</t>
        </is>
      </c>
      <c r="G40" s="3" t="n">
        <v>1.5</v>
      </c>
      <c r="H40" s="3" t="n"/>
      <c r="I40" s="2" t="n"/>
      <c r="J40" s="2" t="inlineStr">
        <is>
          <t>Pending</t>
        </is>
      </c>
      <c r="K40" s="3">
        <f>G40-H40</f>
        <v/>
      </c>
      <c r="L40" s="2" t="n"/>
    </row>
    <row r="41">
      <c r="A41" s="2" t="inlineStr">
        <is>
          <t>Progbiz ERP</t>
        </is>
      </c>
      <c r="B41" s="2" t="inlineStr">
        <is>
          <t>Master</t>
        </is>
      </c>
      <c r="C41" s="2" t="inlineStr">
        <is>
          <t>User Role Groups</t>
        </is>
      </c>
      <c r="D41" s="2" t="inlineStr">
        <is>
          <t>Role groups &amp; permissions (/user-role-groups)</t>
        </is>
      </c>
      <c r="E41" s="2" t="inlineStr">
        <is>
          <t>Create group, permission matrix on/off, menu visibility per role</t>
        </is>
      </c>
      <c r="F41" s="2" t="inlineStr">
        <is>
          <t>Permission matrix = many toggle-effect checks with role login</t>
        </is>
      </c>
      <c r="G41" s="3" t="n">
        <v>3</v>
      </c>
      <c r="H41" s="3" t="n"/>
      <c r="I41" s="2" t="n"/>
      <c r="J41" s="2" t="inlineStr">
        <is>
          <t>Pending</t>
        </is>
      </c>
      <c r="K41" s="3">
        <f>G41-H41</f>
        <v/>
      </c>
      <c r="L41" s="2" t="n"/>
    </row>
    <row r="42">
      <c r="A42" s="2" t="inlineStr">
        <is>
          <t>Progbiz ERP</t>
        </is>
      </c>
      <c r="B42" s="2" t="inlineStr">
        <is>
          <t>Master</t>
        </is>
      </c>
      <c r="C42" s="2" t="inlineStr">
        <is>
          <t>Teams</t>
        </is>
      </c>
      <c r="D42" s="2" t="inlineStr">
        <is>
          <t>Teams master (/teams)</t>
        </is>
      </c>
      <c r="E42" s="2" t="inlineStr">
        <is>
          <t>Create team, add/remove members, team reflected in task/project assignment</t>
        </is>
      </c>
      <c r="F42" s="2" t="inlineStr">
        <is>
          <t>CRUD + effect check in 2 modules</t>
        </is>
      </c>
      <c r="G42" s="3" t="n">
        <v>2</v>
      </c>
      <c r="H42" s="3" t="n"/>
      <c r="I42" s="2" t="n"/>
      <c r="J42" s="2" t="inlineStr">
        <is>
          <t>Pending</t>
        </is>
      </c>
      <c r="K42" s="3">
        <f>G42-H42</f>
        <v/>
      </c>
      <c r="L42" s="2" t="n"/>
    </row>
    <row r="43">
      <c r="A43" s="2" t="inlineStr">
        <is>
          <t>Progbiz ERP</t>
        </is>
      </c>
      <c r="B43" s="2" t="inlineStr">
        <is>
          <t>Master</t>
        </is>
      </c>
      <c r="C43" s="2" t="inlineStr">
        <is>
          <t>Client Settings</t>
        </is>
      </c>
      <c r="D43" s="2" t="inlineStr">
        <is>
          <t>Client settings (/client-setting)</t>
        </is>
      </c>
      <c r="E43" s="2" t="inlineStr">
        <is>
          <t>Settings toggles, save, verify each toggle's effect on the app</t>
        </is>
      </c>
      <c r="F43" s="2" t="inlineStr">
        <is>
          <t>Each setting needs an effect verification, not just save</t>
        </is>
      </c>
      <c r="G43" s="3" t="n">
        <v>2.5</v>
      </c>
      <c r="H43" s="3" t="n"/>
      <c r="I43" s="2" t="n"/>
      <c r="J43" s="2" t="inlineStr">
        <is>
          <t>Pending</t>
        </is>
      </c>
      <c r="K43" s="3">
        <f>G43-H43</f>
        <v/>
      </c>
      <c r="L43" s="2" t="n"/>
    </row>
    <row r="44">
      <c r="A44" s="2" t="inlineStr">
        <is>
          <t>Progbiz ERP</t>
        </is>
      </c>
      <c r="B44" s="2" t="inlineStr">
        <is>
          <t>Master</t>
        </is>
      </c>
      <c r="C44" s="2" t="inlineStr">
        <is>
          <t>Custom Fields</t>
        </is>
      </c>
      <c r="D44" s="2" t="inlineStr">
        <is>
          <t>Custom/dynamic fields (/dynamic-fields)</t>
        </is>
      </c>
      <c r="E44" s="2" t="inlineStr">
        <is>
          <t>Create field per entity, appears on target form, data saves &amp; displays</t>
        </is>
      </c>
      <c r="F44" s="2" t="inlineStr">
        <is>
          <t>Field-type matrix (text/date/select) x target forms</t>
        </is>
      </c>
      <c r="G44" s="3" t="n">
        <v>2.5</v>
      </c>
      <c r="H44" s="3" t="n"/>
      <c r="I44" s="2" t="n"/>
      <c r="J44" s="2" t="inlineStr">
        <is>
          <t>Pending</t>
        </is>
      </c>
      <c r="K44" s="3">
        <f>G44-H44</f>
        <v/>
      </c>
      <c r="L44" s="2" t="n"/>
    </row>
    <row r="45">
      <c r="A45" s="2" t="inlineStr">
        <is>
          <t>Progbiz ERP</t>
        </is>
      </c>
      <c r="B45" s="2" t="inlineStr">
        <is>
          <t>Master</t>
        </is>
      </c>
      <c r="C45" s="2" t="inlineStr">
        <is>
          <t>Dynamic Reports</t>
        </is>
      </c>
      <c r="D45" s="2" t="inlineStr">
        <is>
          <t>Dynamic report builder (/dynamic-list)</t>
        </is>
      </c>
      <c r="E45" s="2" t="inlineStr">
        <is>
          <t>Create report (Leads/Tasks/Customers/Project), field picker, filters, generate &amp; verify data</t>
        </is>
      </c>
      <c r="F45" s="2" t="inlineStr">
        <is>
          <t>4 report types; builder + output correctness</t>
        </is>
      </c>
      <c r="G45" s="3" t="n">
        <v>3</v>
      </c>
      <c r="H45" s="3" t="n"/>
      <c r="I45" s="2" t="n"/>
      <c r="J45" s="2" t="inlineStr">
        <is>
          <t>Pending</t>
        </is>
      </c>
      <c r="K45" s="3">
        <f>G45-H45</f>
        <v/>
      </c>
      <c r="L45" s="2" t="n"/>
    </row>
    <row r="46">
      <c r="A46" s="2" t="inlineStr">
        <is>
          <t>Progbiz ERP</t>
        </is>
      </c>
      <c r="B46" s="2" t="inlineStr">
        <is>
          <t>Master</t>
        </is>
      </c>
      <c r="C46" s="2" t="inlineStr">
        <is>
          <t>Field Mapping</t>
        </is>
      </c>
      <c r="D46" s="2" t="inlineStr">
        <is>
          <t>Field mapping tags (/field-map-tags)</t>
        </is>
      </c>
      <c r="E46" s="2" t="inlineStr">
        <is>
          <t>Create/edit mapping tags, used correctly in templates/reports</t>
        </is>
      </c>
      <c r="F46" s="2" t="inlineStr">
        <is>
          <t>Small master; effect check in one consumer</t>
        </is>
      </c>
      <c r="G46" s="3" t="n">
        <v>1.5</v>
      </c>
      <c r="H46" s="3" t="n"/>
      <c r="I46" s="2" t="n"/>
      <c r="J46" s="2" t="inlineStr">
        <is>
          <t>Pending</t>
        </is>
      </c>
      <c r="K46" s="3">
        <f>G46-H46</f>
        <v/>
      </c>
      <c r="L46" s="2" t="n"/>
    </row>
    <row r="47">
      <c r="A47" s="2" t="inlineStr">
        <is>
          <t>Progbiz ERP</t>
        </is>
      </c>
      <c r="B47" s="2" t="inlineStr">
        <is>
          <t>Excel Upload</t>
        </is>
      </c>
      <c r="C47" s="2" t="inlineStr">
        <is>
          <t>Individual Customer</t>
        </is>
      </c>
      <c r="D47" s="2" t="inlineStr">
        <is>
          <t>Individual customer upload (/individual-customer-upload)</t>
        </is>
      </c>
      <c r="E47" s="2" t="inlineStr">
        <is>
          <t>Template download, valid file upload, invalid/missing-column file, duplicate rows, data verification in Customers</t>
        </is>
      </c>
      <c r="F47" s="2" t="inlineStr">
        <is>
          <t>5 checks incl. negative files; verify rows landed</t>
        </is>
      </c>
      <c r="G47" s="3" t="n">
        <v>2.5</v>
      </c>
      <c r="H47" s="3" t="n"/>
      <c r="I47" s="2" t="n"/>
      <c r="J47" s="2" t="inlineStr">
        <is>
          <t>Pending</t>
        </is>
      </c>
      <c r="K47" s="3">
        <f>G47-H47</f>
        <v/>
      </c>
      <c r="L47" s="2" t="n"/>
    </row>
    <row r="48">
      <c r="A48" s="2" t="inlineStr">
        <is>
          <t>Progbiz ERP</t>
        </is>
      </c>
      <c r="B48" s="2" t="inlineStr">
        <is>
          <t>Excel Upload</t>
        </is>
      </c>
      <c r="C48" s="2" t="inlineStr">
        <is>
          <t>Business Customer</t>
        </is>
      </c>
      <c r="D48" s="2" t="inlineStr">
        <is>
          <t>Business customer upload (/business-customer-upload)</t>
        </is>
      </c>
      <c r="E48" s="2" t="inlineStr">
        <is>
          <t>Same matrix as individual: template, valid, invalid, duplicates, verification</t>
        </is>
      </c>
      <c r="F48" s="2" t="inlineStr">
        <is>
          <t>Mirrors individual-customer flow with business fields</t>
        </is>
      </c>
      <c r="G48" s="3" t="n">
        <v>2.5</v>
      </c>
      <c r="H48" s="3" t="n"/>
      <c r="I48" s="2" t="n"/>
      <c r="J48" s="2" t="inlineStr">
        <is>
          <t>Pending</t>
        </is>
      </c>
      <c r="K48" s="3">
        <f>G48-H48</f>
        <v/>
      </c>
      <c r="L48" s="2" t="n"/>
    </row>
    <row r="49">
      <c r="A49" s="2" t="inlineStr">
        <is>
          <t>Progbiz ERP</t>
        </is>
      </c>
      <c r="B49" s="2" t="inlineStr">
        <is>
          <t>Excel Upload</t>
        </is>
      </c>
      <c r="C49" s="2" t="inlineStr">
        <is>
          <t>Enquiry Upload</t>
        </is>
      </c>
      <c r="D49" s="2" t="inlineStr">
        <is>
          <t>Enquiry upload (/enquiry-upload)</t>
        </is>
      </c>
      <c r="E49" s="2" t="inlineStr">
        <is>
          <t>Template, valid upload creates leads, invalid rows report, duplicate phone handling, leads visible in CRM listing</t>
        </is>
      </c>
      <c r="F49" s="2" t="inlineStr">
        <is>
          <t>Creates CRM data — cross-module verification is slower</t>
        </is>
      </c>
      <c r="G49" s="3" t="n">
        <v>3</v>
      </c>
      <c r="H49" s="3" t="n"/>
      <c r="I49" s="2" t="n"/>
      <c r="J49" s="2" t="inlineStr">
        <is>
          <t>Pending</t>
        </is>
      </c>
      <c r="K49" s="3">
        <f>G49-H49</f>
        <v/>
      </c>
      <c r="L49" s="2" t="n"/>
    </row>
    <row r="50">
      <c r="A50" s="2" t="inlineStr">
        <is>
          <t>Progbiz ERP</t>
        </is>
      </c>
      <c r="B50" s="2" t="inlineStr">
        <is>
          <t>Excel Upload</t>
        </is>
      </c>
      <c r="C50" s="2" t="inlineStr">
        <is>
          <t>Project Upload</t>
        </is>
      </c>
      <c r="D50" s="2" t="inlineStr">
        <is>
          <t>Project upload (/projects-upload)</t>
        </is>
      </c>
      <c r="E50" s="2" t="inlineStr">
        <is>
          <t>Template, valid upload, invalid rows, projects visible in Projects list</t>
        </is>
      </c>
      <c r="F50" s="2" t="inlineStr">
        <is>
          <t>Cross-check in Project module</t>
        </is>
      </c>
      <c r="G50" s="3" t="n">
        <v>2.5</v>
      </c>
      <c r="H50" s="3" t="n"/>
      <c r="I50" s="2" t="n"/>
      <c r="J50" s="2" t="inlineStr">
        <is>
          <t>Pending</t>
        </is>
      </c>
      <c r="K50" s="3">
        <f>G50-H50</f>
        <v/>
      </c>
      <c r="L50" s="2" t="n"/>
    </row>
    <row r="51">
      <c r="A51" s="2" t="inlineStr">
        <is>
          <t>Progbiz ERP</t>
        </is>
      </c>
      <c r="B51" s="2" t="inlineStr">
        <is>
          <t>Excel Upload</t>
        </is>
      </c>
      <c r="C51" s="2" t="inlineStr">
        <is>
          <t>Solar Project Upload</t>
        </is>
      </c>
      <c r="D51" s="2" t="inlineStr">
        <is>
          <t>Solar project upload (/solar-project-upload)</t>
        </is>
      </c>
      <c r="E51" s="2" t="inlineStr">
        <is>
          <t>Template, valid upload, invalid rows, solar projects listed</t>
        </is>
      </c>
      <c r="F51" s="2" t="inlineStr">
        <is>
          <t>Variant of project upload with solar fields</t>
        </is>
      </c>
      <c r="G51" s="3" t="n">
        <v>2.5</v>
      </c>
      <c r="H51" s="3" t="n"/>
      <c r="I51" s="2" t="n"/>
      <c r="J51" s="2" t="inlineStr">
        <is>
          <t>Pending</t>
        </is>
      </c>
      <c r="K51" s="3">
        <f>G51-H51</f>
        <v/>
      </c>
      <c r="L51" s="2" t="n"/>
    </row>
    <row r="52">
      <c r="F52" s="4" t="inlineStr">
        <is>
          <t>TOTAL</t>
        </is>
      </c>
      <c r="G52" s="5">
        <f>SUM(G2:G51)</f>
        <v/>
      </c>
      <c r="H52" s="5">
        <f>SUM(H2:H51)</f>
        <v/>
      </c>
    </row>
  </sheetData>
  <dataValidations count="1">
    <dataValidation sqref="J2:J51" showDropDown="0" showInputMessage="0" showErrorMessage="0" allowBlank="1" type="list">
      <formula1>"Pending,In Progress,Completed,Blocked"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2" customWidth="1" min="4" max="4"/>
    <col width="50" customWidth="1" min="5" max="5"/>
    <col width="16" customWidth="1" min="6" max="6"/>
  </cols>
  <sheetData>
    <row r="1">
      <c r="A1" s="6" t="inlineStr">
        <is>
          <t>Date</t>
        </is>
      </c>
      <c r="B1" s="6" t="inlineStr">
        <is>
          <t>Module</t>
        </is>
      </c>
      <c r="C1" s="6" t="inlineStr">
        <is>
          <t>Sub-Module</t>
        </is>
      </c>
      <c r="D1" s="6" t="inlineStr">
        <is>
          <t>Hours Spent</t>
        </is>
      </c>
      <c r="E1" s="6" t="inlineStr">
        <is>
          <t>What was done</t>
        </is>
      </c>
      <c r="F1" s="6" t="inlineStr">
        <is>
          <t>Status Update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7" t="inlineStr">
        <is>
          <t>WBS DASHBOARD — CRM · Task Management · Master · Excel Upload</t>
        </is>
      </c>
    </row>
    <row r="3">
      <c r="A3" s="4" t="inlineStr">
        <is>
          <t>By Module</t>
        </is>
      </c>
    </row>
    <row r="4">
      <c r="A4" s="8" t="inlineStr">
        <is>
          <t>Module</t>
        </is>
      </c>
      <c r="B4" s="8" t="inlineStr">
        <is>
          <t>Checks</t>
        </is>
      </c>
      <c r="C4" s="8" t="inlineStr">
        <is>
          <t>Completed</t>
        </is>
      </c>
      <c r="D4" s="8" t="inlineStr">
        <is>
          <t>Pending/In-Prog</t>
        </is>
      </c>
      <c r="E4" s="8" t="inlineStr">
        <is>
          <t>Est Hours</t>
        </is>
      </c>
      <c r="F4" s="8" t="inlineStr">
        <is>
          <t>Actual Hours</t>
        </is>
      </c>
      <c r="G4" s="8" t="inlineStr">
        <is>
          <t>Variance (h)</t>
        </is>
      </c>
      <c r="H4" s="8" t="inlineStr">
        <is>
          <t>% Complete</t>
        </is>
      </c>
    </row>
    <row r="5">
      <c r="A5" t="inlineStr">
        <is>
          <t>CRM</t>
        </is>
      </c>
      <c r="B5">
        <f>COUNTIF('WBS Tracker'!B:B,A5)</f>
        <v/>
      </c>
      <c r="C5">
        <f>COUNTIFS('WBS Tracker'!B:B,A5,'WBS Tracker'!J:J,"Completed")</f>
        <v/>
      </c>
      <c r="D5">
        <f>B5-C5</f>
        <v/>
      </c>
      <c r="E5">
        <f>SUMIF('WBS Tracker'!B:B,A5,'WBS Tracker'!G:G)</f>
        <v/>
      </c>
      <c r="F5">
        <f>SUMIF('WBS Tracker'!B:B,A5,'WBS Tracker'!H:H)</f>
        <v/>
      </c>
      <c r="G5">
        <f>E5-F5</f>
        <v/>
      </c>
      <c r="H5" s="9">
        <f>IF(B5=0,0,C5/B5)</f>
        <v/>
      </c>
    </row>
    <row r="6">
      <c r="A6" t="inlineStr">
        <is>
          <t>Task Management</t>
        </is>
      </c>
      <c r="B6">
        <f>COUNTIF('WBS Tracker'!B:B,A6)</f>
        <v/>
      </c>
      <c r="C6">
        <f>COUNTIFS('WBS Tracker'!B:B,A6,'WBS Tracker'!J:J,"Completed")</f>
        <v/>
      </c>
      <c r="D6">
        <f>B6-C6</f>
        <v/>
      </c>
      <c r="E6">
        <f>SUMIF('WBS Tracker'!B:B,A6,'WBS Tracker'!G:G)</f>
        <v/>
      </c>
      <c r="F6">
        <f>SUMIF('WBS Tracker'!B:B,A6,'WBS Tracker'!H:H)</f>
        <v/>
      </c>
      <c r="G6">
        <f>E6-F6</f>
        <v/>
      </c>
      <c r="H6" s="9">
        <f>IF(B6=0,0,C6/B6)</f>
        <v/>
      </c>
    </row>
    <row r="7">
      <c r="A7" t="inlineStr">
        <is>
          <t>Master</t>
        </is>
      </c>
      <c r="B7">
        <f>COUNTIF('WBS Tracker'!B:B,A7)</f>
        <v/>
      </c>
      <c r="C7">
        <f>COUNTIFS('WBS Tracker'!B:B,A7,'WBS Tracker'!J:J,"Completed")</f>
        <v/>
      </c>
      <c r="D7">
        <f>B7-C7</f>
        <v/>
      </c>
      <c r="E7">
        <f>SUMIF('WBS Tracker'!B:B,A7,'WBS Tracker'!G:G)</f>
        <v/>
      </c>
      <c r="F7">
        <f>SUMIF('WBS Tracker'!B:B,A7,'WBS Tracker'!H:H)</f>
        <v/>
      </c>
      <c r="G7">
        <f>E7-F7</f>
        <v/>
      </c>
      <c r="H7" s="9">
        <f>IF(B7=0,0,C7/B7)</f>
        <v/>
      </c>
    </row>
    <row r="8">
      <c r="A8" t="inlineStr">
        <is>
          <t>Excel Upload</t>
        </is>
      </c>
      <c r="B8">
        <f>COUNTIF('WBS Tracker'!B:B,A8)</f>
        <v/>
      </c>
      <c r="C8">
        <f>COUNTIFS('WBS Tracker'!B:B,A8,'WBS Tracker'!J:J,"Completed")</f>
        <v/>
      </c>
      <c r="D8">
        <f>B8-C8</f>
        <v/>
      </c>
      <c r="E8">
        <f>SUMIF('WBS Tracker'!B:B,A8,'WBS Tracker'!G:G)</f>
        <v/>
      </c>
      <c r="F8">
        <f>SUMIF('WBS Tracker'!B:B,A8,'WBS Tracker'!H:H)</f>
        <v/>
      </c>
      <c r="G8">
        <f>E8-F8</f>
        <v/>
      </c>
      <c r="H8" s="9">
        <f>IF(B8=0,0,C8/B8)</f>
        <v/>
      </c>
    </row>
    <row r="9">
      <c r="A9" s="4" t="inlineStr">
        <is>
          <t>TOTAL</t>
        </is>
      </c>
      <c r="B9" s="4">
        <f>SUM(B5:B8)</f>
        <v/>
      </c>
      <c r="C9" s="4">
        <f>SUM(C5:C8)</f>
        <v/>
      </c>
      <c r="D9" s="4">
        <f>SUM(D5:D8)</f>
        <v/>
      </c>
      <c r="E9" s="4">
        <f>SUM(E5:E8)</f>
        <v/>
      </c>
      <c r="F9" s="4">
        <f>SUM(F5:F8)</f>
        <v/>
      </c>
      <c r="G9" s="4">
        <f>SUM(G5:G8)</f>
        <v/>
      </c>
      <c r="H9" s="9">
        <f>IF(B9=0,0,C9/B9)</f>
        <v/>
      </c>
    </row>
    <row r="10">
      <c r="A10" s="4" t="inlineStr">
        <is>
          <t>Daily hours (from Daily Hours Log)</t>
        </is>
      </c>
    </row>
    <row r="11">
      <c r="A11" t="inlineStr">
        <is>
          <t>Today's logged hours:</t>
        </is>
      </c>
      <c r="B11">
        <f>SUMIF(DailyLog[Date],TODAY(),DailyLog[Hours Spent])</f>
        <v/>
      </c>
    </row>
    <row r="12">
      <c r="A12" t="inlineStr">
        <is>
          <t>Total logged hours:</t>
        </is>
      </c>
      <c r="B12">
        <f>SUM(DailyLog[Hours Spent])</f>
        <v/>
      </c>
    </row>
    <row r="15">
      <c r="A15" s="10" t="inlineStr">
        <is>
          <t>HOW TO USE (daily routine)</t>
        </is>
      </c>
    </row>
    <row r="16">
      <c r="A16" t="inlineStr">
        <is>
          <t>1. Each day, add a row in 'Daily Hours Log' per sub-module you worked on (Date, Module, Sub-Module, Hours).</t>
        </is>
      </c>
    </row>
    <row r="17">
      <c r="A17" t="inlineStr">
        <is>
          <t>2. Update 'Actual Hours' + 'Date Worked' + 'Status' on the matching WBS Tracker row (add hours cumulatively).</t>
        </is>
      </c>
    </row>
    <row r="18">
      <c r="A18" t="inlineStr">
        <is>
          <t>3. Variance auto-calculates (Estimated - Actual); negative = over-estimate risk, raise early.</t>
        </is>
      </c>
    </row>
    <row r="19">
      <c r="A19" t="inlineStr">
        <is>
          <t>4. Filter WBS Tracker Status column for Completed vs Pending tracking (it is an Excel Table - use the header filters).</t>
        </is>
      </c>
    </row>
    <row r="20">
      <c r="A20" t="inlineStr">
        <is>
          <t>5. Pivot dashboard: Insert &gt; PivotTable &gt; select table 'WBS' &gt; Rows: Module, Sub-Module; Values: Sum of Estimated Hours, Sum of Actual Hours; Filter: Status.</t>
        </is>
      </c>
    </row>
    <row r="21">
      <c r="A21" t="inlineStr">
        <is>
          <t>6. For a burndown by day: Insert &gt; PivotTable on table 'DailyLog' &gt; Rows: Date; Values: Sum of Hours Spent.</t>
        </is>
      </c>
    </row>
    <row r="22">
      <c r="A22" t="inlineStr">
        <is>
          <t>7. For every NEW incoming module: copy this file, replace rows with the new module's sub-module breakdown BEFORE starting work, and commit the estimate.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2026-07-11T08:48:30Z</dcterms:created>
  <dcterms:modified xmlns:dcterms="http://purl.org/dc/terms/" xmlns:xsi="http://www.w3.org/2001/XMLSchema-instance" xsi:type="dcterms:W3CDTF">2026-07-11T08:48:30Z</dcterms:modified>
</cp:coreProperties>
</file>